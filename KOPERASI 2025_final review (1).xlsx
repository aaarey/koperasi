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i.saepudin\Downloads\"/>
    </mc:Choice>
  </mc:AlternateContent>
  <xr:revisionPtr revIDLastSave="0" documentId="13_ncr:1_{6E139801-6DEE-496E-A99B-1DE9AEBD06CA}" xr6:coauthVersionLast="47" xr6:coauthVersionMax="47" xr10:uidLastSave="{00000000-0000-0000-0000-000000000000}"/>
  <bookViews>
    <workbookView xWindow="-120" yWindow="-120" windowWidth="29040" windowHeight="15720" activeTab="2" xr2:uid="{5D72272B-F544-4BB3-AB38-054BF024C73D}"/>
  </bookViews>
  <sheets>
    <sheet name="Piutang Pengadaan" sheetId="22" r:id="rId1"/>
    <sheet name=" usp (dian)" sheetId="18" r:id="rId2"/>
    <sheet name="Toko" sheetId="23" r:id="rId3"/>
    <sheet name="Jurnal" sheetId="8" r:id="rId4"/>
    <sheet name="Neraca Saldo" sheetId="10" r:id="rId5"/>
    <sheet name="Neraca " sheetId="9" r:id="rId6"/>
    <sheet name="SHU" sheetId="12" r:id="rId7"/>
    <sheet name="Distribusi SHU" sheetId="16" r:id="rId8"/>
    <sheet name="LIST DISTRIBUSI SHU" sheetId="20" r:id="rId9"/>
    <sheet name="LIST DISTRIBUSI PARCEL" sheetId="21" r:id="rId10"/>
  </sheets>
  <externalReferences>
    <externalReference r:id="rId11"/>
    <externalReference r:id="rId12"/>
  </externalReferences>
  <definedNames>
    <definedName name="_xlnm._FilterDatabase" localSheetId="1" hidden="1">' usp (dian)'!$A$1:$E$176</definedName>
    <definedName name="_xlnm._FilterDatabase" localSheetId="7" hidden="1">'Distribusi SHU'!$A$1:$P$350</definedName>
    <definedName name="_xlnm._FilterDatabase" localSheetId="3" hidden="1">Jurnal!$B$5:$I$1653</definedName>
    <definedName name="_xlnm._FilterDatabase" localSheetId="9" hidden="1">'LIST DISTRIBUSI PARCEL'!$A$3:$D$259</definedName>
    <definedName name="_xlnm._FilterDatabase" localSheetId="8" hidden="1">'LIST DISTRIBUSI SHU'!$A$2:$D$258</definedName>
    <definedName name="_xlnm.Print_Area" localSheetId="3">Jurnal!$C$1600:$H$1615</definedName>
    <definedName name="_xlnm.Print_Area" localSheetId="5">'Neraca '!#REF!</definedName>
    <definedName name="_xlnm.Print_Area" localSheetId="4">'Neraca Saldo'!#REF!</definedName>
    <definedName name="_xlnm.Print_Area" localSheetId="6">SHU!#REF!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5" i="16" l="1"/>
  <c r="E344" i="20"/>
  <c r="M3" i="16"/>
  <c r="J345" i="16"/>
  <c r="I345" i="16"/>
  <c r="K265" i="16"/>
  <c r="F176" i="18"/>
  <c r="G3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45" i="18"/>
  <c r="G146" i="18"/>
  <c r="G147" i="18"/>
  <c r="G148" i="18"/>
  <c r="G149" i="18"/>
  <c r="G150" i="18"/>
  <c r="G151" i="18"/>
  <c r="G152" i="18"/>
  <c r="G153" i="18"/>
  <c r="G154" i="18"/>
  <c r="G155" i="18"/>
  <c r="G156" i="18"/>
  <c r="G157" i="18"/>
  <c r="G158" i="18"/>
  <c r="G159" i="18"/>
  <c r="G160" i="18"/>
  <c r="G161" i="18"/>
  <c r="G162" i="18"/>
  <c r="G163" i="18"/>
  <c r="G164" i="18"/>
  <c r="G165" i="18"/>
  <c r="G166" i="18"/>
  <c r="G167" i="18"/>
  <c r="G168" i="18"/>
  <c r="G169" i="18"/>
  <c r="G170" i="18"/>
  <c r="G171" i="18"/>
  <c r="G172" i="18"/>
  <c r="G173" i="18"/>
  <c r="G174" i="18"/>
  <c r="G175" i="18"/>
  <c r="G2" i="18"/>
  <c r="M3" i="18"/>
  <c r="M4" i="18"/>
  <c r="M5" i="18"/>
  <c r="M6" i="18"/>
  <c r="M7" i="18"/>
  <c r="M8" i="18"/>
  <c r="M9" i="18"/>
  <c r="M10" i="18"/>
  <c r="M11" i="18"/>
  <c r="M12" i="18"/>
  <c r="M13" i="18"/>
  <c r="M14" i="18"/>
  <c r="M15" i="18"/>
  <c r="M16" i="18"/>
  <c r="M17" i="18"/>
  <c r="M18" i="18"/>
  <c r="M19" i="18"/>
  <c r="M20" i="18"/>
  <c r="M21" i="18"/>
  <c r="M22" i="18"/>
  <c r="M23" i="18"/>
  <c r="M24" i="18"/>
  <c r="M25" i="18"/>
  <c r="M26" i="18"/>
  <c r="M27" i="18"/>
  <c r="M28" i="18"/>
  <c r="M29" i="18"/>
  <c r="M30" i="18"/>
  <c r="M31" i="18"/>
  <c r="M32" i="18"/>
  <c r="M33" i="18"/>
  <c r="M34" i="18"/>
  <c r="M35" i="18"/>
  <c r="M36" i="18"/>
  <c r="M37" i="18"/>
  <c r="M38" i="18"/>
  <c r="M39" i="18"/>
  <c r="M40" i="18"/>
  <c r="M41" i="18"/>
  <c r="M42" i="18"/>
  <c r="M43" i="18"/>
  <c r="M44" i="18"/>
  <c r="M45" i="18"/>
  <c r="M46" i="18"/>
  <c r="M47" i="18"/>
  <c r="M48" i="18"/>
  <c r="M49" i="18"/>
  <c r="M50" i="18"/>
  <c r="M51" i="18"/>
  <c r="M52" i="18"/>
  <c r="M53" i="18"/>
  <c r="M54" i="18"/>
  <c r="M55" i="18"/>
  <c r="M56" i="18"/>
  <c r="M57" i="18"/>
  <c r="M58" i="18"/>
  <c r="M59" i="18"/>
  <c r="M60" i="18"/>
  <c r="M61" i="18"/>
  <c r="M62" i="18"/>
  <c r="M63" i="18"/>
  <c r="M64" i="18"/>
  <c r="M65" i="18"/>
  <c r="M66" i="18"/>
  <c r="M67" i="18"/>
  <c r="M68" i="18"/>
  <c r="M69" i="18"/>
  <c r="M70" i="18"/>
  <c r="M71" i="18"/>
  <c r="M72" i="18"/>
  <c r="M73" i="18"/>
  <c r="M74" i="18"/>
  <c r="M75" i="18"/>
  <c r="M76" i="18"/>
  <c r="M77" i="18"/>
  <c r="M78" i="18"/>
  <c r="M79" i="18"/>
  <c r="M80" i="18"/>
  <c r="M81" i="18"/>
  <c r="M82" i="18"/>
  <c r="M83" i="18"/>
  <c r="M84" i="18"/>
  <c r="M85" i="18"/>
  <c r="M86" i="18"/>
  <c r="M87" i="18"/>
  <c r="M88" i="18"/>
  <c r="M89" i="18"/>
  <c r="M90" i="18"/>
  <c r="M91" i="18"/>
  <c r="M92" i="18"/>
  <c r="M93" i="18"/>
  <c r="M94" i="18"/>
  <c r="M95" i="18"/>
  <c r="M96" i="18"/>
  <c r="M97" i="18"/>
  <c r="M98" i="18"/>
  <c r="M99" i="18"/>
  <c r="M100" i="18"/>
  <c r="M101" i="18"/>
  <c r="M102" i="18"/>
  <c r="M103" i="18"/>
  <c r="M104" i="18"/>
  <c r="M105" i="18"/>
  <c r="M106" i="18"/>
  <c r="M107" i="18"/>
  <c r="M108" i="18"/>
  <c r="M109" i="18"/>
  <c r="M110" i="18"/>
  <c r="M111" i="18"/>
  <c r="M112" i="18"/>
  <c r="M113" i="18"/>
  <c r="M114" i="18"/>
  <c r="M115" i="18"/>
  <c r="M116" i="18"/>
  <c r="M117" i="18"/>
  <c r="M118" i="18"/>
  <c r="M119" i="18"/>
  <c r="M120" i="18"/>
  <c r="M121" i="18"/>
  <c r="M122" i="18"/>
  <c r="M123" i="18"/>
  <c r="M124" i="18"/>
  <c r="M125" i="18"/>
  <c r="M126" i="18"/>
  <c r="M127" i="18"/>
  <c r="M128" i="18"/>
  <c r="M129" i="18"/>
  <c r="M130" i="18"/>
  <c r="M131" i="18"/>
  <c r="M132" i="18"/>
  <c r="M133" i="18"/>
  <c r="M134" i="18"/>
  <c r="M135" i="18"/>
  <c r="M136" i="18"/>
  <c r="M137" i="18"/>
  <c r="M138" i="18"/>
  <c r="M139" i="18"/>
  <c r="M140" i="18"/>
  <c r="M141" i="18"/>
  <c r="M142" i="18"/>
  <c r="M143" i="18"/>
  <c r="M144" i="18"/>
  <c r="M145" i="18"/>
  <c r="M146" i="18"/>
  <c r="M147" i="18"/>
  <c r="M148" i="18"/>
  <c r="M149" i="18"/>
  <c r="M150" i="18"/>
  <c r="M151" i="18"/>
  <c r="M152" i="18"/>
  <c r="M153" i="18"/>
  <c r="M154" i="18"/>
  <c r="M155" i="18"/>
  <c r="M156" i="18"/>
  <c r="M157" i="18"/>
  <c r="M158" i="18"/>
  <c r="M159" i="18"/>
  <c r="M160" i="18"/>
  <c r="M161" i="18"/>
  <c r="M162" i="18"/>
  <c r="M163" i="18"/>
  <c r="M164" i="18"/>
  <c r="M165" i="18"/>
  <c r="M166" i="18"/>
  <c r="M167" i="18"/>
  <c r="M168" i="18"/>
  <c r="M169" i="18"/>
  <c r="M170" i="18"/>
  <c r="M171" i="18"/>
  <c r="M172" i="18"/>
  <c r="M173" i="18"/>
  <c r="M174" i="18"/>
  <c r="M175" i="18"/>
  <c r="M2" i="18"/>
  <c r="H3" i="18"/>
  <c r="I3" i="18"/>
  <c r="H4" i="18"/>
  <c r="I4" i="18" s="1"/>
  <c r="H5" i="18"/>
  <c r="I5" i="18" s="1"/>
  <c r="H6" i="18"/>
  <c r="I6" i="18" s="1"/>
  <c r="H7" i="18"/>
  <c r="I7" i="18"/>
  <c r="H8" i="18"/>
  <c r="I8" i="18" s="1"/>
  <c r="H9" i="18"/>
  <c r="I9" i="18" s="1"/>
  <c r="H10" i="18"/>
  <c r="I10" i="18" s="1"/>
  <c r="H11" i="18"/>
  <c r="I11" i="18"/>
  <c r="H12" i="18"/>
  <c r="I12" i="18" s="1"/>
  <c r="H13" i="18"/>
  <c r="I13" i="18" s="1"/>
  <c r="H14" i="18"/>
  <c r="I14" i="18" s="1"/>
  <c r="H15" i="18"/>
  <c r="I15" i="18"/>
  <c r="H16" i="18"/>
  <c r="I16" i="18" s="1"/>
  <c r="H17" i="18"/>
  <c r="I17" i="18" s="1"/>
  <c r="H18" i="18"/>
  <c r="I18" i="18" s="1"/>
  <c r="H19" i="18"/>
  <c r="I19" i="18"/>
  <c r="H20" i="18"/>
  <c r="I20" i="18" s="1"/>
  <c r="H21" i="18"/>
  <c r="I21" i="18" s="1"/>
  <c r="H22" i="18"/>
  <c r="I22" i="18" s="1"/>
  <c r="H23" i="18"/>
  <c r="I23" i="18"/>
  <c r="H24" i="18"/>
  <c r="I24" i="18" s="1"/>
  <c r="H25" i="18"/>
  <c r="I25" i="18" s="1"/>
  <c r="H26" i="18"/>
  <c r="I26" i="18" s="1"/>
  <c r="H27" i="18"/>
  <c r="I27" i="18"/>
  <c r="H28" i="18"/>
  <c r="I28" i="18" s="1"/>
  <c r="H29" i="18"/>
  <c r="I29" i="18" s="1"/>
  <c r="H30" i="18"/>
  <c r="I30" i="18" s="1"/>
  <c r="H31" i="18"/>
  <c r="I31" i="18"/>
  <c r="H32" i="18"/>
  <c r="I32" i="18" s="1"/>
  <c r="H33" i="18"/>
  <c r="I33" i="18" s="1"/>
  <c r="H34" i="18"/>
  <c r="I34" i="18" s="1"/>
  <c r="H35" i="18"/>
  <c r="I35" i="18"/>
  <c r="H36" i="18"/>
  <c r="I36" i="18" s="1"/>
  <c r="H37" i="18"/>
  <c r="I37" i="18" s="1"/>
  <c r="H38" i="18"/>
  <c r="I38" i="18" s="1"/>
  <c r="H39" i="18"/>
  <c r="I39" i="18"/>
  <c r="H40" i="18"/>
  <c r="I40" i="18" s="1"/>
  <c r="H41" i="18"/>
  <c r="I41" i="18" s="1"/>
  <c r="H42" i="18"/>
  <c r="I42" i="18" s="1"/>
  <c r="H43" i="18"/>
  <c r="I43" i="18"/>
  <c r="H44" i="18"/>
  <c r="I44" i="18" s="1"/>
  <c r="H45" i="18"/>
  <c r="I45" i="18" s="1"/>
  <c r="H46" i="18"/>
  <c r="I46" i="18" s="1"/>
  <c r="H47" i="18"/>
  <c r="I47" i="18"/>
  <c r="H48" i="18"/>
  <c r="I48" i="18" s="1"/>
  <c r="H49" i="18"/>
  <c r="I49" i="18" s="1"/>
  <c r="H50" i="18"/>
  <c r="I50" i="18" s="1"/>
  <c r="H51" i="18"/>
  <c r="I51" i="18"/>
  <c r="H52" i="18"/>
  <c r="I52" i="18" s="1"/>
  <c r="H53" i="18"/>
  <c r="I53" i="18" s="1"/>
  <c r="H54" i="18"/>
  <c r="I54" i="18" s="1"/>
  <c r="H55" i="18"/>
  <c r="I55" i="18"/>
  <c r="H56" i="18"/>
  <c r="I56" i="18" s="1"/>
  <c r="H57" i="18"/>
  <c r="I57" i="18" s="1"/>
  <c r="H58" i="18"/>
  <c r="I58" i="18" s="1"/>
  <c r="H59" i="18"/>
  <c r="I59" i="18"/>
  <c r="H60" i="18"/>
  <c r="I60" i="18" s="1"/>
  <c r="H61" i="18"/>
  <c r="I61" i="18" s="1"/>
  <c r="H62" i="18"/>
  <c r="I62" i="18" s="1"/>
  <c r="H63" i="18"/>
  <c r="I63" i="18"/>
  <c r="H64" i="18"/>
  <c r="I64" i="18" s="1"/>
  <c r="H65" i="18"/>
  <c r="I65" i="18" s="1"/>
  <c r="H66" i="18"/>
  <c r="I66" i="18" s="1"/>
  <c r="H67" i="18"/>
  <c r="I67" i="18"/>
  <c r="H68" i="18"/>
  <c r="I68" i="18" s="1"/>
  <c r="H69" i="18"/>
  <c r="I69" i="18" s="1"/>
  <c r="H70" i="18"/>
  <c r="I70" i="18" s="1"/>
  <c r="H71" i="18"/>
  <c r="I71" i="18"/>
  <c r="H72" i="18"/>
  <c r="I72" i="18" s="1"/>
  <c r="H73" i="18"/>
  <c r="I73" i="18" s="1"/>
  <c r="H74" i="18"/>
  <c r="I74" i="18" s="1"/>
  <c r="H75" i="18"/>
  <c r="I75" i="18"/>
  <c r="H76" i="18"/>
  <c r="I76" i="18" s="1"/>
  <c r="H77" i="18"/>
  <c r="I77" i="18" s="1"/>
  <c r="H78" i="18"/>
  <c r="I78" i="18" s="1"/>
  <c r="H79" i="18"/>
  <c r="I79" i="18"/>
  <c r="H80" i="18"/>
  <c r="I80" i="18" s="1"/>
  <c r="H81" i="18"/>
  <c r="I81" i="18" s="1"/>
  <c r="H82" i="18"/>
  <c r="I82" i="18" s="1"/>
  <c r="H83" i="18"/>
  <c r="I83" i="18"/>
  <c r="H84" i="18"/>
  <c r="I84" i="18" s="1"/>
  <c r="H85" i="18"/>
  <c r="I85" i="18" s="1"/>
  <c r="H86" i="18"/>
  <c r="I86" i="18" s="1"/>
  <c r="H87" i="18"/>
  <c r="I87" i="18"/>
  <c r="H88" i="18"/>
  <c r="I88" i="18" s="1"/>
  <c r="H89" i="18"/>
  <c r="I89" i="18" s="1"/>
  <c r="H90" i="18"/>
  <c r="I90" i="18" s="1"/>
  <c r="H91" i="18"/>
  <c r="I91" i="18"/>
  <c r="H92" i="18"/>
  <c r="I92" i="18" s="1"/>
  <c r="H93" i="18"/>
  <c r="I93" i="18" s="1"/>
  <c r="H94" i="18"/>
  <c r="I94" i="18" s="1"/>
  <c r="H95" i="18"/>
  <c r="I95" i="18"/>
  <c r="H96" i="18"/>
  <c r="I96" i="18" s="1"/>
  <c r="H97" i="18"/>
  <c r="I97" i="18" s="1"/>
  <c r="H98" i="18"/>
  <c r="I98" i="18" s="1"/>
  <c r="H99" i="18"/>
  <c r="I99" i="18"/>
  <c r="H100" i="18"/>
  <c r="I100" i="18" s="1"/>
  <c r="H101" i="18"/>
  <c r="I101" i="18" s="1"/>
  <c r="H102" i="18"/>
  <c r="I102" i="18" s="1"/>
  <c r="H103" i="18"/>
  <c r="I103" i="18"/>
  <c r="H104" i="18"/>
  <c r="I104" i="18" s="1"/>
  <c r="H105" i="18"/>
  <c r="I105" i="18" s="1"/>
  <c r="H106" i="18"/>
  <c r="I106" i="18" s="1"/>
  <c r="H107" i="18"/>
  <c r="I107" i="18"/>
  <c r="H108" i="18"/>
  <c r="I108" i="18" s="1"/>
  <c r="H109" i="18"/>
  <c r="I109" i="18" s="1"/>
  <c r="H110" i="18"/>
  <c r="I110" i="18" s="1"/>
  <c r="H111" i="18"/>
  <c r="I111" i="18"/>
  <c r="H112" i="18"/>
  <c r="I112" i="18" s="1"/>
  <c r="H113" i="18"/>
  <c r="I113" i="18" s="1"/>
  <c r="H114" i="18"/>
  <c r="I114" i="18" s="1"/>
  <c r="H115" i="18"/>
  <c r="I115" i="18" s="1"/>
  <c r="H116" i="18"/>
  <c r="I116" i="18" s="1"/>
  <c r="H117" i="18"/>
  <c r="I117" i="18" s="1"/>
  <c r="H118" i="18"/>
  <c r="I118" i="18" s="1"/>
  <c r="H119" i="18"/>
  <c r="I119" i="18" s="1"/>
  <c r="H120" i="18"/>
  <c r="I120" i="18" s="1"/>
  <c r="H121" i="18"/>
  <c r="I121" i="18" s="1"/>
  <c r="H122" i="18"/>
  <c r="I122" i="18" s="1"/>
  <c r="H123" i="18"/>
  <c r="I123" i="18" s="1"/>
  <c r="H124" i="18"/>
  <c r="I124" i="18" s="1"/>
  <c r="H125" i="18"/>
  <c r="I125" i="18" s="1"/>
  <c r="H126" i="18"/>
  <c r="I126" i="18" s="1"/>
  <c r="H127" i="18"/>
  <c r="I127" i="18" s="1"/>
  <c r="H128" i="18"/>
  <c r="I128" i="18" s="1"/>
  <c r="H129" i="18"/>
  <c r="I129" i="18" s="1"/>
  <c r="H130" i="18"/>
  <c r="I130" i="18" s="1"/>
  <c r="H131" i="18"/>
  <c r="I131" i="18" s="1"/>
  <c r="H132" i="18"/>
  <c r="I132" i="18" s="1"/>
  <c r="H133" i="18"/>
  <c r="I133" i="18" s="1"/>
  <c r="H134" i="18"/>
  <c r="I134" i="18" s="1"/>
  <c r="H135" i="18"/>
  <c r="I135" i="18" s="1"/>
  <c r="H136" i="18"/>
  <c r="I136" i="18" s="1"/>
  <c r="H137" i="18"/>
  <c r="I137" i="18" s="1"/>
  <c r="H138" i="18"/>
  <c r="I138" i="18" s="1"/>
  <c r="H139" i="18"/>
  <c r="I139" i="18" s="1"/>
  <c r="H140" i="18"/>
  <c r="I140" i="18" s="1"/>
  <c r="H141" i="18"/>
  <c r="I141" i="18" s="1"/>
  <c r="H142" i="18"/>
  <c r="I142" i="18" s="1"/>
  <c r="H143" i="18"/>
  <c r="I143" i="18" s="1"/>
  <c r="H144" i="18"/>
  <c r="I144" i="18" s="1"/>
  <c r="H145" i="18"/>
  <c r="I145" i="18" s="1"/>
  <c r="H146" i="18"/>
  <c r="I146" i="18" s="1"/>
  <c r="H147" i="18"/>
  <c r="I147" i="18" s="1"/>
  <c r="H148" i="18"/>
  <c r="I148" i="18" s="1"/>
  <c r="H149" i="18"/>
  <c r="I149" i="18" s="1"/>
  <c r="H150" i="18"/>
  <c r="I150" i="18" s="1"/>
  <c r="H151" i="18"/>
  <c r="I151" i="18" s="1"/>
  <c r="H152" i="18"/>
  <c r="I152" i="18" s="1"/>
  <c r="H153" i="18"/>
  <c r="I153" i="18" s="1"/>
  <c r="H154" i="18"/>
  <c r="I154" i="18" s="1"/>
  <c r="H155" i="18"/>
  <c r="I155" i="18" s="1"/>
  <c r="H156" i="18"/>
  <c r="I156" i="18" s="1"/>
  <c r="H157" i="18"/>
  <c r="I157" i="18" s="1"/>
  <c r="H158" i="18"/>
  <c r="I158" i="18" s="1"/>
  <c r="H159" i="18"/>
  <c r="I159" i="18" s="1"/>
  <c r="H160" i="18"/>
  <c r="I160" i="18" s="1"/>
  <c r="H161" i="18"/>
  <c r="I161" i="18" s="1"/>
  <c r="H162" i="18"/>
  <c r="I162" i="18" s="1"/>
  <c r="H163" i="18"/>
  <c r="I163" i="18" s="1"/>
  <c r="H164" i="18"/>
  <c r="I164" i="18" s="1"/>
  <c r="H165" i="18"/>
  <c r="I165" i="18" s="1"/>
  <c r="H166" i="18"/>
  <c r="I166" i="18" s="1"/>
  <c r="H167" i="18"/>
  <c r="I167" i="18" s="1"/>
  <c r="H168" i="18"/>
  <c r="I168" i="18" s="1"/>
  <c r="H169" i="18"/>
  <c r="I169" i="18" s="1"/>
  <c r="H170" i="18"/>
  <c r="I170" i="18" s="1"/>
  <c r="H171" i="18"/>
  <c r="I171" i="18" s="1"/>
  <c r="H172" i="18"/>
  <c r="I172" i="18" s="1"/>
  <c r="H173" i="18"/>
  <c r="I173" i="18" s="1"/>
  <c r="H174" i="18"/>
  <c r="I174" i="18" s="1"/>
  <c r="H175" i="18"/>
  <c r="I175" i="18" s="1"/>
  <c r="H2" i="18"/>
  <c r="I2" i="18" s="1"/>
  <c r="F345" i="16"/>
  <c r="D176" i="18"/>
  <c r="E176" i="18"/>
  <c r="E345" i="16"/>
  <c r="I1644" i="8"/>
  <c r="H1643" i="8"/>
  <c r="H1664" i="8"/>
  <c r="G1663" i="8"/>
  <c r="H1663" i="8"/>
  <c r="H1665" i="8" s="1"/>
  <c r="R21" i="10"/>
  <c r="L22" i="10"/>
  <c r="G1665" i="8"/>
  <c r="O21" i="10"/>
  <c r="H1609" i="8"/>
  <c r="H1636" i="8"/>
  <c r="I1637" i="8" s="1"/>
  <c r="F12" i="10" s="1"/>
  <c r="I1629" i="8"/>
  <c r="I1602" i="8"/>
  <c r="I1617" i="8"/>
  <c r="E11" i="10"/>
  <c r="E14" i="10"/>
  <c r="I1636" i="8"/>
  <c r="F18" i="10"/>
  <c r="I1633" i="8"/>
  <c r="I1632" i="8"/>
  <c r="F42" i="10"/>
  <c r="I1630" i="8"/>
  <c r="I1631" i="8"/>
  <c r="I1634" i="8"/>
  <c r="I1635" i="8"/>
  <c r="I1638" i="8"/>
  <c r="I1621" i="8"/>
  <c r="D31" i="10"/>
  <c r="F41" i="10"/>
  <c r="F43" i="10"/>
  <c r="F45" i="10"/>
  <c r="F47" i="10"/>
  <c r="F48" i="10"/>
  <c r="F49" i="10"/>
  <c r="F50" i="10"/>
  <c r="F52" i="10"/>
  <c r="F54" i="10"/>
  <c r="F35" i="10"/>
  <c r="F11" i="10"/>
  <c r="F14" i="10"/>
  <c r="F16" i="10"/>
  <c r="F17" i="10"/>
  <c r="F19" i="10"/>
  <c r="F20" i="10"/>
  <c r="F21" i="10"/>
  <c r="F24" i="10"/>
  <c r="F26" i="10"/>
  <c r="F28" i="10"/>
  <c r="F29" i="10"/>
  <c r="F30" i="10"/>
  <c r="F31" i="10"/>
  <c r="F32" i="10"/>
  <c r="E16" i="10"/>
  <c r="E17" i="10"/>
  <c r="E18" i="10"/>
  <c r="E19" i="10"/>
  <c r="E20" i="10"/>
  <c r="E21" i="10"/>
  <c r="E24" i="10"/>
  <c r="E26" i="10"/>
  <c r="E27" i="10"/>
  <c r="E28" i="10"/>
  <c r="E29" i="10"/>
  <c r="E30" i="10"/>
  <c r="E31" i="10"/>
  <c r="E32" i="10"/>
  <c r="E33" i="10"/>
  <c r="E34" i="10"/>
  <c r="E35" i="10"/>
  <c r="E41" i="10"/>
  <c r="E43" i="10"/>
  <c r="E45" i="10"/>
  <c r="E46" i="10"/>
  <c r="E47" i="10"/>
  <c r="E48" i="10"/>
  <c r="G48" i="10"/>
  <c r="E49" i="10"/>
  <c r="E50" i="10"/>
  <c r="E52" i="10"/>
  <c r="I7" i="8"/>
  <c r="D7" i="8"/>
  <c r="D6" i="8"/>
  <c r="D1562" i="8"/>
  <c r="D1563" i="8"/>
  <c r="D1572" i="8"/>
  <c r="D1573" i="8"/>
  <c r="D1574" i="8"/>
  <c r="D1575" i="8"/>
  <c r="H1563" i="8"/>
  <c r="I1563" i="8"/>
  <c r="H1573" i="8"/>
  <c r="I1573" i="8"/>
  <c r="H1575" i="8"/>
  <c r="I1575" i="8"/>
  <c r="F34" i="10"/>
  <c r="H1604" i="8"/>
  <c r="I1604" i="8"/>
  <c r="H1606" i="8"/>
  <c r="I1606" i="8"/>
  <c r="H1608" i="8"/>
  <c r="I1608" i="8"/>
  <c r="H1610" i="8"/>
  <c r="E37" i="10" s="1"/>
  <c r="I1610" i="8"/>
  <c r="F37" i="10" s="1"/>
  <c r="H1612" i="8"/>
  <c r="I1612" i="8"/>
  <c r="H1614" i="8"/>
  <c r="I1614" i="8"/>
  <c r="I1616" i="8"/>
  <c r="I1618" i="8"/>
  <c r="I1620" i="8"/>
  <c r="I1622" i="8"/>
  <c r="H1624" i="8"/>
  <c r="I1624" i="8"/>
  <c r="H1626" i="8"/>
  <c r="I1626" i="8"/>
  <c r="I1628" i="8"/>
  <c r="E42" i="10"/>
  <c r="I1640" i="8"/>
  <c r="F53" i="10" s="1"/>
  <c r="H1602" i="8"/>
  <c r="I1599" i="8"/>
  <c r="H1599" i="8"/>
  <c r="D1599" i="8"/>
  <c r="D1598" i="8"/>
  <c r="D1597" i="8"/>
  <c r="D1596" i="8"/>
  <c r="D1595" i="8"/>
  <c r="D1594" i="8"/>
  <c r="H1593" i="8"/>
  <c r="I1593" i="8"/>
  <c r="H1595" i="8"/>
  <c r="I1595" i="8"/>
  <c r="H1597" i="8"/>
  <c r="I1597" i="8"/>
  <c r="H1591" i="8"/>
  <c r="I1591" i="8"/>
  <c r="D1593" i="8"/>
  <c r="D1592" i="8"/>
  <c r="E32" i="9"/>
  <c r="D1591" i="8"/>
  <c r="D1590" i="8"/>
  <c r="D1585" i="8"/>
  <c r="D1584" i="8"/>
  <c r="D1583" i="8"/>
  <c r="D1582" i="8"/>
  <c r="H1569" i="8"/>
  <c r="I1569" i="8"/>
  <c r="H1571" i="8"/>
  <c r="I1571" i="8"/>
  <c r="H1567" i="8"/>
  <c r="I1567" i="8"/>
  <c r="D1568" i="8"/>
  <c r="D1569" i="8"/>
  <c r="D1570" i="8"/>
  <c r="D1571" i="8"/>
  <c r="H1559" i="8"/>
  <c r="I1559" i="8"/>
  <c r="H1561" i="8"/>
  <c r="I1561" i="8"/>
  <c r="D1558" i="8"/>
  <c r="D1559" i="8"/>
  <c r="D1560" i="8"/>
  <c r="D1561" i="8"/>
  <c r="H1577" i="8"/>
  <c r="I1577" i="8"/>
  <c r="H1579" i="8"/>
  <c r="I1579" i="8"/>
  <c r="H1581" i="8"/>
  <c r="I1581" i="8"/>
  <c r="H1583" i="8"/>
  <c r="I1583" i="8"/>
  <c r="H1585" i="8"/>
  <c r="I1585" i="8"/>
  <c r="H1587" i="8"/>
  <c r="I1587" i="8"/>
  <c r="H1589" i="8"/>
  <c r="I1589" i="8"/>
  <c r="D1580" i="8"/>
  <c r="D1581" i="8"/>
  <c r="D1586" i="8"/>
  <c r="D1587" i="8"/>
  <c r="D1588" i="8"/>
  <c r="D1589" i="8"/>
  <c r="D1579" i="8"/>
  <c r="D1578" i="8"/>
  <c r="D1577" i="8"/>
  <c r="D1576" i="8"/>
  <c r="D1567" i="8"/>
  <c r="D1566" i="8"/>
  <c r="D1565" i="8"/>
  <c r="D1564" i="8"/>
  <c r="D1557" i="8"/>
  <c r="D1556" i="8"/>
  <c r="D1551" i="8"/>
  <c r="D1550" i="8"/>
  <c r="D1547" i="8"/>
  <c r="D1546" i="8"/>
  <c r="D1545" i="8"/>
  <c r="D1544" i="8"/>
  <c r="D1543" i="8"/>
  <c r="D1542" i="8"/>
  <c r="D1541" i="8"/>
  <c r="D1540" i="8"/>
  <c r="D1539" i="8"/>
  <c r="D1538" i="8"/>
  <c r="D1537" i="8"/>
  <c r="D1536" i="8"/>
  <c r="D1535" i="8"/>
  <c r="D1534" i="8"/>
  <c r="D1533" i="8"/>
  <c r="D1532" i="8"/>
  <c r="D1531" i="8"/>
  <c r="D1530" i="8"/>
  <c r="D1529" i="8"/>
  <c r="D1528" i="8"/>
  <c r="D1527" i="8"/>
  <c r="D1526" i="8"/>
  <c r="D1525" i="8"/>
  <c r="D1524" i="8"/>
  <c r="D1523" i="8"/>
  <c r="D1522" i="8"/>
  <c r="D1521" i="8"/>
  <c r="D1520" i="8"/>
  <c r="D1519" i="8"/>
  <c r="D1518" i="8"/>
  <c r="D1517" i="8"/>
  <c r="D1516" i="8"/>
  <c r="D1515" i="8"/>
  <c r="D1514" i="8"/>
  <c r="D1509" i="8"/>
  <c r="D1508" i="8"/>
  <c r="D1505" i="8"/>
  <c r="D1504" i="8"/>
  <c r="H1499" i="8"/>
  <c r="I1499" i="8"/>
  <c r="H1501" i="8"/>
  <c r="I1501" i="8"/>
  <c r="H1503" i="8"/>
  <c r="I1503" i="8"/>
  <c r="H1505" i="8"/>
  <c r="I1505" i="8"/>
  <c r="H1507" i="8"/>
  <c r="I1507" i="8"/>
  <c r="I1509" i="8"/>
  <c r="H1511" i="8"/>
  <c r="I1511" i="8"/>
  <c r="H1513" i="8"/>
  <c r="I1513" i="8"/>
  <c r="H1515" i="8"/>
  <c r="I1515" i="8"/>
  <c r="H1517" i="8"/>
  <c r="I1517" i="8"/>
  <c r="H1519" i="8"/>
  <c r="I1519" i="8"/>
  <c r="H1521" i="8"/>
  <c r="I1521" i="8"/>
  <c r="H1523" i="8"/>
  <c r="I1523" i="8"/>
  <c r="H1525" i="8"/>
  <c r="I1525" i="8"/>
  <c r="H1527" i="8"/>
  <c r="I1527" i="8"/>
  <c r="H1529" i="8"/>
  <c r="I1529" i="8"/>
  <c r="H1531" i="8"/>
  <c r="I1531" i="8"/>
  <c r="H1533" i="8"/>
  <c r="I1533" i="8"/>
  <c r="H1535" i="8"/>
  <c r="I1535" i="8"/>
  <c r="H1537" i="8"/>
  <c r="I1537" i="8"/>
  <c r="H1539" i="8"/>
  <c r="I1539" i="8"/>
  <c r="H1541" i="8"/>
  <c r="I1541" i="8"/>
  <c r="H1543" i="8"/>
  <c r="I1543" i="8"/>
  <c r="H1545" i="8"/>
  <c r="I1545" i="8"/>
  <c r="H1547" i="8"/>
  <c r="I1547" i="8"/>
  <c r="H1549" i="8"/>
  <c r="I1549" i="8"/>
  <c r="H1551" i="8"/>
  <c r="I1551" i="8"/>
  <c r="H1553" i="8"/>
  <c r="I1553" i="8"/>
  <c r="H1555" i="8"/>
  <c r="E44" i="10"/>
  <c r="I1555" i="8"/>
  <c r="F44" i="10"/>
  <c r="H1557" i="8"/>
  <c r="I1557" i="8"/>
  <c r="H1565" i="8"/>
  <c r="I1565" i="8"/>
  <c r="D1496" i="8"/>
  <c r="D1497" i="8"/>
  <c r="D1498" i="8"/>
  <c r="D1499" i="8"/>
  <c r="D1500" i="8"/>
  <c r="D1501" i="8"/>
  <c r="D1502" i="8"/>
  <c r="D1503" i="8"/>
  <c r="D1506" i="8"/>
  <c r="D1507" i="8"/>
  <c r="D1510" i="8"/>
  <c r="D1511" i="8"/>
  <c r="D1512" i="8"/>
  <c r="D1513" i="8"/>
  <c r="D1548" i="8"/>
  <c r="D1549" i="8"/>
  <c r="D1552" i="8"/>
  <c r="D1553" i="8"/>
  <c r="D1554" i="8"/>
  <c r="D1555" i="8"/>
  <c r="D1491" i="8"/>
  <c r="I1491" i="8"/>
  <c r="H1491" i="8"/>
  <c r="D1490" i="8"/>
  <c r="I1493" i="8"/>
  <c r="H1493" i="8"/>
  <c r="D1493" i="8"/>
  <c r="D1492" i="8"/>
  <c r="D1487" i="8"/>
  <c r="D1486" i="8"/>
  <c r="D1485" i="8"/>
  <c r="D1484" i="8"/>
  <c r="D1483" i="8"/>
  <c r="D1482" i="8"/>
  <c r="D1481" i="8"/>
  <c r="D1480" i="8"/>
  <c r="D1479" i="8"/>
  <c r="D1478" i="8"/>
  <c r="D1477" i="8"/>
  <c r="D1476" i="8"/>
  <c r="D1475" i="8"/>
  <c r="D1474" i="8"/>
  <c r="D1473" i="8"/>
  <c r="D1472" i="8"/>
  <c r="D1471" i="8"/>
  <c r="D1470" i="8"/>
  <c r="D1469" i="8"/>
  <c r="D1468" i="8"/>
  <c r="D1467" i="8"/>
  <c r="D1466" i="8"/>
  <c r="D1465" i="8"/>
  <c r="D1464" i="8"/>
  <c r="D1463" i="8"/>
  <c r="D1462" i="8"/>
  <c r="D1461" i="8"/>
  <c r="D1460" i="8"/>
  <c r="D1459" i="8"/>
  <c r="D1458" i="8"/>
  <c r="D1457" i="8"/>
  <c r="D1456" i="8"/>
  <c r="D1455" i="8"/>
  <c r="D1454" i="8"/>
  <c r="D1453" i="8"/>
  <c r="D1452" i="8"/>
  <c r="D1451" i="8"/>
  <c r="D1450" i="8"/>
  <c r="D1449" i="8"/>
  <c r="D1448" i="8"/>
  <c r="D1447" i="8"/>
  <c r="D1446" i="8"/>
  <c r="D1445" i="8"/>
  <c r="D1444" i="8"/>
  <c r="D1443" i="8"/>
  <c r="D1442" i="8"/>
  <c r="D1441" i="8"/>
  <c r="D1440" i="8"/>
  <c r="D1439" i="8"/>
  <c r="D1438" i="8"/>
  <c r="D1437" i="8"/>
  <c r="D1436" i="8"/>
  <c r="D1435" i="8"/>
  <c r="D1434" i="8"/>
  <c r="D1433" i="8"/>
  <c r="D1432" i="8"/>
  <c r="D1431" i="8"/>
  <c r="D1430" i="8"/>
  <c r="D1429" i="8"/>
  <c r="D1428" i="8"/>
  <c r="D1427" i="8"/>
  <c r="D1426" i="8"/>
  <c r="H1425" i="8"/>
  <c r="D1425" i="8"/>
  <c r="D1424" i="8"/>
  <c r="D1423" i="8"/>
  <c r="D1422" i="8"/>
  <c r="D1419" i="8"/>
  <c r="D1418" i="8"/>
  <c r="D1417" i="8"/>
  <c r="D1416" i="8"/>
  <c r="D1415" i="8"/>
  <c r="D1414" i="8"/>
  <c r="D1413" i="8"/>
  <c r="D1412" i="8"/>
  <c r="D1405" i="8"/>
  <c r="D1404" i="8"/>
  <c r="I1403" i="8"/>
  <c r="H1403" i="8"/>
  <c r="D1403" i="8"/>
  <c r="D1402" i="8"/>
  <c r="D1397" i="8"/>
  <c r="D1396" i="8"/>
  <c r="D1395" i="8"/>
  <c r="D1394" i="8"/>
  <c r="D1393" i="8"/>
  <c r="D1392" i="8"/>
  <c r="D1391" i="8"/>
  <c r="D1390" i="8"/>
  <c r="D1389" i="8"/>
  <c r="D1388" i="8"/>
  <c r="D1387" i="8"/>
  <c r="D1386" i="8"/>
  <c r="D1385" i="8"/>
  <c r="D1384" i="8"/>
  <c r="I1369" i="8"/>
  <c r="H1369" i="8"/>
  <c r="D1369" i="8"/>
  <c r="D1368" i="8"/>
  <c r="D1383" i="8"/>
  <c r="D1382" i="8"/>
  <c r="D1381" i="8"/>
  <c r="D1380" i="8"/>
  <c r="D1379" i="8"/>
  <c r="D1378" i="8"/>
  <c r="D1377" i="8"/>
  <c r="D1376" i="8"/>
  <c r="D1375" i="8"/>
  <c r="D1374" i="8"/>
  <c r="D1373" i="8"/>
  <c r="D1372" i="8"/>
  <c r="D1371" i="8"/>
  <c r="D1370" i="8"/>
  <c r="D1367" i="8"/>
  <c r="D1366" i="8"/>
  <c r="D1365" i="8"/>
  <c r="D1364" i="8"/>
  <c r="D1398" i="8"/>
  <c r="D1399" i="8"/>
  <c r="D1400" i="8"/>
  <c r="D1401" i="8"/>
  <c r="D1406" i="8"/>
  <c r="D1407" i="8"/>
  <c r="D1408" i="8"/>
  <c r="D1409" i="8"/>
  <c r="D1410" i="8"/>
  <c r="D1411" i="8"/>
  <c r="D1420" i="8"/>
  <c r="D1421" i="8"/>
  <c r="D1488" i="8"/>
  <c r="D1489" i="8"/>
  <c r="D1494" i="8"/>
  <c r="D1495" i="8"/>
  <c r="I1497" i="8"/>
  <c r="H1497" i="8"/>
  <c r="H1363" i="8"/>
  <c r="I1363" i="8"/>
  <c r="H1365" i="8"/>
  <c r="I1365" i="8"/>
  <c r="H1367" i="8"/>
  <c r="I1367" i="8"/>
  <c r="H1371" i="8"/>
  <c r="I1371" i="8"/>
  <c r="H1373" i="8"/>
  <c r="I1373" i="8"/>
  <c r="H1375" i="8"/>
  <c r="I1375" i="8"/>
  <c r="H1377" i="8"/>
  <c r="I1377" i="8"/>
  <c r="H1379" i="8"/>
  <c r="I1379" i="8"/>
  <c r="H1381" i="8"/>
  <c r="I1381" i="8"/>
  <c r="H1383" i="8"/>
  <c r="I1383" i="8"/>
  <c r="H1385" i="8"/>
  <c r="I1385" i="8"/>
  <c r="H1387" i="8"/>
  <c r="I1387" i="8"/>
  <c r="H1389" i="8"/>
  <c r="I1389" i="8"/>
  <c r="H1391" i="8"/>
  <c r="I1391" i="8"/>
  <c r="H1393" i="8"/>
  <c r="I1393" i="8"/>
  <c r="H1395" i="8"/>
  <c r="I1395" i="8"/>
  <c r="H1397" i="8"/>
  <c r="I1397" i="8"/>
  <c r="H1399" i="8"/>
  <c r="I1399" i="8"/>
  <c r="H1401" i="8"/>
  <c r="I1401" i="8"/>
  <c r="F13" i="10"/>
  <c r="H1405" i="8"/>
  <c r="I1405" i="8"/>
  <c r="H1407" i="8"/>
  <c r="I1407" i="8"/>
  <c r="H1409" i="8"/>
  <c r="I1409" i="8"/>
  <c r="H1411" i="8"/>
  <c r="I1411" i="8"/>
  <c r="H1413" i="8"/>
  <c r="I1413" i="8"/>
  <c r="H1415" i="8"/>
  <c r="I1415" i="8"/>
  <c r="H1417" i="8"/>
  <c r="I1417" i="8"/>
  <c r="H1419" i="8"/>
  <c r="I1419" i="8"/>
  <c r="H1421" i="8"/>
  <c r="I1421" i="8"/>
  <c r="H1423" i="8"/>
  <c r="I1423" i="8"/>
  <c r="I1425" i="8"/>
  <c r="H1427" i="8"/>
  <c r="I1427" i="8"/>
  <c r="H1429" i="8"/>
  <c r="I1429" i="8"/>
  <c r="H1431" i="8"/>
  <c r="I1431" i="8"/>
  <c r="H1433" i="8"/>
  <c r="I1433" i="8"/>
  <c r="H1435" i="8"/>
  <c r="I1435" i="8"/>
  <c r="H1437" i="8"/>
  <c r="I1437" i="8"/>
  <c r="H1439" i="8"/>
  <c r="I1439" i="8"/>
  <c r="H1441" i="8"/>
  <c r="I1441" i="8"/>
  <c r="H1443" i="8"/>
  <c r="I1443" i="8"/>
  <c r="H1445" i="8"/>
  <c r="I1445" i="8"/>
  <c r="H1447" i="8"/>
  <c r="I1447" i="8"/>
  <c r="H1449" i="8"/>
  <c r="I1449" i="8"/>
  <c r="H1451" i="8"/>
  <c r="I1451" i="8"/>
  <c r="H1453" i="8"/>
  <c r="I1453" i="8"/>
  <c r="H1455" i="8"/>
  <c r="I1455" i="8"/>
  <c r="H1457" i="8"/>
  <c r="I1457" i="8"/>
  <c r="H1459" i="8"/>
  <c r="I1459" i="8"/>
  <c r="H1461" i="8"/>
  <c r="I1461" i="8"/>
  <c r="H1463" i="8"/>
  <c r="I1463" i="8"/>
  <c r="H1465" i="8"/>
  <c r="I1465" i="8"/>
  <c r="H1467" i="8"/>
  <c r="I1467" i="8"/>
  <c r="H1469" i="8"/>
  <c r="I1469" i="8"/>
  <c r="H1471" i="8"/>
  <c r="I1471" i="8"/>
  <c r="H1473" i="8"/>
  <c r="I1473" i="8"/>
  <c r="H1475" i="8"/>
  <c r="I1475" i="8"/>
  <c r="H1477" i="8"/>
  <c r="I1477" i="8"/>
  <c r="H1479" i="8"/>
  <c r="I1479" i="8"/>
  <c r="H1481" i="8"/>
  <c r="I1481" i="8"/>
  <c r="H1483" i="8"/>
  <c r="I1483" i="8"/>
  <c r="H1485" i="8"/>
  <c r="I1485" i="8"/>
  <c r="H1487" i="8"/>
  <c r="I1487" i="8"/>
  <c r="H1489" i="8"/>
  <c r="I1489" i="8"/>
  <c r="H1495" i="8"/>
  <c r="I1495" i="8"/>
  <c r="D1363" i="8"/>
  <c r="D1362" i="8"/>
  <c r="D1341" i="8"/>
  <c r="D1340" i="8"/>
  <c r="D1339" i="8"/>
  <c r="D1338" i="8"/>
  <c r="I1337" i="8"/>
  <c r="H1337" i="8"/>
  <c r="D1337" i="8"/>
  <c r="D1336" i="8"/>
  <c r="H1291" i="8"/>
  <c r="D1342" i="8"/>
  <c r="D1343" i="8"/>
  <c r="D1344" i="8"/>
  <c r="D1345" i="8"/>
  <c r="D1346" i="8"/>
  <c r="D1347" i="8"/>
  <c r="D1348" i="8"/>
  <c r="D1349" i="8"/>
  <c r="D1350" i="8"/>
  <c r="D1351" i="8"/>
  <c r="D1352" i="8"/>
  <c r="D1353" i="8"/>
  <c r="D1354" i="8"/>
  <c r="D1355" i="8"/>
  <c r="D1356" i="8"/>
  <c r="D1357" i="8"/>
  <c r="D1358" i="8"/>
  <c r="D1359" i="8"/>
  <c r="D1360" i="8"/>
  <c r="D1361" i="8"/>
  <c r="H1313" i="8"/>
  <c r="I1313" i="8"/>
  <c r="H1315" i="8"/>
  <c r="I1315" i="8"/>
  <c r="H1317" i="8"/>
  <c r="I1317" i="8"/>
  <c r="H1319" i="8"/>
  <c r="I1319" i="8"/>
  <c r="H1321" i="8"/>
  <c r="I1321" i="8"/>
  <c r="H1323" i="8"/>
  <c r="I1323" i="8"/>
  <c r="H1325" i="8"/>
  <c r="I1325" i="8"/>
  <c r="H1327" i="8"/>
  <c r="I1327" i="8"/>
  <c r="H1329" i="8"/>
  <c r="I1329" i="8"/>
  <c r="H1331" i="8"/>
  <c r="I1331" i="8"/>
  <c r="H1333" i="8"/>
  <c r="I1333" i="8"/>
  <c r="H1335" i="8"/>
  <c r="I1335" i="8"/>
  <c r="H1339" i="8"/>
  <c r="I1339" i="8"/>
  <c r="H1341" i="8"/>
  <c r="I1341" i="8"/>
  <c r="H1343" i="8"/>
  <c r="I1343" i="8"/>
  <c r="H1345" i="8"/>
  <c r="I1345" i="8"/>
  <c r="H1347" i="8"/>
  <c r="I1347" i="8"/>
  <c r="H1349" i="8"/>
  <c r="I1349" i="8"/>
  <c r="H1351" i="8"/>
  <c r="I1351" i="8"/>
  <c r="H1353" i="8"/>
  <c r="I1353" i="8"/>
  <c r="H1355" i="8"/>
  <c r="I1355" i="8"/>
  <c r="H1357" i="8"/>
  <c r="I1357" i="8"/>
  <c r="H1359" i="8"/>
  <c r="I1359" i="8"/>
  <c r="H1361" i="8"/>
  <c r="I1361" i="8"/>
  <c r="D1335" i="8"/>
  <c r="D1334" i="8"/>
  <c r="D1333" i="8"/>
  <c r="D1332" i="8"/>
  <c r="D1331" i="8"/>
  <c r="D1330" i="8"/>
  <c r="D1329" i="8"/>
  <c r="D1328" i="8"/>
  <c r="D1327" i="8"/>
  <c r="D1326" i="8"/>
  <c r="D1325" i="8"/>
  <c r="D1324" i="8"/>
  <c r="D1323" i="8"/>
  <c r="D1322" i="8"/>
  <c r="D1321" i="8"/>
  <c r="D1320" i="8"/>
  <c r="D1319" i="8"/>
  <c r="D1318" i="8"/>
  <c r="D1317" i="8"/>
  <c r="D1316" i="8"/>
  <c r="D1315" i="8"/>
  <c r="D1314" i="8"/>
  <c r="D1313" i="8"/>
  <c r="D1312" i="8"/>
  <c r="D1311" i="8"/>
  <c r="D1310" i="8"/>
  <c r="D1309" i="8"/>
  <c r="D1308" i="8"/>
  <c r="D1307" i="8"/>
  <c r="D1306" i="8"/>
  <c r="D1305" i="8"/>
  <c r="D1304" i="8"/>
  <c r="D1303" i="8"/>
  <c r="D1302" i="8"/>
  <c r="D1301" i="8"/>
  <c r="D1300" i="8"/>
  <c r="D1299" i="8"/>
  <c r="D1298" i="8"/>
  <c r="D1297" i="8"/>
  <c r="D1296" i="8"/>
  <c r="D1295" i="8"/>
  <c r="D1294" i="8"/>
  <c r="D1293" i="8"/>
  <c r="D1292" i="8"/>
  <c r="D1291" i="8"/>
  <c r="D1290" i="8"/>
  <c r="D1289" i="8"/>
  <c r="D1288" i="8"/>
  <c r="D1287" i="8"/>
  <c r="D1286" i="8"/>
  <c r="D1285" i="8"/>
  <c r="D1284" i="8"/>
  <c r="D1283" i="8"/>
  <c r="D1282" i="8"/>
  <c r="D1281" i="8"/>
  <c r="D1280" i="8"/>
  <c r="D1279" i="8"/>
  <c r="D1278" i="8"/>
  <c r="D1277" i="8"/>
  <c r="D1276" i="8"/>
  <c r="D1275" i="8"/>
  <c r="D1274" i="8"/>
  <c r="D1273" i="8"/>
  <c r="D1272" i="8"/>
  <c r="I1261" i="8"/>
  <c r="H1261" i="8"/>
  <c r="D1261" i="8"/>
  <c r="D1260" i="8"/>
  <c r="I1269" i="8"/>
  <c r="H1269" i="8"/>
  <c r="D1269" i="8"/>
  <c r="D1268" i="8"/>
  <c r="I1267" i="8"/>
  <c r="H1267" i="8"/>
  <c r="D1267" i="8"/>
  <c r="D1266" i="8"/>
  <c r="I1265" i="8"/>
  <c r="H1265" i="8"/>
  <c r="D1265" i="8"/>
  <c r="D1264" i="8"/>
  <c r="D1263" i="8"/>
  <c r="D1262" i="8"/>
  <c r="H1263" i="8"/>
  <c r="I1263" i="8"/>
  <c r="H1271" i="8"/>
  <c r="I1271" i="8"/>
  <c r="H1273" i="8"/>
  <c r="I1273" i="8"/>
  <c r="H1275" i="8"/>
  <c r="I1275" i="8"/>
  <c r="H1277" i="8"/>
  <c r="I1277" i="8"/>
  <c r="H1279" i="8"/>
  <c r="I1279" i="8"/>
  <c r="H1281" i="8"/>
  <c r="I1281" i="8"/>
  <c r="H1283" i="8"/>
  <c r="I1283" i="8"/>
  <c r="H1285" i="8"/>
  <c r="I1285" i="8"/>
  <c r="H1287" i="8"/>
  <c r="I1287" i="8"/>
  <c r="H1289" i="8"/>
  <c r="I1289" i="8"/>
  <c r="I1291" i="8"/>
  <c r="H1293" i="8"/>
  <c r="I1293" i="8"/>
  <c r="H1295" i="8"/>
  <c r="I1295" i="8"/>
  <c r="H1297" i="8"/>
  <c r="I1297" i="8"/>
  <c r="H1299" i="8"/>
  <c r="I1299" i="8"/>
  <c r="H1301" i="8"/>
  <c r="I1301" i="8"/>
  <c r="H1303" i="8"/>
  <c r="I1303" i="8"/>
  <c r="H1305" i="8"/>
  <c r="I1305" i="8"/>
  <c r="H1307" i="8"/>
  <c r="I1307" i="8"/>
  <c r="H1309" i="8"/>
  <c r="I1309" i="8"/>
  <c r="H1311" i="8"/>
  <c r="I1311" i="8"/>
  <c r="D1258" i="8"/>
  <c r="D1259" i="8"/>
  <c r="D1270" i="8"/>
  <c r="D1271" i="8"/>
  <c r="D1249" i="8"/>
  <c r="D1248" i="8"/>
  <c r="D1247" i="8"/>
  <c r="D1246" i="8"/>
  <c r="D1245" i="8"/>
  <c r="D1244" i="8"/>
  <c r="D1243" i="8"/>
  <c r="D1242" i="8"/>
  <c r="D1241" i="8"/>
  <c r="D1240" i="8"/>
  <c r="D1239" i="8"/>
  <c r="D1238" i="8"/>
  <c r="D1237" i="8"/>
  <c r="D1236" i="8"/>
  <c r="D1235" i="8"/>
  <c r="D1234" i="8"/>
  <c r="D1233" i="8"/>
  <c r="D1232" i="8"/>
  <c r="D1231" i="8"/>
  <c r="D1230" i="8"/>
  <c r="D1229" i="8"/>
  <c r="D1228" i="8"/>
  <c r="D1227" i="8"/>
  <c r="D1226" i="8"/>
  <c r="D1225" i="8"/>
  <c r="D1224" i="8"/>
  <c r="D1223" i="8"/>
  <c r="D1222" i="8"/>
  <c r="D1221" i="8"/>
  <c r="D1220" i="8"/>
  <c r="H1215" i="8"/>
  <c r="I1215" i="8"/>
  <c r="H1217" i="8"/>
  <c r="I1217" i="8"/>
  <c r="H1219" i="8"/>
  <c r="I1219" i="8"/>
  <c r="H1221" i="8"/>
  <c r="I1221" i="8"/>
  <c r="H1223" i="8"/>
  <c r="I1223" i="8"/>
  <c r="H1225" i="8"/>
  <c r="I1225" i="8"/>
  <c r="H1227" i="8"/>
  <c r="I1227" i="8"/>
  <c r="H1229" i="8"/>
  <c r="I1229" i="8"/>
  <c r="H1231" i="8"/>
  <c r="I1231" i="8"/>
  <c r="H1233" i="8"/>
  <c r="I1233" i="8"/>
  <c r="H1235" i="8"/>
  <c r="I1235" i="8"/>
  <c r="H1237" i="8"/>
  <c r="I1237" i="8"/>
  <c r="H1239" i="8"/>
  <c r="I1239" i="8"/>
  <c r="H1241" i="8"/>
  <c r="I1241" i="8"/>
  <c r="H1243" i="8"/>
  <c r="I1243" i="8"/>
  <c r="H1245" i="8"/>
  <c r="I1245" i="8"/>
  <c r="H1247" i="8"/>
  <c r="I1247" i="8"/>
  <c r="H1249" i="8"/>
  <c r="I1249" i="8"/>
  <c r="H1251" i="8"/>
  <c r="I1251" i="8"/>
  <c r="H1253" i="8"/>
  <c r="I1253" i="8"/>
  <c r="H1255" i="8"/>
  <c r="I1255" i="8"/>
  <c r="H1257" i="8"/>
  <c r="I1257" i="8"/>
  <c r="H1259" i="8"/>
  <c r="I1259" i="8"/>
  <c r="D1218" i="8"/>
  <c r="D1219" i="8"/>
  <c r="D1250" i="8"/>
  <c r="D1251" i="8"/>
  <c r="D1252" i="8"/>
  <c r="D1253" i="8"/>
  <c r="D1254" i="8"/>
  <c r="D1255" i="8"/>
  <c r="D1256" i="8"/>
  <c r="D1257" i="8"/>
  <c r="D1217" i="8"/>
  <c r="D1216" i="8"/>
  <c r="D1215" i="8"/>
  <c r="D1214" i="8"/>
  <c r="D1213" i="8"/>
  <c r="D1212" i="8"/>
  <c r="D1211" i="8"/>
  <c r="D1210" i="8"/>
  <c r="D1209" i="8"/>
  <c r="D1208" i="8"/>
  <c r="D1207" i="8"/>
  <c r="D1206" i="8"/>
  <c r="I1203" i="8"/>
  <c r="H1203" i="8"/>
  <c r="D1203" i="8"/>
  <c r="D1202" i="8"/>
  <c r="D1197" i="8"/>
  <c r="D1196" i="8"/>
  <c r="D1195" i="8"/>
  <c r="D1194" i="8"/>
  <c r="I1191" i="8"/>
  <c r="H1191" i="8"/>
  <c r="D1191" i="8"/>
  <c r="D1190" i="8"/>
  <c r="D1185" i="8"/>
  <c r="D1184" i="8"/>
  <c r="I1181" i="8"/>
  <c r="H1181" i="8"/>
  <c r="D1181" i="8"/>
  <c r="D1180" i="8"/>
  <c r="D1183" i="8"/>
  <c r="D1182" i="8"/>
  <c r="D1179" i="8"/>
  <c r="D1178" i="8"/>
  <c r="D1177" i="8"/>
  <c r="D1176" i="8"/>
  <c r="H1155" i="8"/>
  <c r="H1167" i="8"/>
  <c r="I1167" i="8"/>
  <c r="H1169" i="8"/>
  <c r="I1169" i="8"/>
  <c r="H1171" i="8"/>
  <c r="I1171" i="8"/>
  <c r="H1173" i="8"/>
  <c r="I1173" i="8"/>
  <c r="H1175" i="8"/>
  <c r="I1175" i="8"/>
  <c r="H1177" i="8"/>
  <c r="I1177" i="8"/>
  <c r="H1179" i="8"/>
  <c r="I1179" i="8"/>
  <c r="H1183" i="8"/>
  <c r="I1183" i="8"/>
  <c r="H1185" i="8"/>
  <c r="I1185" i="8"/>
  <c r="H1187" i="8"/>
  <c r="I1187" i="8"/>
  <c r="H1189" i="8"/>
  <c r="I1189" i="8"/>
  <c r="H1193" i="8"/>
  <c r="I1193" i="8"/>
  <c r="H1195" i="8"/>
  <c r="I1195" i="8"/>
  <c r="H1197" i="8"/>
  <c r="I1197" i="8"/>
  <c r="H1199" i="8"/>
  <c r="I1199" i="8"/>
  <c r="H1201" i="8"/>
  <c r="I1201" i="8"/>
  <c r="H1205" i="8"/>
  <c r="I1205" i="8"/>
  <c r="H1207" i="8"/>
  <c r="I1207" i="8"/>
  <c r="H1209" i="8"/>
  <c r="I1209" i="8"/>
  <c r="H1211" i="8"/>
  <c r="I1211" i="8"/>
  <c r="H1213" i="8"/>
  <c r="I1213" i="8"/>
  <c r="D1166" i="8"/>
  <c r="D1167" i="8"/>
  <c r="D1168" i="8"/>
  <c r="D1169" i="8"/>
  <c r="D1170" i="8"/>
  <c r="D1171" i="8"/>
  <c r="D1172" i="8"/>
  <c r="D1173" i="8"/>
  <c r="D1174" i="8"/>
  <c r="D1175" i="8"/>
  <c r="D1186" i="8"/>
  <c r="D1187" i="8"/>
  <c r="D1188" i="8"/>
  <c r="D1189" i="8"/>
  <c r="D1192" i="8"/>
  <c r="D1193" i="8"/>
  <c r="D1198" i="8"/>
  <c r="D1199" i="8"/>
  <c r="D1200" i="8"/>
  <c r="D1201" i="8"/>
  <c r="D1204" i="8"/>
  <c r="D1205" i="8"/>
  <c r="D1099" i="8"/>
  <c r="D1098" i="8"/>
  <c r="D1097" i="8"/>
  <c r="D1096" i="8"/>
  <c r="D1095" i="8"/>
  <c r="D1094" i="8"/>
  <c r="D1093" i="8"/>
  <c r="D1092" i="8"/>
  <c r="D1091" i="8"/>
  <c r="D1090" i="8"/>
  <c r="D1089" i="8"/>
  <c r="D1088" i="8"/>
  <c r="D1085" i="8"/>
  <c r="D1084" i="8"/>
  <c r="I1081" i="8"/>
  <c r="H1081" i="8"/>
  <c r="D1081" i="8"/>
  <c r="D1080" i="8"/>
  <c r="D1083" i="8"/>
  <c r="D1082" i="8"/>
  <c r="D1079" i="8"/>
  <c r="D1078" i="8"/>
  <c r="D1077" i="8"/>
  <c r="D1076" i="8"/>
  <c r="D1075" i="8"/>
  <c r="D1074" i="8"/>
  <c r="D1073" i="8"/>
  <c r="D1072" i="8"/>
  <c r="D1071" i="8"/>
  <c r="D1070" i="8"/>
  <c r="D1069" i="8"/>
  <c r="D1068" i="8"/>
  <c r="D1066" i="8"/>
  <c r="D1067" i="8"/>
  <c r="D1065" i="8"/>
  <c r="D1064" i="8"/>
  <c r="D1063" i="8"/>
  <c r="D1062" i="8"/>
  <c r="D1061" i="8"/>
  <c r="D1060" i="8"/>
  <c r="D1059" i="8"/>
  <c r="D1058" i="8"/>
  <c r="D1057" i="8"/>
  <c r="D1056" i="8"/>
  <c r="D1055" i="8"/>
  <c r="D1054" i="8"/>
  <c r="D1053" i="8"/>
  <c r="D1052" i="8"/>
  <c r="D1051" i="8"/>
  <c r="D1050" i="8"/>
  <c r="D1049" i="8"/>
  <c r="D1048" i="8"/>
  <c r="D1047" i="8"/>
  <c r="D1046" i="8"/>
  <c r="D1031" i="8"/>
  <c r="D1030" i="8"/>
  <c r="D1029" i="8"/>
  <c r="D1028" i="8"/>
  <c r="H1029" i="8"/>
  <c r="I1029" i="8"/>
  <c r="H1031" i="8"/>
  <c r="I1031" i="8"/>
  <c r="H1033" i="8"/>
  <c r="I1033" i="8"/>
  <c r="H1035" i="8"/>
  <c r="I1035" i="8"/>
  <c r="H1037" i="8"/>
  <c r="I1037" i="8"/>
  <c r="H1039" i="8"/>
  <c r="I1039" i="8"/>
  <c r="H1041" i="8"/>
  <c r="I1041" i="8"/>
  <c r="H1043" i="8"/>
  <c r="I1043" i="8"/>
  <c r="H1045" i="8"/>
  <c r="I1045" i="8"/>
  <c r="H1047" i="8"/>
  <c r="I1047" i="8"/>
  <c r="H1049" i="8"/>
  <c r="I1049" i="8"/>
  <c r="H1051" i="8"/>
  <c r="I1051" i="8"/>
  <c r="H1053" i="8"/>
  <c r="I1053" i="8"/>
  <c r="H1055" i="8"/>
  <c r="I1055" i="8"/>
  <c r="H1057" i="8"/>
  <c r="I1057" i="8"/>
  <c r="H1059" i="8"/>
  <c r="I1059" i="8"/>
  <c r="H1061" i="8"/>
  <c r="I1061" i="8"/>
  <c r="H1063" i="8"/>
  <c r="I1063" i="8"/>
  <c r="H1065" i="8"/>
  <c r="I1065" i="8"/>
  <c r="H1067" i="8"/>
  <c r="I1067" i="8"/>
  <c r="H1069" i="8"/>
  <c r="I1069" i="8"/>
  <c r="H1071" i="8"/>
  <c r="I1071" i="8"/>
  <c r="H1073" i="8"/>
  <c r="I1073" i="8"/>
  <c r="H1075" i="8"/>
  <c r="I1075" i="8"/>
  <c r="H1077" i="8"/>
  <c r="I1077" i="8"/>
  <c r="H1079" i="8"/>
  <c r="I1079" i="8"/>
  <c r="H1083" i="8"/>
  <c r="I1083" i="8"/>
  <c r="H1085" i="8"/>
  <c r="I1085" i="8"/>
  <c r="H1087" i="8"/>
  <c r="I1087" i="8"/>
  <c r="H1089" i="8"/>
  <c r="I1089" i="8"/>
  <c r="H1091" i="8"/>
  <c r="I1091" i="8"/>
  <c r="H1093" i="8"/>
  <c r="I1093" i="8"/>
  <c r="H1095" i="8"/>
  <c r="I1095" i="8"/>
  <c r="H1097" i="8"/>
  <c r="I1097" i="8"/>
  <c r="H1099" i="8"/>
  <c r="I1099" i="8"/>
  <c r="H1101" i="8"/>
  <c r="I1101" i="8"/>
  <c r="H1103" i="8"/>
  <c r="I1103" i="8"/>
  <c r="H1105" i="8"/>
  <c r="I1105" i="8"/>
  <c r="H1107" i="8"/>
  <c r="I1107" i="8"/>
  <c r="H1109" i="8"/>
  <c r="I1109" i="8"/>
  <c r="H1111" i="8"/>
  <c r="I1111" i="8"/>
  <c r="H1113" i="8"/>
  <c r="I1113" i="8"/>
  <c r="H1115" i="8"/>
  <c r="I1115" i="8"/>
  <c r="H1117" i="8"/>
  <c r="I1117" i="8"/>
  <c r="H1119" i="8"/>
  <c r="I1119" i="8"/>
  <c r="H1121" i="8"/>
  <c r="I1121" i="8"/>
  <c r="H1123" i="8"/>
  <c r="I1123" i="8"/>
  <c r="H1125" i="8"/>
  <c r="I1125" i="8"/>
  <c r="H1127" i="8"/>
  <c r="I1127" i="8"/>
  <c r="H1129" i="8"/>
  <c r="I1129" i="8"/>
  <c r="H1131" i="8"/>
  <c r="I1131" i="8"/>
  <c r="H1133" i="8"/>
  <c r="I1133" i="8"/>
  <c r="H1135" i="8"/>
  <c r="I1135" i="8"/>
  <c r="H1137" i="8"/>
  <c r="I1137" i="8"/>
  <c r="H1139" i="8"/>
  <c r="I1139" i="8"/>
  <c r="H1141" i="8"/>
  <c r="I1141" i="8"/>
  <c r="H1143" i="8"/>
  <c r="I1143" i="8"/>
  <c r="H1145" i="8"/>
  <c r="I1145" i="8"/>
  <c r="H1147" i="8"/>
  <c r="I1147" i="8"/>
  <c r="H1149" i="8"/>
  <c r="I1149" i="8"/>
  <c r="H1151" i="8"/>
  <c r="I1151" i="8"/>
  <c r="H1153" i="8"/>
  <c r="I1153" i="8"/>
  <c r="I1155" i="8"/>
  <c r="H1157" i="8"/>
  <c r="I1157" i="8"/>
  <c r="H1159" i="8"/>
  <c r="I1159" i="8"/>
  <c r="H1161" i="8"/>
  <c r="I1161" i="8"/>
  <c r="H1163" i="8"/>
  <c r="I1163" i="8"/>
  <c r="H1165" i="8"/>
  <c r="I1165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86" i="8"/>
  <c r="D1087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027" i="8"/>
  <c r="D1026" i="8"/>
  <c r="D1025" i="8"/>
  <c r="D1024" i="8"/>
  <c r="D1023" i="8"/>
  <c r="D1022" i="8"/>
  <c r="D1021" i="8"/>
  <c r="D1020" i="8"/>
  <c r="D1019" i="8"/>
  <c r="D1018" i="8"/>
  <c r="D1017" i="8"/>
  <c r="D1016" i="8"/>
  <c r="D1015" i="8"/>
  <c r="D1014" i="8"/>
  <c r="D1011" i="8"/>
  <c r="D1010" i="8"/>
  <c r="D1001" i="8"/>
  <c r="D1000" i="8"/>
  <c r="D999" i="8"/>
  <c r="D998" i="8"/>
  <c r="I983" i="8"/>
  <c r="I985" i="8"/>
  <c r="D982" i="8"/>
  <c r="D983" i="8"/>
  <c r="D984" i="8"/>
  <c r="D985" i="8"/>
  <c r="D987" i="8"/>
  <c r="D986" i="8"/>
  <c r="H961" i="8"/>
  <c r="H967" i="8"/>
  <c r="I967" i="8"/>
  <c r="H969" i="8"/>
  <c r="I969" i="8"/>
  <c r="H971" i="8"/>
  <c r="I971" i="8"/>
  <c r="H973" i="8"/>
  <c r="I973" i="8"/>
  <c r="H975" i="8"/>
  <c r="I975" i="8"/>
  <c r="H977" i="8"/>
  <c r="I977" i="8"/>
  <c r="H979" i="8"/>
  <c r="I979" i="8"/>
  <c r="H981" i="8"/>
  <c r="I982" i="8"/>
  <c r="H983" i="8" s="1"/>
  <c r="I981" i="8"/>
  <c r="H987" i="8"/>
  <c r="I987" i="8"/>
  <c r="H989" i="8"/>
  <c r="I989" i="8"/>
  <c r="H991" i="8"/>
  <c r="I991" i="8"/>
  <c r="H993" i="8"/>
  <c r="I993" i="8"/>
  <c r="H995" i="8"/>
  <c r="I995" i="8"/>
  <c r="H997" i="8"/>
  <c r="I997" i="8"/>
  <c r="H999" i="8"/>
  <c r="I999" i="8"/>
  <c r="H1001" i="8"/>
  <c r="I1001" i="8"/>
  <c r="H1003" i="8"/>
  <c r="I1003" i="8"/>
  <c r="H1005" i="8"/>
  <c r="I1005" i="8"/>
  <c r="H1007" i="8"/>
  <c r="I1007" i="8"/>
  <c r="H1009" i="8"/>
  <c r="I1009" i="8"/>
  <c r="H1011" i="8"/>
  <c r="I1011" i="8"/>
  <c r="H1013" i="8"/>
  <c r="I1013" i="8"/>
  <c r="H1015" i="8"/>
  <c r="I1015" i="8"/>
  <c r="H1017" i="8"/>
  <c r="I1017" i="8"/>
  <c r="H1019" i="8"/>
  <c r="I1019" i="8"/>
  <c r="H1021" i="8"/>
  <c r="I1021" i="8"/>
  <c r="H1023" i="8"/>
  <c r="I1023" i="8"/>
  <c r="H1025" i="8"/>
  <c r="I1025" i="8"/>
  <c r="H1027" i="8"/>
  <c r="I1027" i="8"/>
  <c r="D988" i="8"/>
  <c r="D989" i="8"/>
  <c r="D990" i="8"/>
  <c r="D991" i="8"/>
  <c r="D992" i="8"/>
  <c r="D993" i="8"/>
  <c r="D994" i="8"/>
  <c r="D995" i="8"/>
  <c r="D996" i="8"/>
  <c r="D997" i="8"/>
  <c r="D1002" i="8"/>
  <c r="D1003" i="8"/>
  <c r="D1004" i="8"/>
  <c r="D1005" i="8"/>
  <c r="D1006" i="8"/>
  <c r="D1007" i="8"/>
  <c r="D1008" i="8"/>
  <c r="D1009" i="8"/>
  <c r="D1012" i="8"/>
  <c r="D1013" i="8"/>
  <c r="D981" i="8"/>
  <c r="D980" i="8"/>
  <c r="D979" i="8"/>
  <c r="D978" i="8"/>
  <c r="D977" i="8"/>
  <c r="D976" i="8"/>
  <c r="D975" i="8"/>
  <c r="D974" i="8"/>
  <c r="D973" i="8"/>
  <c r="D972" i="8"/>
  <c r="D971" i="8"/>
  <c r="D970" i="8"/>
  <c r="D969" i="8"/>
  <c r="D968" i="8"/>
  <c r="D967" i="8"/>
  <c r="D966" i="8"/>
  <c r="D945" i="8"/>
  <c r="D944" i="8"/>
  <c r="D943" i="8"/>
  <c r="D942" i="8"/>
  <c r="D941" i="8"/>
  <c r="D940" i="8"/>
  <c r="D939" i="8"/>
  <c r="D938" i="8"/>
  <c r="D937" i="8"/>
  <c r="D936" i="8"/>
  <c r="D921" i="8"/>
  <c r="D920" i="8"/>
  <c r="I917" i="8"/>
  <c r="H917" i="8"/>
  <c r="D917" i="8"/>
  <c r="D916" i="8"/>
  <c r="D919" i="8"/>
  <c r="D918" i="8"/>
  <c r="D915" i="8"/>
  <c r="D914" i="8"/>
  <c r="D913" i="8"/>
  <c r="D912" i="8"/>
  <c r="D911" i="8"/>
  <c r="D910" i="8"/>
  <c r="D909" i="8"/>
  <c r="D908" i="8"/>
  <c r="D907" i="8"/>
  <c r="D906" i="8"/>
  <c r="H905" i="8"/>
  <c r="I905" i="8"/>
  <c r="H907" i="8"/>
  <c r="I907" i="8"/>
  <c r="H909" i="8"/>
  <c r="I909" i="8"/>
  <c r="H911" i="8"/>
  <c r="I911" i="8"/>
  <c r="H913" i="8"/>
  <c r="I913" i="8"/>
  <c r="H915" i="8"/>
  <c r="I915" i="8"/>
  <c r="H919" i="8"/>
  <c r="I919" i="8"/>
  <c r="H921" i="8"/>
  <c r="I921" i="8"/>
  <c r="H923" i="8"/>
  <c r="I923" i="8"/>
  <c r="H925" i="8"/>
  <c r="I925" i="8"/>
  <c r="H927" i="8"/>
  <c r="I927" i="8"/>
  <c r="H929" i="8"/>
  <c r="I929" i="8"/>
  <c r="H931" i="8"/>
  <c r="I931" i="8"/>
  <c r="H933" i="8"/>
  <c r="I933" i="8"/>
  <c r="H935" i="8"/>
  <c r="I935" i="8"/>
  <c r="H937" i="8"/>
  <c r="I937" i="8"/>
  <c r="H939" i="8"/>
  <c r="I939" i="8"/>
  <c r="H941" i="8"/>
  <c r="I941" i="8"/>
  <c r="H943" i="8"/>
  <c r="I943" i="8"/>
  <c r="H945" i="8"/>
  <c r="I945" i="8"/>
  <c r="H947" i="8"/>
  <c r="I947" i="8"/>
  <c r="H949" i="8"/>
  <c r="I949" i="8"/>
  <c r="H951" i="8"/>
  <c r="I951" i="8"/>
  <c r="H953" i="8"/>
  <c r="I953" i="8"/>
  <c r="H955" i="8"/>
  <c r="I955" i="8"/>
  <c r="H957" i="8"/>
  <c r="I957" i="8"/>
  <c r="H959" i="8"/>
  <c r="I959" i="8"/>
  <c r="I961" i="8"/>
  <c r="H963" i="8"/>
  <c r="I963" i="8"/>
  <c r="H965" i="8"/>
  <c r="I965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05" i="8"/>
  <c r="D904" i="8"/>
  <c r="D903" i="8"/>
  <c r="D902" i="8"/>
  <c r="D901" i="8"/>
  <c r="D900" i="8"/>
  <c r="D899" i="8"/>
  <c r="D898" i="8"/>
  <c r="D897" i="8"/>
  <c r="D896" i="8"/>
  <c r="D895" i="8"/>
  <c r="D894" i="8"/>
  <c r="D893" i="8"/>
  <c r="D892" i="8"/>
  <c r="D891" i="8"/>
  <c r="D890" i="8"/>
  <c r="D889" i="8"/>
  <c r="D888" i="8"/>
  <c r="D881" i="8"/>
  <c r="D880" i="8"/>
  <c r="D877" i="8"/>
  <c r="D876" i="8"/>
  <c r="D865" i="8"/>
  <c r="D864" i="8"/>
  <c r="H861" i="8"/>
  <c r="I861" i="8"/>
  <c r="H863" i="8"/>
  <c r="I863" i="8"/>
  <c r="H865" i="8"/>
  <c r="I865" i="8"/>
  <c r="H867" i="8"/>
  <c r="I867" i="8"/>
  <c r="H869" i="8"/>
  <c r="I869" i="8"/>
  <c r="H871" i="8"/>
  <c r="I871" i="8"/>
  <c r="H873" i="8"/>
  <c r="I873" i="8"/>
  <c r="H875" i="8"/>
  <c r="I875" i="8"/>
  <c r="H877" i="8"/>
  <c r="I877" i="8"/>
  <c r="H879" i="8"/>
  <c r="I879" i="8"/>
  <c r="H881" i="8"/>
  <c r="I881" i="8"/>
  <c r="H883" i="8"/>
  <c r="I883" i="8"/>
  <c r="H885" i="8"/>
  <c r="I885" i="8"/>
  <c r="H887" i="8"/>
  <c r="I887" i="8"/>
  <c r="H889" i="8"/>
  <c r="I889" i="8"/>
  <c r="H891" i="8"/>
  <c r="I891" i="8"/>
  <c r="H893" i="8"/>
  <c r="I893" i="8"/>
  <c r="H895" i="8"/>
  <c r="I895" i="8"/>
  <c r="H897" i="8"/>
  <c r="I897" i="8"/>
  <c r="H899" i="8"/>
  <c r="I899" i="8"/>
  <c r="H901" i="8"/>
  <c r="I901" i="8"/>
  <c r="H903" i="8"/>
  <c r="I903" i="8"/>
  <c r="D860" i="8"/>
  <c r="D861" i="8"/>
  <c r="D862" i="8"/>
  <c r="D863" i="8"/>
  <c r="D866" i="8"/>
  <c r="D867" i="8"/>
  <c r="D868" i="8"/>
  <c r="D869" i="8"/>
  <c r="D870" i="8"/>
  <c r="D871" i="8"/>
  <c r="D872" i="8"/>
  <c r="D873" i="8"/>
  <c r="D874" i="8"/>
  <c r="D875" i="8"/>
  <c r="D878" i="8"/>
  <c r="D879" i="8"/>
  <c r="D882" i="8"/>
  <c r="D883" i="8"/>
  <c r="D884" i="8"/>
  <c r="D885" i="8"/>
  <c r="D886" i="8"/>
  <c r="D887" i="8"/>
  <c r="D859" i="8"/>
  <c r="D849" i="8"/>
  <c r="D848" i="8"/>
  <c r="D819" i="8"/>
  <c r="D818" i="8"/>
  <c r="I859" i="8"/>
  <c r="H859" i="8"/>
  <c r="H801" i="8"/>
  <c r="I801" i="8"/>
  <c r="H803" i="8"/>
  <c r="I803" i="8"/>
  <c r="H805" i="8"/>
  <c r="I805" i="8"/>
  <c r="H807" i="8"/>
  <c r="I807" i="8"/>
  <c r="H809" i="8"/>
  <c r="I809" i="8"/>
  <c r="H811" i="8"/>
  <c r="I811" i="8"/>
  <c r="H813" i="8"/>
  <c r="I813" i="8"/>
  <c r="H815" i="8"/>
  <c r="I815" i="8"/>
  <c r="H817" i="8"/>
  <c r="I817" i="8"/>
  <c r="H819" i="8"/>
  <c r="I819" i="8"/>
  <c r="H821" i="8"/>
  <c r="I821" i="8"/>
  <c r="H823" i="8"/>
  <c r="I823" i="8"/>
  <c r="H825" i="8"/>
  <c r="I825" i="8"/>
  <c r="H827" i="8"/>
  <c r="I827" i="8"/>
  <c r="H829" i="8"/>
  <c r="I829" i="8"/>
  <c r="H831" i="8"/>
  <c r="I831" i="8"/>
  <c r="H833" i="8"/>
  <c r="I833" i="8"/>
  <c r="H835" i="8"/>
  <c r="I835" i="8"/>
  <c r="H837" i="8"/>
  <c r="I837" i="8"/>
  <c r="H839" i="8"/>
  <c r="I839" i="8"/>
  <c r="H841" i="8"/>
  <c r="I841" i="8"/>
  <c r="H843" i="8"/>
  <c r="I843" i="8"/>
  <c r="H845" i="8"/>
  <c r="I845" i="8"/>
  <c r="H847" i="8"/>
  <c r="I847" i="8"/>
  <c r="H849" i="8"/>
  <c r="I849" i="8"/>
  <c r="H851" i="8"/>
  <c r="I851" i="8"/>
  <c r="H853" i="8"/>
  <c r="I853" i="8"/>
  <c r="H855" i="8"/>
  <c r="I855" i="8"/>
  <c r="H857" i="8"/>
  <c r="I857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50" i="8"/>
  <c r="D851" i="8"/>
  <c r="D852" i="8"/>
  <c r="D853" i="8"/>
  <c r="D854" i="8"/>
  <c r="D855" i="8"/>
  <c r="D856" i="8"/>
  <c r="D857" i="8"/>
  <c r="D858" i="8"/>
  <c r="D787" i="8"/>
  <c r="D786" i="8"/>
  <c r="I773" i="8"/>
  <c r="H773" i="8"/>
  <c r="D779" i="8"/>
  <c r="D778" i="8"/>
  <c r="D777" i="8"/>
  <c r="D776" i="8"/>
  <c r="D775" i="8"/>
  <c r="D774" i="8"/>
  <c r="D767" i="8"/>
  <c r="D766" i="8"/>
  <c r="H753" i="8"/>
  <c r="I753" i="8"/>
  <c r="H755" i="8"/>
  <c r="I755" i="8"/>
  <c r="H757" i="8"/>
  <c r="I757" i="8"/>
  <c r="H759" i="8"/>
  <c r="I759" i="8"/>
  <c r="H761" i="8"/>
  <c r="I761" i="8"/>
  <c r="H763" i="8"/>
  <c r="I763" i="8"/>
  <c r="H765" i="8"/>
  <c r="I765" i="8"/>
  <c r="H767" i="8"/>
  <c r="I767" i="8"/>
  <c r="H769" i="8"/>
  <c r="I769" i="8"/>
  <c r="H771" i="8"/>
  <c r="I771" i="8"/>
  <c r="H775" i="8"/>
  <c r="I775" i="8"/>
  <c r="H777" i="8"/>
  <c r="I777" i="8"/>
  <c r="H779" i="8"/>
  <c r="I779" i="8"/>
  <c r="H781" i="8"/>
  <c r="I781" i="8"/>
  <c r="H783" i="8"/>
  <c r="I783" i="8"/>
  <c r="H785" i="8"/>
  <c r="I785" i="8"/>
  <c r="H787" i="8"/>
  <c r="I787" i="8"/>
  <c r="H789" i="8"/>
  <c r="I789" i="8"/>
  <c r="H791" i="8"/>
  <c r="I791" i="8"/>
  <c r="H793" i="8"/>
  <c r="I793" i="8"/>
  <c r="H795" i="8"/>
  <c r="I795" i="8"/>
  <c r="H797" i="8"/>
  <c r="I797" i="8"/>
  <c r="H799" i="8"/>
  <c r="I799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8" i="8"/>
  <c r="D769" i="8"/>
  <c r="D770" i="8"/>
  <c r="D771" i="8"/>
  <c r="D772" i="8"/>
  <c r="D773" i="8"/>
  <c r="D780" i="8"/>
  <c r="D781" i="8"/>
  <c r="D782" i="8"/>
  <c r="D783" i="8"/>
  <c r="D784" i="8"/>
  <c r="D785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H749" i="8"/>
  <c r="I749" i="8"/>
  <c r="H751" i="8"/>
  <c r="I751" i="8"/>
  <c r="D748" i="8"/>
  <c r="D749" i="8"/>
  <c r="D750" i="8"/>
  <c r="D751" i="8"/>
  <c r="D736" i="8"/>
  <c r="I721" i="8"/>
  <c r="H721" i="8"/>
  <c r="D721" i="8"/>
  <c r="D720" i="8"/>
  <c r="D717" i="8"/>
  <c r="D716" i="8"/>
  <c r="D705" i="8"/>
  <c r="D704" i="8"/>
  <c r="D692" i="8"/>
  <c r="H691" i="8"/>
  <c r="I691" i="8"/>
  <c r="H693" i="8"/>
  <c r="I693" i="8"/>
  <c r="H695" i="8"/>
  <c r="I695" i="8"/>
  <c r="H697" i="8"/>
  <c r="I697" i="8"/>
  <c r="H699" i="8"/>
  <c r="I699" i="8"/>
  <c r="H701" i="8"/>
  <c r="I701" i="8"/>
  <c r="H703" i="8"/>
  <c r="I703" i="8"/>
  <c r="H705" i="8"/>
  <c r="I705" i="8"/>
  <c r="H707" i="8"/>
  <c r="I707" i="8"/>
  <c r="H709" i="8"/>
  <c r="I709" i="8"/>
  <c r="H711" i="8"/>
  <c r="I711" i="8"/>
  <c r="H713" i="8"/>
  <c r="I713" i="8"/>
  <c r="H715" i="8"/>
  <c r="I715" i="8"/>
  <c r="H717" i="8"/>
  <c r="I717" i="8"/>
  <c r="H719" i="8"/>
  <c r="I719" i="8"/>
  <c r="H723" i="8"/>
  <c r="I723" i="8"/>
  <c r="H725" i="8"/>
  <c r="I725" i="8"/>
  <c r="H727" i="8"/>
  <c r="I727" i="8"/>
  <c r="H729" i="8"/>
  <c r="I729" i="8"/>
  <c r="H731" i="8"/>
  <c r="I731" i="8"/>
  <c r="H733" i="8"/>
  <c r="I733" i="8"/>
  <c r="H735" i="8"/>
  <c r="I735" i="8"/>
  <c r="H737" i="8"/>
  <c r="I737" i="8"/>
  <c r="H739" i="8"/>
  <c r="I739" i="8"/>
  <c r="H741" i="8"/>
  <c r="I741" i="8"/>
  <c r="H743" i="8"/>
  <c r="I743" i="8"/>
  <c r="H745" i="8"/>
  <c r="I745" i="8"/>
  <c r="H747" i="8"/>
  <c r="I747" i="8"/>
  <c r="D690" i="8"/>
  <c r="D691" i="8"/>
  <c r="D693" i="8"/>
  <c r="D694" i="8"/>
  <c r="D695" i="8"/>
  <c r="D696" i="8"/>
  <c r="D697" i="8"/>
  <c r="D698" i="8"/>
  <c r="D699" i="8"/>
  <c r="D700" i="8"/>
  <c r="D701" i="8"/>
  <c r="D702" i="8"/>
  <c r="D703" i="8"/>
  <c r="D706" i="8"/>
  <c r="D707" i="8"/>
  <c r="D708" i="8"/>
  <c r="D709" i="8"/>
  <c r="D710" i="8"/>
  <c r="D711" i="8"/>
  <c r="D712" i="8"/>
  <c r="D713" i="8"/>
  <c r="D714" i="8"/>
  <c r="D715" i="8"/>
  <c r="D718" i="8"/>
  <c r="D719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7" i="8"/>
  <c r="D738" i="8"/>
  <c r="D739" i="8"/>
  <c r="D740" i="8"/>
  <c r="D741" i="8"/>
  <c r="D742" i="8"/>
  <c r="D743" i="8"/>
  <c r="D744" i="8"/>
  <c r="D745" i="8"/>
  <c r="D746" i="8"/>
  <c r="D747" i="8"/>
  <c r="H651" i="8"/>
  <c r="H641" i="8"/>
  <c r="I641" i="8"/>
  <c r="H643" i="8"/>
  <c r="I643" i="8"/>
  <c r="H645" i="8"/>
  <c r="I645" i="8"/>
  <c r="H647" i="8"/>
  <c r="I647" i="8"/>
  <c r="H649" i="8"/>
  <c r="I649" i="8"/>
  <c r="I651" i="8"/>
  <c r="H653" i="8"/>
  <c r="I653" i="8"/>
  <c r="H655" i="8"/>
  <c r="I655" i="8"/>
  <c r="H657" i="8"/>
  <c r="I657" i="8"/>
  <c r="H659" i="8"/>
  <c r="I659" i="8"/>
  <c r="H661" i="8"/>
  <c r="I661" i="8"/>
  <c r="H663" i="8"/>
  <c r="I663" i="8"/>
  <c r="H665" i="8"/>
  <c r="I665" i="8"/>
  <c r="H667" i="8"/>
  <c r="I667" i="8"/>
  <c r="H669" i="8"/>
  <c r="I669" i="8"/>
  <c r="H671" i="8"/>
  <c r="I671" i="8"/>
  <c r="H673" i="8"/>
  <c r="I673" i="8"/>
  <c r="H675" i="8"/>
  <c r="I675" i="8"/>
  <c r="H677" i="8"/>
  <c r="I677" i="8"/>
  <c r="H679" i="8"/>
  <c r="I679" i="8"/>
  <c r="H681" i="8"/>
  <c r="I681" i="8"/>
  <c r="H683" i="8"/>
  <c r="I683" i="8"/>
  <c r="H685" i="8"/>
  <c r="I685" i="8"/>
  <c r="H687" i="8"/>
  <c r="I687" i="8"/>
  <c r="H689" i="8"/>
  <c r="I68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35" i="8"/>
  <c r="D634" i="8"/>
  <c r="D633" i="8"/>
  <c r="D632" i="8"/>
  <c r="D631" i="8"/>
  <c r="D630" i="8"/>
  <c r="D627" i="8"/>
  <c r="D626" i="8"/>
  <c r="D625" i="8"/>
  <c r="D624" i="8"/>
  <c r="D621" i="8"/>
  <c r="D620" i="8"/>
  <c r="D619" i="8"/>
  <c r="D618" i="8"/>
  <c r="D617" i="8"/>
  <c r="D616" i="8"/>
  <c r="D615" i="8"/>
  <c r="D614" i="8"/>
  <c r="D613" i="8"/>
  <c r="D612" i="8"/>
  <c r="D611" i="8"/>
  <c r="D610" i="8"/>
  <c r="H613" i="8"/>
  <c r="I613" i="8"/>
  <c r="H615" i="8"/>
  <c r="I615" i="8"/>
  <c r="H617" i="8"/>
  <c r="I617" i="8"/>
  <c r="H619" i="8"/>
  <c r="I619" i="8"/>
  <c r="H621" i="8"/>
  <c r="I621" i="8"/>
  <c r="H623" i="8"/>
  <c r="I623" i="8"/>
  <c r="H625" i="8"/>
  <c r="I625" i="8"/>
  <c r="H627" i="8"/>
  <c r="I627" i="8"/>
  <c r="H629" i="8"/>
  <c r="I629" i="8"/>
  <c r="H631" i="8"/>
  <c r="I631" i="8"/>
  <c r="H633" i="8"/>
  <c r="I633" i="8"/>
  <c r="H635" i="8"/>
  <c r="I635" i="8"/>
  <c r="H637" i="8"/>
  <c r="I637" i="8"/>
  <c r="H639" i="8"/>
  <c r="I639" i="8"/>
  <c r="D622" i="8"/>
  <c r="D623" i="8"/>
  <c r="D628" i="8"/>
  <c r="D629" i="8"/>
  <c r="D636" i="8"/>
  <c r="D637" i="8"/>
  <c r="D638" i="8"/>
  <c r="D639" i="8"/>
  <c r="D609" i="8"/>
  <c r="D608" i="8"/>
  <c r="D607" i="8"/>
  <c r="D606" i="8"/>
  <c r="H571" i="8"/>
  <c r="I571" i="8"/>
  <c r="D571" i="8"/>
  <c r="D570" i="8"/>
  <c r="I611" i="8"/>
  <c r="H611" i="8"/>
  <c r="H565" i="8"/>
  <c r="I565" i="8"/>
  <c r="H567" i="8"/>
  <c r="I567" i="8"/>
  <c r="H569" i="8"/>
  <c r="I569" i="8"/>
  <c r="H573" i="8"/>
  <c r="I573" i="8"/>
  <c r="H575" i="8"/>
  <c r="I575" i="8"/>
  <c r="H577" i="8"/>
  <c r="I577" i="8"/>
  <c r="H579" i="8"/>
  <c r="I579" i="8"/>
  <c r="H581" i="8"/>
  <c r="I581" i="8"/>
  <c r="H583" i="8"/>
  <c r="I583" i="8"/>
  <c r="H585" i="8"/>
  <c r="I585" i="8"/>
  <c r="H587" i="8"/>
  <c r="I587" i="8"/>
  <c r="H589" i="8"/>
  <c r="I589" i="8"/>
  <c r="H591" i="8"/>
  <c r="I591" i="8"/>
  <c r="H593" i="8"/>
  <c r="I593" i="8"/>
  <c r="H595" i="8"/>
  <c r="I595" i="8"/>
  <c r="H597" i="8"/>
  <c r="I597" i="8"/>
  <c r="H599" i="8"/>
  <c r="I599" i="8"/>
  <c r="H601" i="8"/>
  <c r="I601" i="8"/>
  <c r="H603" i="8"/>
  <c r="I603" i="8"/>
  <c r="H605" i="8"/>
  <c r="E23" i="10" s="1"/>
  <c r="I605" i="8"/>
  <c r="F23" i="10" s="1"/>
  <c r="H607" i="8"/>
  <c r="I607" i="8"/>
  <c r="H609" i="8"/>
  <c r="I609" i="8"/>
  <c r="D564" i="8"/>
  <c r="D565" i="8"/>
  <c r="D566" i="8"/>
  <c r="D567" i="8"/>
  <c r="D568" i="8"/>
  <c r="D569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H553" i="8"/>
  <c r="D523" i="8"/>
  <c r="D522" i="8"/>
  <c r="D521" i="8"/>
  <c r="D520" i="8"/>
  <c r="D519" i="8"/>
  <c r="D518" i="8"/>
  <c r="D513" i="8"/>
  <c r="D512" i="8"/>
  <c r="D485" i="8"/>
  <c r="D484" i="8"/>
  <c r="H481" i="8"/>
  <c r="I481" i="8"/>
  <c r="H483" i="8"/>
  <c r="I483" i="8"/>
  <c r="H485" i="8"/>
  <c r="I485" i="8"/>
  <c r="H487" i="8"/>
  <c r="I487" i="8"/>
  <c r="H489" i="8"/>
  <c r="I489" i="8"/>
  <c r="H491" i="8"/>
  <c r="I491" i="8"/>
  <c r="H493" i="8"/>
  <c r="I493" i="8"/>
  <c r="H495" i="8"/>
  <c r="I495" i="8"/>
  <c r="H497" i="8"/>
  <c r="I497" i="8"/>
  <c r="H499" i="8"/>
  <c r="I499" i="8"/>
  <c r="H501" i="8"/>
  <c r="I501" i="8"/>
  <c r="H503" i="8"/>
  <c r="I503" i="8"/>
  <c r="H505" i="8"/>
  <c r="I505" i="8"/>
  <c r="H507" i="8"/>
  <c r="I507" i="8"/>
  <c r="H509" i="8"/>
  <c r="I509" i="8"/>
  <c r="H511" i="8"/>
  <c r="I511" i="8"/>
  <c r="H513" i="8"/>
  <c r="I513" i="8"/>
  <c r="H515" i="8"/>
  <c r="E40" i="10"/>
  <c r="I515" i="8"/>
  <c r="H517" i="8"/>
  <c r="I517" i="8"/>
  <c r="H519" i="8"/>
  <c r="I519" i="8"/>
  <c r="H521" i="8"/>
  <c r="I521" i="8"/>
  <c r="H523" i="8"/>
  <c r="I523" i="8"/>
  <c r="H525" i="8"/>
  <c r="I525" i="8"/>
  <c r="H527" i="8"/>
  <c r="I527" i="8"/>
  <c r="H529" i="8"/>
  <c r="I529" i="8"/>
  <c r="H531" i="8"/>
  <c r="I531" i="8"/>
  <c r="H533" i="8"/>
  <c r="I533" i="8"/>
  <c r="H535" i="8"/>
  <c r="I535" i="8"/>
  <c r="H537" i="8"/>
  <c r="I537" i="8"/>
  <c r="H539" i="8"/>
  <c r="I539" i="8"/>
  <c r="H541" i="8"/>
  <c r="I541" i="8"/>
  <c r="H543" i="8"/>
  <c r="I543" i="8"/>
  <c r="H545" i="8"/>
  <c r="I545" i="8"/>
  <c r="H547" i="8"/>
  <c r="I547" i="8"/>
  <c r="H549" i="8"/>
  <c r="I549" i="8"/>
  <c r="H551" i="8"/>
  <c r="I551" i="8"/>
  <c r="I553" i="8"/>
  <c r="H555" i="8"/>
  <c r="I555" i="8"/>
  <c r="H557" i="8"/>
  <c r="I557" i="8"/>
  <c r="H559" i="8"/>
  <c r="I559" i="8"/>
  <c r="H561" i="8"/>
  <c r="I561" i="8"/>
  <c r="H563" i="8"/>
  <c r="I563" i="8"/>
  <c r="D480" i="8"/>
  <c r="D481" i="8"/>
  <c r="D482" i="8"/>
  <c r="D483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4" i="8"/>
  <c r="D515" i="8"/>
  <c r="D516" i="8"/>
  <c r="D517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475" i="8"/>
  <c r="D445" i="8"/>
  <c r="D444" i="8"/>
  <c r="H437" i="8"/>
  <c r="I437" i="8"/>
  <c r="H439" i="8"/>
  <c r="I439" i="8"/>
  <c r="H441" i="8"/>
  <c r="I441" i="8"/>
  <c r="H443" i="8"/>
  <c r="I443" i="8"/>
  <c r="H445" i="8"/>
  <c r="I445" i="8"/>
  <c r="H447" i="8"/>
  <c r="I447" i="8"/>
  <c r="H449" i="8"/>
  <c r="I449" i="8"/>
  <c r="H451" i="8"/>
  <c r="I451" i="8"/>
  <c r="H453" i="8"/>
  <c r="I453" i="8"/>
  <c r="H455" i="8"/>
  <c r="I455" i="8"/>
  <c r="H457" i="8"/>
  <c r="I457" i="8"/>
  <c r="H459" i="8"/>
  <c r="I459" i="8"/>
  <c r="H461" i="8"/>
  <c r="I461" i="8"/>
  <c r="H463" i="8"/>
  <c r="I463" i="8"/>
  <c r="H465" i="8"/>
  <c r="I465" i="8"/>
  <c r="H467" i="8"/>
  <c r="I467" i="8"/>
  <c r="H469" i="8"/>
  <c r="I469" i="8"/>
  <c r="H471" i="8"/>
  <c r="I471" i="8"/>
  <c r="H473" i="8"/>
  <c r="I473" i="8"/>
  <c r="H475" i="8"/>
  <c r="I475" i="8"/>
  <c r="H477" i="8"/>
  <c r="I477" i="8"/>
  <c r="H479" i="8"/>
  <c r="I479" i="8"/>
  <c r="D436" i="8"/>
  <c r="D437" i="8"/>
  <c r="D438" i="8"/>
  <c r="D439" i="8"/>
  <c r="D440" i="8"/>
  <c r="D441" i="8"/>
  <c r="D442" i="8"/>
  <c r="D443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6" i="8"/>
  <c r="D477" i="8"/>
  <c r="D478" i="8"/>
  <c r="D479" i="8"/>
  <c r="H399" i="8"/>
  <c r="I399" i="8"/>
  <c r="H401" i="8"/>
  <c r="I401" i="8"/>
  <c r="H403" i="8"/>
  <c r="I403" i="8"/>
  <c r="H405" i="8"/>
  <c r="I405" i="8"/>
  <c r="D398" i="8"/>
  <c r="D399" i="8"/>
  <c r="D400" i="8"/>
  <c r="D401" i="8"/>
  <c r="D402" i="8"/>
  <c r="D403" i="8"/>
  <c r="D404" i="8"/>
  <c r="D405" i="8"/>
  <c r="D367" i="8"/>
  <c r="D366" i="8"/>
  <c r="I355" i="8"/>
  <c r="H355" i="8"/>
  <c r="D355" i="8"/>
  <c r="D354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H333" i="8"/>
  <c r="I333" i="8"/>
  <c r="H335" i="8"/>
  <c r="I335" i="8"/>
  <c r="H337" i="8"/>
  <c r="I337" i="8"/>
  <c r="H339" i="8"/>
  <c r="I339" i="8"/>
  <c r="H341" i="8"/>
  <c r="I341" i="8"/>
  <c r="H343" i="8"/>
  <c r="I343" i="8"/>
  <c r="H345" i="8"/>
  <c r="I345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H319" i="8"/>
  <c r="I319" i="8"/>
  <c r="H321" i="8"/>
  <c r="I321" i="8"/>
  <c r="H323" i="8"/>
  <c r="I323" i="8"/>
  <c r="H325" i="8"/>
  <c r="I325" i="8"/>
  <c r="F22" i="10" s="1"/>
  <c r="H327" i="8"/>
  <c r="I327" i="8"/>
  <c r="H329" i="8"/>
  <c r="I329" i="8"/>
  <c r="H331" i="8"/>
  <c r="I331" i="8"/>
  <c r="D313" i="8"/>
  <c r="D312" i="8"/>
  <c r="D309" i="8"/>
  <c r="D8" i="8"/>
  <c r="H299" i="8"/>
  <c r="I299" i="8"/>
  <c r="H301" i="8"/>
  <c r="I301" i="8"/>
  <c r="H303" i="8"/>
  <c r="I303" i="8"/>
  <c r="H305" i="8"/>
  <c r="I305" i="8"/>
  <c r="H307" i="8"/>
  <c r="I307" i="8"/>
  <c r="H309" i="8"/>
  <c r="I309" i="8"/>
  <c r="H311" i="8"/>
  <c r="I311" i="8"/>
  <c r="H313" i="8"/>
  <c r="I313" i="8"/>
  <c r="H315" i="8"/>
  <c r="I315" i="8"/>
  <c r="H317" i="8"/>
  <c r="I317" i="8"/>
  <c r="H347" i="8"/>
  <c r="I347" i="8"/>
  <c r="H349" i="8"/>
  <c r="I349" i="8"/>
  <c r="H351" i="8"/>
  <c r="I351" i="8"/>
  <c r="H353" i="8"/>
  <c r="I353" i="8"/>
  <c r="H357" i="8"/>
  <c r="I357" i="8"/>
  <c r="H359" i="8"/>
  <c r="I359" i="8"/>
  <c r="H361" i="8"/>
  <c r="I361" i="8"/>
  <c r="H363" i="8"/>
  <c r="I363" i="8"/>
  <c r="H365" i="8"/>
  <c r="I365" i="8"/>
  <c r="H367" i="8"/>
  <c r="I367" i="8"/>
  <c r="H369" i="8"/>
  <c r="I369" i="8"/>
  <c r="H371" i="8"/>
  <c r="I371" i="8"/>
  <c r="H373" i="8"/>
  <c r="I373" i="8"/>
  <c r="H375" i="8"/>
  <c r="I375" i="8"/>
  <c r="H377" i="8"/>
  <c r="I377" i="8"/>
  <c r="H379" i="8"/>
  <c r="I379" i="8"/>
  <c r="H381" i="8"/>
  <c r="I381" i="8"/>
  <c r="H383" i="8"/>
  <c r="I383" i="8"/>
  <c r="H385" i="8"/>
  <c r="I385" i="8"/>
  <c r="H387" i="8"/>
  <c r="I387" i="8"/>
  <c r="H389" i="8"/>
  <c r="I389" i="8"/>
  <c r="H391" i="8"/>
  <c r="I391" i="8"/>
  <c r="H393" i="8"/>
  <c r="I393" i="8"/>
  <c r="H395" i="8"/>
  <c r="I395" i="8"/>
  <c r="H397" i="8"/>
  <c r="I397" i="8"/>
  <c r="H407" i="8"/>
  <c r="I407" i="8"/>
  <c r="H409" i="8"/>
  <c r="I409" i="8"/>
  <c r="H411" i="8"/>
  <c r="I411" i="8"/>
  <c r="H413" i="8"/>
  <c r="I413" i="8"/>
  <c r="H415" i="8"/>
  <c r="I415" i="8"/>
  <c r="H417" i="8"/>
  <c r="I417" i="8"/>
  <c r="H419" i="8"/>
  <c r="I419" i="8"/>
  <c r="H421" i="8"/>
  <c r="I421" i="8"/>
  <c r="H423" i="8"/>
  <c r="I423" i="8"/>
  <c r="H425" i="8"/>
  <c r="I425" i="8"/>
  <c r="H427" i="8"/>
  <c r="I427" i="8"/>
  <c r="H429" i="8"/>
  <c r="I429" i="8"/>
  <c r="H431" i="8"/>
  <c r="I431" i="8"/>
  <c r="H433" i="8"/>
  <c r="I433" i="8"/>
  <c r="H435" i="8"/>
  <c r="I435" i="8"/>
  <c r="D298" i="8"/>
  <c r="D299" i="8"/>
  <c r="D300" i="8"/>
  <c r="D301" i="8"/>
  <c r="D302" i="8"/>
  <c r="D303" i="8"/>
  <c r="D304" i="8"/>
  <c r="D305" i="8"/>
  <c r="D306" i="8"/>
  <c r="D307" i="8"/>
  <c r="D308" i="8"/>
  <c r="D310" i="8"/>
  <c r="D311" i="8"/>
  <c r="D314" i="8"/>
  <c r="D315" i="8"/>
  <c r="D316" i="8"/>
  <c r="D317" i="8"/>
  <c r="D348" i="8"/>
  <c r="D349" i="8"/>
  <c r="D350" i="8"/>
  <c r="D351" i="8"/>
  <c r="D352" i="8"/>
  <c r="D353" i="8"/>
  <c r="D356" i="8"/>
  <c r="D357" i="8"/>
  <c r="D358" i="8"/>
  <c r="D359" i="8"/>
  <c r="D360" i="8"/>
  <c r="D361" i="8"/>
  <c r="D362" i="8"/>
  <c r="D363" i="8"/>
  <c r="D364" i="8"/>
  <c r="D365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293" i="8"/>
  <c r="D292" i="8"/>
  <c r="D283" i="8"/>
  <c r="D282" i="8"/>
  <c r="D274" i="8"/>
  <c r="D275" i="8"/>
  <c r="D276" i="8"/>
  <c r="D277" i="8"/>
  <c r="D278" i="8"/>
  <c r="D279" i="8"/>
  <c r="D280" i="8"/>
  <c r="D281" i="8"/>
  <c r="D284" i="8"/>
  <c r="D285" i="8"/>
  <c r="D286" i="8"/>
  <c r="D287" i="8"/>
  <c r="D288" i="8"/>
  <c r="D289" i="8"/>
  <c r="D290" i="8"/>
  <c r="D291" i="8"/>
  <c r="D294" i="8"/>
  <c r="D295" i="8"/>
  <c r="D296" i="8"/>
  <c r="D297" i="8"/>
  <c r="H295" i="8"/>
  <c r="I295" i="8"/>
  <c r="H297" i="8"/>
  <c r="I297" i="8"/>
  <c r="H275" i="8"/>
  <c r="I275" i="8"/>
  <c r="H277" i="8"/>
  <c r="I277" i="8"/>
  <c r="H279" i="8"/>
  <c r="I279" i="8"/>
  <c r="H281" i="8"/>
  <c r="I281" i="8"/>
  <c r="H283" i="8"/>
  <c r="I283" i="8"/>
  <c r="H285" i="8"/>
  <c r="I285" i="8"/>
  <c r="H287" i="8"/>
  <c r="I287" i="8"/>
  <c r="H289" i="8"/>
  <c r="I289" i="8"/>
  <c r="H291" i="8"/>
  <c r="I291" i="8"/>
  <c r="H293" i="8"/>
  <c r="I293" i="8"/>
  <c r="D268" i="8"/>
  <c r="D263" i="8"/>
  <c r="D262" i="8"/>
  <c r="D261" i="8"/>
  <c r="D260" i="8"/>
  <c r="D259" i="8"/>
  <c r="D258" i="8"/>
  <c r="I257" i="8"/>
  <c r="D257" i="8"/>
  <c r="D256" i="8"/>
  <c r="H243" i="8"/>
  <c r="E51" i="10" s="1"/>
  <c r="I243" i="8"/>
  <c r="F51" i="10" s="1"/>
  <c r="H245" i="8"/>
  <c r="I245" i="8"/>
  <c r="H247" i="8"/>
  <c r="I247" i="8"/>
  <c r="H249" i="8"/>
  <c r="I249" i="8"/>
  <c r="H251" i="8"/>
  <c r="I251" i="8"/>
  <c r="H253" i="8"/>
  <c r="I253" i="8"/>
  <c r="H255" i="8"/>
  <c r="I255" i="8"/>
  <c r="H257" i="8"/>
  <c r="H259" i="8"/>
  <c r="I259" i="8"/>
  <c r="H261" i="8"/>
  <c r="I261" i="8"/>
  <c r="H263" i="8"/>
  <c r="I263" i="8"/>
  <c r="H265" i="8"/>
  <c r="I265" i="8"/>
  <c r="H267" i="8"/>
  <c r="I267" i="8"/>
  <c r="H269" i="8"/>
  <c r="I269" i="8"/>
  <c r="H271" i="8"/>
  <c r="I271" i="8"/>
  <c r="H273" i="8"/>
  <c r="I273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64" i="8"/>
  <c r="D265" i="8"/>
  <c r="D266" i="8"/>
  <c r="D267" i="8"/>
  <c r="D269" i="8"/>
  <c r="D270" i="8"/>
  <c r="D271" i="8"/>
  <c r="D272" i="8"/>
  <c r="D273" i="8"/>
  <c r="D237" i="8"/>
  <c r="D236" i="8"/>
  <c r="D234" i="8"/>
  <c r="D235" i="8"/>
  <c r="D238" i="8"/>
  <c r="D239" i="8"/>
  <c r="D240" i="8"/>
  <c r="D241" i="8"/>
  <c r="H235" i="8"/>
  <c r="I235" i="8"/>
  <c r="H237" i="8"/>
  <c r="I237" i="8"/>
  <c r="H239" i="8"/>
  <c r="E12" i="10" s="1"/>
  <c r="I239" i="8"/>
  <c r="H241" i="8"/>
  <c r="I241" i="8"/>
  <c r="D233" i="8"/>
  <c r="D232" i="8"/>
  <c r="I231" i="8"/>
  <c r="H231" i="8"/>
  <c r="D231" i="8"/>
  <c r="D230" i="8"/>
  <c r="I229" i="8"/>
  <c r="H229" i="8"/>
  <c r="D229" i="8"/>
  <c r="D228" i="8"/>
  <c r="I227" i="8"/>
  <c r="H227" i="8"/>
  <c r="D227" i="8"/>
  <c r="D226" i="8"/>
  <c r="I225" i="8"/>
  <c r="H225" i="8"/>
  <c r="D225" i="8"/>
  <c r="D224" i="8"/>
  <c r="H233" i="8"/>
  <c r="I233" i="8"/>
  <c r="I223" i="8"/>
  <c r="H223" i="8"/>
  <c r="D223" i="8"/>
  <c r="D222" i="8"/>
  <c r="D213" i="8"/>
  <c r="D212" i="8"/>
  <c r="D221" i="8"/>
  <c r="D220" i="8"/>
  <c r="D219" i="8"/>
  <c r="D218" i="8"/>
  <c r="D217" i="8"/>
  <c r="D216" i="8"/>
  <c r="D215" i="8"/>
  <c r="D214" i="8"/>
  <c r="D211" i="8"/>
  <c r="D210" i="8"/>
  <c r="D209" i="8"/>
  <c r="D208" i="8"/>
  <c r="D203" i="8"/>
  <c r="D202" i="8"/>
  <c r="D199" i="8"/>
  <c r="D194" i="8"/>
  <c r="D195" i="8"/>
  <c r="D196" i="8"/>
  <c r="D197" i="8"/>
  <c r="D198" i="8"/>
  <c r="D200" i="8"/>
  <c r="D201" i="8"/>
  <c r="D204" i="8"/>
  <c r="D205" i="8"/>
  <c r="D206" i="8"/>
  <c r="D207" i="8"/>
  <c r="D179" i="8"/>
  <c r="D178" i="8"/>
  <c r="D170" i="8"/>
  <c r="D171" i="8"/>
  <c r="D172" i="8"/>
  <c r="D173" i="8"/>
  <c r="D174" i="8"/>
  <c r="D175" i="8"/>
  <c r="D176" i="8"/>
  <c r="D177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60" i="8"/>
  <c r="D156" i="8"/>
  <c r="I147" i="8"/>
  <c r="H146" i="8"/>
  <c r="E54" i="10" s="1"/>
  <c r="D145" i="8"/>
  <c r="D144" i="8"/>
  <c r="D141" i="8"/>
  <c r="D140" i="8"/>
  <c r="D142" i="8"/>
  <c r="D143" i="8"/>
  <c r="D146" i="8"/>
  <c r="D147" i="8"/>
  <c r="D148" i="8"/>
  <c r="D149" i="8"/>
  <c r="D150" i="8"/>
  <c r="D151" i="8"/>
  <c r="D152" i="8"/>
  <c r="D153" i="8"/>
  <c r="D154" i="8"/>
  <c r="D155" i="8"/>
  <c r="D157" i="8"/>
  <c r="D158" i="8"/>
  <c r="D159" i="8"/>
  <c r="D161" i="8"/>
  <c r="D162" i="8"/>
  <c r="D163" i="8"/>
  <c r="D164" i="8"/>
  <c r="D165" i="8"/>
  <c r="D166" i="8"/>
  <c r="D167" i="8"/>
  <c r="D168" i="8"/>
  <c r="D169" i="8"/>
  <c r="D133" i="8"/>
  <c r="D132" i="8"/>
  <c r="D127" i="8"/>
  <c r="D126" i="8"/>
  <c r="D120" i="8"/>
  <c r="D121" i="8"/>
  <c r="D122" i="8"/>
  <c r="D123" i="8"/>
  <c r="D124" i="8"/>
  <c r="D125" i="8"/>
  <c r="D128" i="8"/>
  <c r="D129" i="8"/>
  <c r="D130" i="8"/>
  <c r="D131" i="8"/>
  <c r="D134" i="8"/>
  <c r="D135" i="8"/>
  <c r="D136" i="8"/>
  <c r="D137" i="8"/>
  <c r="D138" i="8"/>
  <c r="D139" i="8"/>
  <c r="D113" i="8"/>
  <c r="D112" i="8"/>
  <c r="D111" i="8"/>
  <c r="D114" i="8"/>
  <c r="D115" i="8"/>
  <c r="D116" i="8"/>
  <c r="D117" i="8"/>
  <c r="D118" i="8"/>
  <c r="D119" i="8"/>
  <c r="D110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I95" i="8"/>
  <c r="I85" i="8"/>
  <c r="I83" i="8"/>
  <c r="I81" i="8"/>
  <c r="I79" i="8"/>
  <c r="I77" i="8"/>
  <c r="I63" i="8"/>
  <c r="H63" i="8"/>
  <c r="I61" i="8"/>
  <c r="H61" i="8"/>
  <c r="I59" i="8"/>
  <c r="F8" i="10" s="1"/>
  <c r="H59" i="8"/>
  <c r="I57" i="8"/>
  <c r="H57" i="8"/>
  <c r="I55" i="8"/>
  <c r="H55" i="8"/>
  <c r="I53" i="8"/>
  <c r="H53" i="8"/>
  <c r="I51" i="8"/>
  <c r="H51" i="8"/>
  <c r="I49" i="8"/>
  <c r="H49" i="8"/>
  <c r="I47" i="8"/>
  <c r="H47" i="8"/>
  <c r="H45" i="8"/>
  <c r="I45" i="8"/>
  <c r="I43" i="8"/>
  <c r="H43" i="8"/>
  <c r="I41" i="8"/>
  <c r="H41" i="8"/>
  <c r="I39" i="8"/>
  <c r="H39" i="8"/>
  <c r="I37" i="8"/>
  <c r="H37" i="8"/>
  <c r="E35" i="23"/>
  <c r="E37" i="23" s="1"/>
  <c r="E13" i="23"/>
  <c r="H13" i="23" s="1"/>
  <c r="G15" i="23"/>
  <c r="F15" i="23"/>
  <c r="F21" i="23" s="1"/>
  <c r="D15" i="23"/>
  <c r="K14" i="23"/>
  <c r="I14" i="23"/>
  <c r="E14" i="23"/>
  <c r="H14" i="23" s="1"/>
  <c r="K13" i="23"/>
  <c r="I13" i="23"/>
  <c r="K12" i="23"/>
  <c r="I12" i="23"/>
  <c r="E12" i="23"/>
  <c r="K11" i="23"/>
  <c r="I11" i="23"/>
  <c r="E11" i="23"/>
  <c r="H11" i="23"/>
  <c r="K10" i="23"/>
  <c r="I10" i="23"/>
  <c r="E10" i="23"/>
  <c r="H10" i="23"/>
  <c r="K9" i="23"/>
  <c r="I9" i="23"/>
  <c r="E9" i="23"/>
  <c r="H9" i="23"/>
  <c r="I8" i="23"/>
  <c r="E8" i="23"/>
  <c r="H8" i="23" s="1"/>
  <c r="I7" i="23"/>
  <c r="E7" i="23"/>
  <c r="H7" i="23"/>
  <c r="I6" i="23"/>
  <c r="E6" i="23"/>
  <c r="H6" i="23" s="1"/>
  <c r="I5" i="23"/>
  <c r="E5" i="23"/>
  <c r="H5" i="23"/>
  <c r="I4" i="23"/>
  <c r="E4" i="23"/>
  <c r="H4" i="23" s="1"/>
  <c r="I3" i="23"/>
  <c r="E3" i="23"/>
  <c r="H3" i="23"/>
  <c r="E466" i="22"/>
  <c r="E458" i="22"/>
  <c r="AB451" i="22"/>
  <c r="AA451" i="22"/>
  <c r="Z451" i="22"/>
  <c r="Y451" i="22"/>
  <c r="X451" i="22"/>
  <c r="W451" i="22"/>
  <c r="V451" i="22"/>
  <c r="U451" i="22"/>
  <c r="T451" i="22"/>
  <c r="S451" i="22"/>
  <c r="R451" i="22"/>
  <c r="Q451" i="22"/>
  <c r="P451" i="22"/>
  <c r="O451" i="22"/>
  <c r="N451" i="22"/>
  <c r="M451" i="22"/>
  <c r="L451" i="22"/>
  <c r="K451" i="22"/>
  <c r="J451" i="22"/>
  <c r="I451" i="22"/>
  <c r="H451" i="22"/>
  <c r="G451" i="22"/>
  <c r="G454" i="22" s="1"/>
  <c r="F451" i="22"/>
  <c r="G455" i="22"/>
  <c r="E460" i="22" s="1"/>
  <c r="E467" i="22" s="1"/>
  <c r="E451" i="22"/>
  <c r="D451" i="22"/>
  <c r="C451" i="22"/>
  <c r="AE450" i="22"/>
  <c r="AD450" i="22"/>
  <c r="AC450" i="22"/>
  <c r="AE449" i="22"/>
  <c r="AD449" i="22"/>
  <c r="AC449" i="22"/>
  <c r="AE448" i="22"/>
  <c r="AD448" i="22"/>
  <c r="AC448" i="22"/>
  <c r="AE447" i="22"/>
  <c r="AD447" i="22"/>
  <c r="AC447" i="22"/>
  <c r="AE446" i="22"/>
  <c r="AD446" i="22"/>
  <c r="AC446" i="22"/>
  <c r="AE445" i="22"/>
  <c r="AD445" i="22"/>
  <c r="AC445" i="22"/>
  <c r="AE444" i="22"/>
  <c r="AD444" i="22"/>
  <c r="AC444" i="22"/>
  <c r="AE443" i="22"/>
  <c r="AD443" i="22"/>
  <c r="AC443" i="22"/>
  <c r="AE442" i="22"/>
  <c r="AD442" i="22"/>
  <c r="AC442" i="22"/>
  <c r="AE441" i="22"/>
  <c r="AD441" i="22"/>
  <c r="AC441" i="22"/>
  <c r="AE440" i="22"/>
  <c r="AD440" i="22"/>
  <c r="AC440" i="22"/>
  <c r="AE439" i="22"/>
  <c r="AD439" i="22"/>
  <c r="AC439" i="22"/>
  <c r="AE438" i="22"/>
  <c r="AD438" i="22"/>
  <c r="AC438" i="22"/>
  <c r="AE437" i="22"/>
  <c r="AD437" i="22"/>
  <c r="AC437" i="22"/>
  <c r="AE436" i="22"/>
  <c r="AD436" i="22"/>
  <c r="AC436" i="22"/>
  <c r="AE435" i="22"/>
  <c r="AD435" i="22"/>
  <c r="AC435" i="22"/>
  <c r="AE434" i="22"/>
  <c r="AD434" i="22"/>
  <c r="AC434" i="22"/>
  <c r="AE433" i="22"/>
  <c r="AD433" i="22"/>
  <c r="AC433" i="22"/>
  <c r="AE432" i="22"/>
  <c r="AD432" i="22"/>
  <c r="AC432" i="22"/>
  <c r="AE431" i="22"/>
  <c r="AD431" i="22"/>
  <c r="AC431" i="22"/>
  <c r="AE430" i="22"/>
  <c r="AD430" i="22"/>
  <c r="AC430" i="22"/>
  <c r="AE429" i="22"/>
  <c r="AD429" i="22"/>
  <c r="AC429" i="22"/>
  <c r="AE428" i="22"/>
  <c r="AD428" i="22"/>
  <c r="AC428" i="22"/>
  <c r="AE427" i="22"/>
  <c r="AD427" i="22"/>
  <c r="AC427" i="22"/>
  <c r="AE426" i="22"/>
  <c r="AD426" i="22"/>
  <c r="AC426" i="22"/>
  <c r="AE425" i="22"/>
  <c r="AD425" i="22"/>
  <c r="AC425" i="22"/>
  <c r="AE424" i="22"/>
  <c r="AD424" i="22"/>
  <c r="AC424" i="22"/>
  <c r="AE423" i="22"/>
  <c r="AD423" i="22"/>
  <c r="AC423" i="22"/>
  <c r="AE422" i="22"/>
  <c r="AD422" i="22"/>
  <c r="AC422" i="22"/>
  <c r="AE421" i="22"/>
  <c r="AD421" i="22"/>
  <c r="AC421" i="22"/>
  <c r="AE420" i="22"/>
  <c r="AD420" i="22"/>
  <c r="AC420" i="22"/>
  <c r="AE419" i="22"/>
  <c r="AD419" i="22"/>
  <c r="AC419" i="22"/>
  <c r="AE418" i="22"/>
  <c r="AD418" i="22"/>
  <c r="AC418" i="22"/>
  <c r="AE417" i="22"/>
  <c r="AD417" i="22"/>
  <c r="AC417" i="22"/>
  <c r="AE416" i="22"/>
  <c r="AD416" i="22"/>
  <c r="AC416" i="22"/>
  <c r="AE415" i="22"/>
  <c r="AD415" i="22"/>
  <c r="AC415" i="22"/>
  <c r="AE414" i="22"/>
  <c r="AD414" i="22"/>
  <c r="AC414" i="22"/>
  <c r="AE413" i="22"/>
  <c r="AD413" i="22"/>
  <c r="AC413" i="22"/>
  <c r="AE412" i="22"/>
  <c r="AD412" i="22"/>
  <c r="AC412" i="22"/>
  <c r="AE411" i="22"/>
  <c r="AD411" i="22"/>
  <c r="AC411" i="22"/>
  <c r="AE410" i="22"/>
  <c r="AD410" i="22"/>
  <c r="AC410" i="22"/>
  <c r="AE409" i="22"/>
  <c r="AD409" i="22"/>
  <c r="AC409" i="22"/>
  <c r="AE408" i="22"/>
  <c r="AD408" i="22"/>
  <c r="AC408" i="22"/>
  <c r="AE407" i="22"/>
  <c r="AD407" i="22"/>
  <c r="AC407" i="22"/>
  <c r="AE406" i="22"/>
  <c r="AD406" i="22"/>
  <c r="AC406" i="22"/>
  <c r="AE405" i="22"/>
  <c r="AD405" i="22"/>
  <c r="AC405" i="22"/>
  <c r="AE404" i="22"/>
  <c r="AD404" i="22"/>
  <c r="AC404" i="22"/>
  <c r="AE403" i="22"/>
  <c r="AD403" i="22"/>
  <c r="AC403" i="22"/>
  <c r="AE402" i="22"/>
  <c r="AD402" i="22"/>
  <c r="AC402" i="22"/>
  <c r="AE401" i="22"/>
  <c r="AD401" i="22"/>
  <c r="AC401" i="22"/>
  <c r="AE400" i="22"/>
  <c r="AD400" i="22"/>
  <c r="AC400" i="22"/>
  <c r="AE399" i="22"/>
  <c r="AD399" i="22"/>
  <c r="AC399" i="22"/>
  <c r="AE398" i="22"/>
  <c r="AD398" i="22"/>
  <c r="AC398" i="22"/>
  <c r="AE397" i="22"/>
  <c r="AD397" i="22"/>
  <c r="AC397" i="22"/>
  <c r="AE396" i="22"/>
  <c r="AD396" i="22"/>
  <c r="AC396" i="22"/>
  <c r="AE395" i="22"/>
  <c r="AD395" i="22"/>
  <c r="AC395" i="22"/>
  <c r="AE394" i="22"/>
  <c r="AD394" i="22"/>
  <c r="AC394" i="22"/>
  <c r="AE393" i="22"/>
  <c r="AD393" i="22"/>
  <c r="AC393" i="22"/>
  <c r="AE392" i="22"/>
  <c r="AD392" i="22"/>
  <c r="AC392" i="22"/>
  <c r="AE391" i="22"/>
  <c r="AD391" i="22"/>
  <c r="AC391" i="22"/>
  <c r="AE390" i="22"/>
  <c r="AD390" i="22"/>
  <c r="AC390" i="22"/>
  <c r="AE389" i="22"/>
  <c r="AD389" i="22"/>
  <c r="AC389" i="22"/>
  <c r="AE388" i="22"/>
  <c r="AD388" i="22"/>
  <c r="AC388" i="22"/>
  <c r="AE387" i="22"/>
  <c r="AD387" i="22"/>
  <c r="AC387" i="22"/>
  <c r="AE386" i="22"/>
  <c r="AD386" i="22"/>
  <c r="AC386" i="22"/>
  <c r="AE385" i="22"/>
  <c r="AD385" i="22"/>
  <c r="AC385" i="22"/>
  <c r="AE384" i="22"/>
  <c r="AD384" i="22"/>
  <c r="AC384" i="22"/>
  <c r="AE383" i="22"/>
  <c r="AD383" i="22"/>
  <c r="AC383" i="22"/>
  <c r="AE382" i="22"/>
  <c r="AD382" i="22"/>
  <c r="AC382" i="22"/>
  <c r="AE381" i="22"/>
  <c r="AD381" i="22"/>
  <c r="AC381" i="22"/>
  <c r="AE380" i="22"/>
  <c r="AD380" i="22"/>
  <c r="AC380" i="22"/>
  <c r="AE379" i="22"/>
  <c r="AD379" i="22"/>
  <c r="AC379" i="22"/>
  <c r="AE378" i="22"/>
  <c r="AD378" i="22"/>
  <c r="AC378" i="22"/>
  <c r="AE377" i="22"/>
  <c r="AD377" i="22"/>
  <c r="AC377" i="22"/>
  <c r="AE376" i="22"/>
  <c r="AD376" i="22"/>
  <c r="AC376" i="22"/>
  <c r="AE375" i="22"/>
  <c r="AD375" i="22"/>
  <c r="AC375" i="22"/>
  <c r="AE374" i="22"/>
  <c r="AD374" i="22"/>
  <c r="AC374" i="22"/>
  <c r="AE373" i="22"/>
  <c r="AD373" i="22"/>
  <c r="AC373" i="22"/>
  <c r="AE372" i="22"/>
  <c r="AD372" i="22"/>
  <c r="AC372" i="22"/>
  <c r="AE371" i="22"/>
  <c r="AD371" i="22"/>
  <c r="AC371" i="22"/>
  <c r="AE370" i="22"/>
  <c r="AD370" i="22"/>
  <c r="AC370" i="22"/>
  <c r="AE369" i="22"/>
  <c r="AD369" i="22"/>
  <c r="AC369" i="22"/>
  <c r="AE368" i="22"/>
  <c r="AD368" i="22"/>
  <c r="AC368" i="22"/>
  <c r="AE367" i="22"/>
  <c r="AD367" i="22"/>
  <c r="AC367" i="22"/>
  <c r="AE366" i="22"/>
  <c r="AD366" i="22"/>
  <c r="AC366" i="22"/>
  <c r="AE365" i="22"/>
  <c r="AD365" i="22"/>
  <c r="AC365" i="22"/>
  <c r="AE364" i="22"/>
  <c r="AD364" i="22"/>
  <c r="AC364" i="22"/>
  <c r="AE363" i="22"/>
  <c r="AD363" i="22"/>
  <c r="AC363" i="22"/>
  <c r="AE362" i="22"/>
  <c r="AD362" i="22"/>
  <c r="AC362" i="22"/>
  <c r="AE361" i="22"/>
  <c r="AD361" i="22"/>
  <c r="AC361" i="22"/>
  <c r="AE360" i="22"/>
  <c r="AD360" i="22"/>
  <c r="AC360" i="22"/>
  <c r="AE359" i="22"/>
  <c r="AD359" i="22"/>
  <c r="AC359" i="22"/>
  <c r="AE358" i="22"/>
  <c r="AD358" i="22"/>
  <c r="AC358" i="22"/>
  <c r="AE357" i="22"/>
  <c r="AD357" i="22"/>
  <c r="AC357" i="22"/>
  <c r="AE356" i="22"/>
  <c r="AD356" i="22"/>
  <c r="AC356" i="22"/>
  <c r="AE355" i="22"/>
  <c r="AD355" i="22"/>
  <c r="AC355" i="22"/>
  <c r="AE354" i="22"/>
  <c r="AD354" i="22"/>
  <c r="AC354" i="22"/>
  <c r="AE353" i="22"/>
  <c r="AD353" i="22"/>
  <c r="AC353" i="22"/>
  <c r="AE352" i="22"/>
  <c r="AD352" i="22"/>
  <c r="AC352" i="22"/>
  <c r="AE351" i="22"/>
  <c r="AD351" i="22"/>
  <c r="AC351" i="22"/>
  <c r="AE350" i="22"/>
  <c r="AD350" i="22"/>
  <c r="AC350" i="22"/>
  <c r="AE349" i="22"/>
  <c r="AD349" i="22"/>
  <c r="AC349" i="22"/>
  <c r="AE348" i="22"/>
  <c r="AD348" i="22"/>
  <c r="AC348" i="22"/>
  <c r="AE347" i="22"/>
  <c r="AD347" i="22"/>
  <c r="AC347" i="22"/>
  <c r="AE346" i="22"/>
  <c r="AD346" i="22"/>
  <c r="AC346" i="22"/>
  <c r="AE345" i="22"/>
  <c r="AD345" i="22"/>
  <c r="AC345" i="22"/>
  <c r="AE344" i="22"/>
  <c r="AD344" i="22"/>
  <c r="AC344" i="22"/>
  <c r="AE343" i="22"/>
  <c r="AD343" i="22"/>
  <c r="AC343" i="22"/>
  <c r="AE342" i="22"/>
  <c r="AD342" i="22"/>
  <c r="AC342" i="22"/>
  <c r="AE341" i="22"/>
  <c r="AD341" i="22"/>
  <c r="AC341" i="22"/>
  <c r="AE340" i="22"/>
  <c r="AD340" i="22"/>
  <c r="AC340" i="22"/>
  <c r="AE339" i="22"/>
  <c r="AD339" i="22"/>
  <c r="AC339" i="22"/>
  <c r="AE338" i="22"/>
  <c r="AD338" i="22"/>
  <c r="AC338" i="22"/>
  <c r="AE337" i="22"/>
  <c r="AD337" i="22"/>
  <c r="AC337" i="22"/>
  <c r="AE336" i="22"/>
  <c r="AD336" i="22"/>
  <c r="AC336" i="22"/>
  <c r="AE335" i="22"/>
  <c r="AD335" i="22"/>
  <c r="AC335" i="22"/>
  <c r="AE334" i="22"/>
  <c r="AD334" i="22"/>
  <c r="AC334" i="22"/>
  <c r="AE333" i="22"/>
  <c r="AD333" i="22"/>
  <c r="AC333" i="22"/>
  <c r="AE332" i="22"/>
  <c r="AD332" i="22"/>
  <c r="AC332" i="22"/>
  <c r="AE331" i="22"/>
  <c r="AD331" i="22"/>
  <c r="AC331" i="22"/>
  <c r="AE330" i="22"/>
  <c r="AD330" i="22"/>
  <c r="AC330" i="22"/>
  <c r="AE329" i="22"/>
  <c r="AD329" i="22"/>
  <c r="AC329" i="22"/>
  <c r="AE328" i="22"/>
  <c r="AD328" i="22"/>
  <c r="AC328" i="22"/>
  <c r="AE327" i="22"/>
  <c r="AD327" i="22"/>
  <c r="AC327" i="22"/>
  <c r="AE326" i="22"/>
  <c r="AD326" i="22"/>
  <c r="AC326" i="22"/>
  <c r="AE325" i="22"/>
  <c r="AD325" i="22"/>
  <c r="AC325" i="22"/>
  <c r="AE324" i="22"/>
  <c r="AD324" i="22"/>
  <c r="AC324" i="22"/>
  <c r="AE323" i="22"/>
  <c r="AD323" i="22"/>
  <c r="AC323" i="22"/>
  <c r="AE322" i="22"/>
  <c r="AD322" i="22"/>
  <c r="AC322" i="22"/>
  <c r="AE321" i="22"/>
  <c r="AD321" i="22"/>
  <c r="AC321" i="22"/>
  <c r="AE320" i="22"/>
  <c r="AD320" i="22"/>
  <c r="AC320" i="22"/>
  <c r="AE319" i="22"/>
  <c r="AD319" i="22"/>
  <c r="AC319" i="22"/>
  <c r="AE318" i="22"/>
  <c r="AD318" i="22"/>
  <c r="AC318" i="22"/>
  <c r="AE317" i="22"/>
  <c r="AE451" i="22" s="1"/>
  <c r="AD317" i="22"/>
  <c r="AC317" i="22"/>
  <c r="AE316" i="22"/>
  <c r="AD316" i="22"/>
  <c r="AC316" i="22"/>
  <c r="AE315" i="22"/>
  <c r="AD315" i="22"/>
  <c r="AD451" i="22"/>
  <c r="E465" i="22" s="1"/>
  <c r="AC315" i="22"/>
  <c r="AE314" i="22"/>
  <c r="AD314" i="22"/>
  <c r="AC314" i="22"/>
  <c r="AB295" i="22"/>
  <c r="AA295" i="22"/>
  <c r="Z295" i="22"/>
  <c r="Y295" i="22"/>
  <c r="X295" i="22"/>
  <c r="W295" i="22"/>
  <c r="V295" i="22"/>
  <c r="U295" i="22"/>
  <c r="T295" i="22"/>
  <c r="S295" i="22"/>
  <c r="R295" i="22"/>
  <c r="Q295" i="22"/>
  <c r="P295" i="22"/>
  <c r="O295" i="22"/>
  <c r="N295" i="22"/>
  <c r="M295" i="22"/>
  <c r="G297" i="22" s="1"/>
  <c r="J295" i="22"/>
  <c r="I295" i="22"/>
  <c r="H295" i="22"/>
  <c r="G295" i="22"/>
  <c r="F295" i="22"/>
  <c r="E295" i="22"/>
  <c r="D295" i="22"/>
  <c r="C295" i="22"/>
  <c r="AE294" i="22"/>
  <c r="AD294" i="22"/>
  <c r="AC294" i="22"/>
  <c r="AE293" i="22"/>
  <c r="AD293" i="22"/>
  <c r="AC293" i="22"/>
  <c r="AE292" i="22"/>
  <c r="AD292" i="22"/>
  <c r="AC292" i="22"/>
  <c r="AE291" i="22"/>
  <c r="AD291" i="22"/>
  <c r="AC291" i="22"/>
  <c r="AE290" i="22"/>
  <c r="AD290" i="22"/>
  <c r="AC290" i="22"/>
  <c r="AE289" i="22"/>
  <c r="AD289" i="22"/>
  <c r="AC289" i="22"/>
  <c r="AE288" i="22"/>
  <c r="AD288" i="22"/>
  <c r="AC288" i="22"/>
  <c r="AE287" i="22"/>
  <c r="AD287" i="22"/>
  <c r="AC287" i="22"/>
  <c r="AE286" i="22"/>
  <c r="AD286" i="22"/>
  <c r="AC286" i="22"/>
  <c r="AE285" i="22"/>
  <c r="AD285" i="22"/>
  <c r="AC285" i="22"/>
  <c r="AE284" i="22"/>
  <c r="AD284" i="22"/>
  <c r="AC284" i="22"/>
  <c r="AE283" i="22"/>
  <c r="AD283" i="22"/>
  <c r="AC283" i="22"/>
  <c r="AE282" i="22"/>
  <c r="AD282" i="22"/>
  <c r="AC282" i="22"/>
  <c r="AE281" i="22"/>
  <c r="AD281" i="22"/>
  <c r="AC281" i="22"/>
  <c r="AE280" i="22"/>
  <c r="AD280" i="22"/>
  <c r="AC280" i="22"/>
  <c r="AE279" i="22"/>
  <c r="AD279" i="22"/>
  <c r="AC279" i="22"/>
  <c r="AE278" i="22"/>
  <c r="AD278" i="22"/>
  <c r="AC278" i="22"/>
  <c r="AE277" i="22"/>
  <c r="AD277" i="22"/>
  <c r="AC277" i="22"/>
  <c r="AE276" i="22"/>
  <c r="AD276" i="22"/>
  <c r="AC276" i="22"/>
  <c r="AE275" i="22"/>
  <c r="AD275" i="22"/>
  <c r="AC275" i="22"/>
  <c r="AE274" i="22"/>
  <c r="AD274" i="22"/>
  <c r="AC274" i="22"/>
  <c r="AE273" i="22"/>
  <c r="AD273" i="22"/>
  <c r="AC273" i="22"/>
  <c r="AE272" i="22"/>
  <c r="AD272" i="22"/>
  <c r="AC272" i="22"/>
  <c r="AE271" i="22"/>
  <c r="AD271" i="22"/>
  <c r="AC271" i="22"/>
  <c r="AE270" i="22"/>
  <c r="AD270" i="22"/>
  <c r="AC270" i="22"/>
  <c r="AE269" i="22"/>
  <c r="AD269" i="22"/>
  <c r="AC269" i="22"/>
  <c r="AE268" i="22"/>
  <c r="AD268" i="22"/>
  <c r="AC268" i="22"/>
  <c r="AE267" i="22"/>
  <c r="AD267" i="22"/>
  <c r="AC267" i="22"/>
  <c r="AE266" i="22"/>
  <c r="AD266" i="22"/>
  <c r="AC266" i="22"/>
  <c r="AE265" i="22"/>
  <c r="AD265" i="22"/>
  <c r="AC265" i="22"/>
  <c r="AE264" i="22"/>
  <c r="AD264" i="22"/>
  <c r="AC264" i="22"/>
  <c r="AE263" i="22"/>
  <c r="AD263" i="22"/>
  <c r="AC263" i="22"/>
  <c r="AE262" i="22"/>
  <c r="AD262" i="22"/>
  <c r="AC262" i="22"/>
  <c r="AE261" i="22"/>
  <c r="AD261" i="22"/>
  <c r="AC261" i="22"/>
  <c r="AE260" i="22"/>
  <c r="AD260" i="22"/>
  <c r="AC260" i="22"/>
  <c r="AE259" i="22"/>
  <c r="AD259" i="22"/>
  <c r="AC259" i="22"/>
  <c r="AE258" i="22"/>
  <c r="AD258" i="22"/>
  <c r="AC258" i="22"/>
  <c r="AE257" i="22"/>
  <c r="AD257" i="22"/>
  <c r="AC257" i="22"/>
  <c r="AE256" i="22"/>
  <c r="AD256" i="22"/>
  <c r="AC256" i="22"/>
  <c r="AE255" i="22"/>
  <c r="AD255" i="22"/>
  <c r="AC255" i="22"/>
  <c r="AE254" i="22"/>
  <c r="AD254" i="22"/>
  <c r="AC254" i="22"/>
  <c r="AE253" i="22"/>
  <c r="AD253" i="22"/>
  <c r="AC253" i="22"/>
  <c r="AE252" i="22"/>
  <c r="AD252" i="22"/>
  <c r="AC252" i="22"/>
  <c r="AE251" i="22"/>
  <c r="AD251" i="22"/>
  <c r="AC251" i="22"/>
  <c r="AE250" i="22"/>
  <c r="AD250" i="22"/>
  <c r="AC250" i="22"/>
  <c r="AE249" i="22"/>
  <c r="AD249" i="22"/>
  <c r="AC249" i="22"/>
  <c r="AE248" i="22"/>
  <c r="AD248" i="22"/>
  <c r="AC248" i="22"/>
  <c r="AE247" i="22"/>
  <c r="AD247" i="22"/>
  <c r="AC247" i="22"/>
  <c r="AE246" i="22"/>
  <c r="AD246" i="22"/>
  <c r="AC246" i="22"/>
  <c r="AE245" i="22"/>
  <c r="AD245" i="22"/>
  <c r="AC245" i="22"/>
  <c r="AE244" i="22"/>
  <c r="AD244" i="22"/>
  <c r="AC244" i="22"/>
  <c r="AE243" i="22"/>
  <c r="AD243" i="22"/>
  <c r="AC243" i="22"/>
  <c r="AE242" i="22"/>
  <c r="AD242" i="22"/>
  <c r="AC242" i="22"/>
  <c r="AE241" i="22"/>
  <c r="AD241" i="22"/>
  <c r="AC241" i="22"/>
  <c r="AE240" i="22"/>
  <c r="AD240" i="22"/>
  <c r="AC240" i="22"/>
  <c r="AE239" i="22"/>
  <c r="AD239" i="22"/>
  <c r="AC239" i="22"/>
  <c r="AE238" i="22"/>
  <c r="AD238" i="22"/>
  <c r="AC238" i="22"/>
  <c r="AE237" i="22"/>
  <c r="AD237" i="22"/>
  <c r="AC237" i="22"/>
  <c r="AE236" i="22"/>
  <c r="AD236" i="22"/>
  <c r="AC236" i="22"/>
  <c r="AE235" i="22"/>
  <c r="AD235" i="22"/>
  <c r="AC235" i="22"/>
  <c r="AE234" i="22"/>
  <c r="AD234" i="22"/>
  <c r="AC234" i="22"/>
  <c r="L233" i="22"/>
  <c r="L295" i="22" s="1"/>
  <c r="K233" i="22"/>
  <c r="K295" i="22" s="1"/>
  <c r="AE232" i="22"/>
  <c r="AD232" i="22"/>
  <c r="AC232" i="22"/>
  <c r="AE231" i="22"/>
  <c r="AD231" i="22"/>
  <c r="AC231" i="22"/>
  <c r="AE230" i="22"/>
  <c r="AD230" i="22"/>
  <c r="AC230" i="22"/>
  <c r="AE229" i="22"/>
  <c r="AD229" i="22"/>
  <c r="AC229" i="22"/>
  <c r="AE228" i="22"/>
  <c r="AD228" i="22"/>
  <c r="AC228" i="22"/>
  <c r="AE227" i="22"/>
  <c r="AD227" i="22"/>
  <c r="AC227" i="22"/>
  <c r="AE226" i="22"/>
  <c r="AD226" i="22"/>
  <c r="AC226" i="22"/>
  <c r="AE225" i="22"/>
  <c r="AD225" i="22"/>
  <c r="AC225" i="22"/>
  <c r="AE224" i="22"/>
  <c r="AD224" i="22"/>
  <c r="AC224" i="22"/>
  <c r="AE223" i="22"/>
  <c r="AD223" i="22"/>
  <c r="AC223" i="22"/>
  <c r="AE222" i="22"/>
  <c r="AD222" i="22"/>
  <c r="AC222" i="22"/>
  <c r="AE221" i="22"/>
  <c r="AD221" i="22"/>
  <c r="AC221" i="22"/>
  <c r="AE220" i="22"/>
  <c r="AD220" i="22"/>
  <c r="AC220" i="22"/>
  <c r="AE219" i="22"/>
  <c r="AD219" i="22"/>
  <c r="AC219" i="22"/>
  <c r="AE218" i="22"/>
  <c r="AD218" i="22"/>
  <c r="AC218" i="22"/>
  <c r="AE217" i="22"/>
  <c r="AD217" i="22"/>
  <c r="AC217" i="22"/>
  <c r="AE216" i="22"/>
  <c r="AD216" i="22"/>
  <c r="AC216" i="22"/>
  <c r="AE215" i="22"/>
  <c r="AD215" i="22"/>
  <c r="AC215" i="22"/>
  <c r="AE214" i="22"/>
  <c r="AD214" i="22"/>
  <c r="AC214" i="22"/>
  <c r="AE213" i="22"/>
  <c r="AD213" i="22"/>
  <c r="AC213" i="22"/>
  <c r="AE212" i="22"/>
  <c r="AD212" i="22"/>
  <c r="AC212" i="22"/>
  <c r="AE211" i="22"/>
  <c r="AD211" i="22"/>
  <c r="AC211" i="22"/>
  <c r="AE210" i="22"/>
  <c r="AD210" i="22"/>
  <c r="AC210" i="22"/>
  <c r="AE209" i="22"/>
  <c r="AD209" i="22"/>
  <c r="AC209" i="22"/>
  <c r="AE208" i="22"/>
  <c r="AD208" i="22"/>
  <c r="AC208" i="22"/>
  <c r="AE207" i="22"/>
  <c r="AD207" i="22"/>
  <c r="AC207" i="22"/>
  <c r="AE206" i="22"/>
  <c r="AD206" i="22"/>
  <c r="AC206" i="22"/>
  <c r="AE205" i="22"/>
  <c r="AD205" i="22"/>
  <c r="AC205" i="22"/>
  <c r="AE204" i="22"/>
  <c r="AD204" i="22"/>
  <c r="AC204" i="22"/>
  <c r="AE203" i="22"/>
  <c r="AD203" i="22"/>
  <c r="AC203" i="22"/>
  <c r="AE202" i="22"/>
  <c r="AD202" i="22"/>
  <c r="AC202" i="22"/>
  <c r="AE201" i="22"/>
  <c r="AD201" i="22"/>
  <c r="AC201" i="22"/>
  <c r="AE200" i="22"/>
  <c r="AD200" i="22"/>
  <c r="AC200" i="22"/>
  <c r="AE199" i="22"/>
  <c r="AD199" i="22"/>
  <c r="AC199" i="22"/>
  <c r="AE198" i="22"/>
  <c r="AD198" i="22"/>
  <c r="AC198" i="22"/>
  <c r="AE197" i="22"/>
  <c r="AD197" i="22"/>
  <c r="AC197" i="22"/>
  <c r="AE196" i="22"/>
  <c r="AD196" i="22"/>
  <c r="AC196" i="22"/>
  <c r="AE195" i="22"/>
  <c r="AD195" i="22"/>
  <c r="AC195" i="22"/>
  <c r="AE194" i="22"/>
  <c r="AD194" i="22"/>
  <c r="AC194" i="22"/>
  <c r="AE193" i="22"/>
  <c r="AD193" i="22"/>
  <c r="AC193" i="22"/>
  <c r="AE192" i="22"/>
  <c r="AD192" i="22"/>
  <c r="AC192" i="22"/>
  <c r="AE191" i="22"/>
  <c r="AD191" i="22"/>
  <c r="AC191" i="22"/>
  <c r="AE190" i="22"/>
  <c r="AD190" i="22"/>
  <c r="AC190" i="22"/>
  <c r="AE189" i="22"/>
  <c r="AD189" i="22"/>
  <c r="AC189" i="22"/>
  <c r="AE188" i="22"/>
  <c r="AD188" i="22"/>
  <c r="AC188" i="22"/>
  <c r="AE187" i="22"/>
  <c r="AD187" i="22"/>
  <c r="AC187" i="22"/>
  <c r="AE186" i="22"/>
  <c r="AD186" i="22"/>
  <c r="AC186" i="22"/>
  <c r="AE185" i="22"/>
  <c r="AD185" i="22"/>
  <c r="AC185" i="22"/>
  <c r="AE184" i="22"/>
  <c r="AD184" i="22"/>
  <c r="AC184" i="22"/>
  <c r="AE183" i="22"/>
  <c r="AD183" i="22"/>
  <c r="AC183" i="22"/>
  <c r="AB165" i="22"/>
  <c r="AA165" i="22"/>
  <c r="Z165" i="22"/>
  <c r="Y165" i="22"/>
  <c r="R165" i="22"/>
  <c r="Q165" i="22"/>
  <c r="P165" i="22"/>
  <c r="O165" i="22"/>
  <c r="N165" i="22"/>
  <c r="M165" i="22"/>
  <c r="L165" i="22"/>
  <c r="K165" i="22"/>
  <c r="J165" i="22"/>
  <c r="I165" i="22"/>
  <c r="H165" i="22"/>
  <c r="G165" i="22"/>
  <c r="E165" i="22"/>
  <c r="AD164" i="22"/>
  <c r="AC164" i="22"/>
  <c r="AE163" i="22"/>
  <c r="AD163" i="22"/>
  <c r="AC163" i="22"/>
  <c r="AE162" i="22"/>
  <c r="AD162" i="22"/>
  <c r="AC162" i="22"/>
  <c r="AE161" i="22"/>
  <c r="AD161" i="22"/>
  <c r="AC161" i="22"/>
  <c r="AE160" i="22"/>
  <c r="AD160" i="22"/>
  <c r="AC160" i="22"/>
  <c r="AE159" i="22"/>
  <c r="AD159" i="22"/>
  <c r="AC159" i="22"/>
  <c r="AE158" i="22"/>
  <c r="AD158" i="22"/>
  <c r="AC158" i="22"/>
  <c r="AE157" i="22"/>
  <c r="AD157" i="22"/>
  <c r="AC157" i="22"/>
  <c r="AE156" i="22"/>
  <c r="AD156" i="22"/>
  <c r="AC156" i="22"/>
  <c r="AE155" i="22"/>
  <c r="AD155" i="22"/>
  <c r="AC155" i="22"/>
  <c r="AE154" i="22"/>
  <c r="AD154" i="22"/>
  <c r="AC154" i="22"/>
  <c r="AE153" i="22"/>
  <c r="AD153" i="22"/>
  <c r="AC153" i="22"/>
  <c r="AE152" i="22"/>
  <c r="AD152" i="22"/>
  <c r="AC152" i="22"/>
  <c r="AE151" i="22"/>
  <c r="AD151" i="22"/>
  <c r="AC151" i="22"/>
  <c r="AE150" i="22"/>
  <c r="AD150" i="22"/>
  <c r="AC150" i="22"/>
  <c r="AE149" i="22"/>
  <c r="AD149" i="22"/>
  <c r="AC149" i="22"/>
  <c r="AE148" i="22"/>
  <c r="AD148" i="22"/>
  <c r="AC148" i="22"/>
  <c r="AE147" i="22"/>
  <c r="AD147" i="22"/>
  <c r="AC147" i="22"/>
  <c r="AE146" i="22"/>
  <c r="AD146" i="22"/>
  <c r="AC146" i="22"/>
  <c r="AE145" i="22"/>
  <c r="AD145" i="22"/>
  <c r="AC145" i="22"/>
  <c r="AE144" i="22"/>
  <c r="AD144" i="22"/>
  <c r="AC144" i="22"/>
  <c r="AE143" i="22"/>
  <c r="AD143" i="22"/>
  <c r="AC143" i="22"/>
  <c r="AE142" i="22"/>
  <c r="AD142" i="22"/>
  <c r="AC142" i="22"/>
  <c r="AE141" i="22"/>
  <c r="AD141" i="22"/>
  <c r="AC141" i="22"/>
  <c r="AE140" i="22"/>
  <c r="AD140" i="22"/>
  <c r="AC140" i="22"/>
  <c r="AE139" i="22"/>
  <c r="AD139" i="22"/>
  <c r="AC139" i="22"/>
  <c r="AE138" i="22"/>
  <c r="AD138" i="22"/>
  <c r="AC138" i="22"/>
  <c r="AE137" i="22"/>
  <c r="AD137" i="22"/>
  <c r="AC137" i="22"/>
  <c r="AE136" i="22"/>
  <c r="AD136" i="22"/>
  <c r="AC136" i="22"/>
  <c r="AE135" i="22"/>
  <c r="AD135" i="22"/>
  <c r="AC135" i="22"/>
  <c r="AE134" i="22"/>
  <c r="AD134" i="22"/>
  <c r="AC134" i="22"/>
  <c r="AE133" i="22"/>
  <c r="AD133" i="22"/>
  <c r="AC133" i="22"/>
  <c r="AE132" i="22"/>
  <c r="AD132" i="22"/>
  <c r="AC132" i="22"/>
  <c r="AE131" i="22"/>
  <c r="AD131" i="22"/>
  <c r="AC131" i="22"/>
  <c r="AE130" i="22"/>
  <c r="AD130" i="22"/>
  <c r="AC130" i="22"/>
  <c r="AE129" i="22"/>
  <c r="AD129" i="22"/>
  <c r="AC129" i="22"/>
  <c r="AE128" i="22"/>
  <c r="AD128" i="22"/>
  <c r="AC128" i="22"/>
  <c r="AE127" i="22"/>
  <c r="AD127" i="22"/>
  <c r="AC127" i="22"/>
  <c r="AE126" i="22"/>
  <c r="AD126" i="22"/>
  <c r="AC126" i="22"/>
  <c r="AE125" i="22"/>
  <c r="AD125" i="22"/>
  <c r="AC125" i="22"/>
  <c r="AE124" i="22"/>
  <c r="AD124" i="22"/>
  <c r="AC124" i="22"/>
  <c r="AD123" i="22"/>
  <c r="X123" i="22"/>
  <c r="X165" i="22"/>
  <c r="W123" i="22"/>
  <c r="W165" i="22"/>
  <c r="AE122" i="22"/>
  <c r="AD122" i="22"/>
  <c r="AC122" i="22"/>
  <c r="AE121" i="22"/>
  <c r="AD121" i="22"/>
  <c r="AC121" i="22"/>
  <c r="AE120" i="22"/>
  <c r="AD120" i="22"/>
  <c r="AC120" i="22"/>
  <c r="AE119" i="22"/>
  <c r="AD119" i="22"/>
  <c r="AC119" i="22"/>
  <c r="AE118" i="22"/>
  <c r="AD118" i="22"/>
  <c r="AC118" i="22"/>
  <c r="V117" i="22"/>
  <c r="U117" i="22"/>
  <c r="AC117" i="22"/>
  <c r="AE116" i="22"/>
  <c r="AD116" i="22"/>
  <c r="AC116" i="22"/>
  <c r="AE115" i="22"/>
  <c r="AD115" i="22"/>
  <c r="AC115" i="22"/>
  <c r="AE114" i="22"/>
  <c r="AD114" i="22"/>
  <c r="AC114" i="22"/>
  <c r="AE113" i="22"/>
  <c r="AD113" i="22"/>
  <c r="AC113" i="22"/>
  <c r="T112" i="22"/>
  <c r="S112" i="22"/>
  <c r="AC112" i="22" s="1"/>
  <c r="F111" i="22"/>
  <c r="AE110" i="22"/>
  <c r="AD110" i="22"/>
  <c r="AE109" i="22"/>
  <c r="T108" i="22"/>
  <c r="AE108" i="22" s="1"/>
  <c r="S108" i="22"/>
  <c r="S165" i="22" s="1"/>
  <c r="AE107" i="22"/>
  <c r="AC107" i="22"/>
  <c r="AE106" i="22"/>
  <c r="AE105" i="22"/>
  <c r="AE104" i="22"/>
  <c r="AE103" i="22"/>
  <c r="AE102" i="22"/>
  <c r="D102" i="22"/>
  <c r="AD102" i="22" s="1"/>
  <c r="C102" i="22"/>
  <c r="AC102" i="22" s="1"/>
  <c r="AE101" i="22"/>
  <c r="AE100" i="22"/>
  <c r="AE99" i="22"/>
  <c r="AE98" i="22"/>
  <c r="AE97" i="22"/>
  <c r="AE96" i="22"/>
  <c r="AE95" i="22"/>
  <c r="AE94" i="22"/>
  <c r="C94" i="22"/>
  <c r="AC94" i="22" s="1"/>
  <c r="AE93" i="22"/>
  <c r="AD93" i="22"/>
  <c r="AE92" i="22"/>
  <c r="AE91" i="22"/>
  <c r="AE90" i="22"/>
  <c r="AE89" i="22"/>
  <c r="AD89" i="22"/>
  <c r="AE88" i="22"/>
  <c r="AE87" i="22"/>
  <c r="AE86" i="22"/>
  <c r="D86" i="22"/>
  <c r="AD86" i="22" s="1"/>
  <c r="C86" i="22"/>
  <c r="AC86" i="22" s="1"/>
  <c r="AE85" i="22"/>
  <c r="AE84" i="22"/>
  <c r="AE83" i="22"/>
  <c r="AE82" i="22"/>
  <c r="AE81" i="22"/>
  <c r="AE80" i="22"/>
  <c r="AE79" i="22"/>
  <c r="AB62" i="22"/>
  <c r="AA62" i="22"/>
  <c r="Z62" i="22"/>
  <c r="Y62" i="22"/>
  <c r="X62" i="22"/>
  <c r="W62" i="22"/>
  <c r="V62" i="22"/>
  <c r="U62" i="22"/>
  <c r="T62" i="22"/>
  <c r="S62" i="22"/>
  <c r="R62" i="22"/>
  <c r="Q62" i="22"/>
  <c r="P62" i="22"/>
  <c r="O62" i="22"/>
  <c r="N62" i="22"/>
  <c r="M62" i="22"/>
  <c r="L62" i="22"/>
  <c r="K62" i="22"/>
  <c r="J62" i="22"/>
  <c r="I62" i="22"/>
  <c r="H62" i="22"/>
  <c r="G62" i="22"/>
  <c r="F62" i="22"/>
  <c r="G65" i="22" s="1"/>
  <c r="E70" i="22" s="1"/>
  <c r="E62" i="22"/>
  <c r="AD61" i="22"/>
  <c r="AC61" i="22"/>
  <c r="AE60" i="22"/>
  <c r="AD60" i="22"/>
  <c r="AC60" i="22"/>
  <c r="C111" i="22" s="1"/>
  <c r="AC111" i="22" s="1"/>
  <c r="AE59" i="22"/>
  <c r="AD59" i="22"/>
  <c r="D110" i="22" s="1"/>
  <c r="AC59" i="22"/>
  <c r="C110" i="22"/>
  <c r="AC110" i="22" s="1"/>
  <c r="AE58" i="22"/>
  <c r="AD58" i="22"/>
  <c r="D109" i="22"/>
  <c r="AD109" i="22" s="1"/>
  <c r="AC58" i="22"/>
  <c r="C109" i="22" s="1"/>
  <c r="AC109" i="22" s="1"/>
  <c r="AE57" i="22"/>
  <c r="AD57" i="22"/>
  <c r="D108" i="22" s="1"/>
  <c r="AD108" i="22" s="1"/>
  <c r="AC57" i="22"/>
  <c r="C108" i="22"/>
  <c r="AC108" i="22" s="1"/>
  <c r="AE56" i="22"/>
  <c r="AD56" i="22"/>
  <c r="D107" i="22"/>
  <c r="AD107" i="22" s="1"/>
  <c r="AC56" i="22"/>
  <c r="C107" i="22" s="1"/>
  <c r="AE55" i="22"/>
  <c r="AD55" i="22"/>
  <c r="D106" i="22" s="1"/>
  <c r="AD106" i="22" s="1"/>
  <c r="AC55" i="22"/>
  <c r="C106" i="22"/>
  <c r="AC106" i="22" s="1"/>
  <c r="AE54" i="22"/>
  <c r="AD54" i="22"/>
  <c r="D105" i="22" s="1"/>
  <c r="AD105" i="22" s="1"/>
  <c r="AC54" i="22"/>
  <c r="C105" i="22" s="1"/>
  <c r="AC105" i="22" s="1"/>
  <c r="AE53" i="22"/>
  <c r="AD53" i="22"/>
  <c r="D104" i="22" s="1"/>
  <c r="AD104" i="22" s="1"/>
  <c r="AC53" i="22"/>
  <c r="C104" i="22"/>
  <c r="AC104" i="22" s="1"/>
  <c r="AE52" i="22"/>
  <c r="AD52" i="22"/>
  <c r="D103" i="22"/>
  <c r="AD103" i="22" s="1"/>
  <c r="AC52" i="22"/>
  <c r="C103" i="22" s="1"/>
  <c r="AC103" i="22"/>
  <c r="AE51" i="22"/>
  <c r="AD51" i="22"/>
  <c r="AC51" i="22"/>
  <c r="AE50" i="22"/>
  <c r="AD50" i="22"/>
  <c r="D101" i="22" s="1"/>
  <c r="AD101" i="22" s="1"/>
  <c r="AC50" i="22"/>
  <c r="C101" i="22" s="1"/>
  <c r="AC101" i="22"/>
  <c r="AE49" i="22"/>
  <c r="AD49" i="22"/>
  <c r="D100" i="22" s="1"/>
  <c r="AD100" i="22"/>
  <c r="AC49" i="22"/>
  <c r="C100" i="22"/>
  <c r="AC100" i="22" s="1"/>
  <c r="AE48" i="22"/>
  <c r="AD48" i="22"/>
  <c r="D99" i="22"/>
  <c r="AD99" i="22" s="1"/>
  <c r="AC48" i="22"/>
  <c r="C99" i="22" s="1"/>
  <c r="AC99" i="22" s="1"/>
  <c r="AE47" i="22"/>
  <c r="AD47" i="22"/>
  <c r="D98" i="22" s="1"/>
  <c r="AD98" i="22"/>
  <c r="AC47" i="22"/>
  <c r="C98" i="22"/>
  <c r="AC98" i="22" s="1"/>
  <c r="AE46" i="22"/>
  <c r="AD46" i="22"/>
  <c r="D97" i="22" s="1"/>
  <c r="AD97" i="22" s="1"/>
  <c r="AC46" i="22"/>
  <c r="C97" i="22" s="1"/>
  <c r="AC97" i="22" s="1"/>
  <c r="AE45" i="22"/>
  <c r="AD45" i="22"/>
  <c r="D96" i="22" s="1"/>
  <c r="AD96" i="22" s="1"/>
  <c r="AC45" i="22"/>
  <c r="C96" i="22"/>
  <c r="AC96" i="22" s="1"/>
  <c r="AE44" i="22"/>
  <c r="AD44" i="22"/>
  <c r="D95" i="22"/>
  <c r="AD95" i="22" s="1"/>
  <c r="AC44" i="22"/>
  <c r="C95" i="22" s="1"/>
  <c r="AC95" i="22"/>
  <c r="AE43" i="22"/>
  <c r="AD43" i="22"/>
  <c r="D94" i="22" s="1"/>
  <c r="AD94" i="22" s="1"/>
  <c r="AC43" i="22"/>
  <c r="AE42" i="22"/>
  <c r="AD42" i="22"/>
  <c r="D93" i="22" s="1"/>
  <c r="AC42" i="22"/>
  <c r="C93" i="22" s="1"/>
  <c r="AC93" i="22"/>
  <c r="AE41" i="22"/>
  <c r="AD41" i="22"/>
  <c r="D92" i="22" s="1"/>
  <c r="AD92" i="22" s="1"/>
  <c r="AC41" i="22"/>
  <c r="C92" i="22"/>
  <c r="AC92" i="22" s="1"/>
  <c r="AE40" i="22"/>
  <c r="AD40" i="22"/>
  <c r="D91" i="22"/>
  <c r="AD91" i="22" s="1"/>
  <c r="AC40" i="22"/>
  <c r="C91" i="22" s="1"/>
  <c r="AC91" i="22" s="1"/>
  <c r="AE39" i="22"/>
  <c r="AD39" i="22"/>
  <c r="D90" i="22" s="1"/>
  <c r="AD90" i="22"/>
  <c r="AC39" i="22"/>
  <c r="C90" i="22"/>
  <c r="AC90" i="22" s="1"/>
  <c r="AE38" i="22"/>
  <c r="AD38" i="22"/>
  <c r="D89" i="22" s="1"/>
  <c r="AC38" i="22"/>
  <c r="C89" i="22" s="1"/>
  <c r="AC89" i="22"/>
  <c r="AE37" i="22"/>
  <c r="AD37" i="22"/>
  <c r="D88" i="22" s="1"/>
  <c r="AD88" i="22" s="1"/>
  <c r="AC37" i="22"/>
  <c r="C88" i="22"/>
  <c r="AC88" i="22" s="1"/>
  <c r="AE36" i="22"/>
  <c r="AD36" i="22"/>
  <c r="D87" i="22"/>
  <c r="AD87" i="22" s="1"/>
  <c r="AC36" i="22"/>
  <c r="C87" i="22" s="1"/>
  <c r="AC87" i="22" s="1"/>
  <c r="AE35" i="22"/>
  <c r="AD35" i="22"/>
  <c r="AC35" i="22"/>
  <c r="AE34" i="22"/>
  <c r="AD34" i="22"/>
  <c r="D85" i="22" s="1"/>
  <c r="AD85" i="22" s="1"/>
  <c r="AC34" i="22"/>
  <c r="C85" i="22" s="1"/>
  <c r="AC85" i="22"/>
  <c r="AE33" i="22"/>
  <c r="AD33" i="22"/>
  <c r="D84" i="22" s="1"/>
  <c r="AD84" i="22" s="1"/>
  <c r="AC33" i="22"/>
  <c r="C84" i="22"/>
  <c r="AC84" i="22" s="1"/>
  <c r="AE32" i="22"/>
  <c r="AD32" i="22"/>
  <c r="D83" i="22"/>
  <c r="AD83" i="22" s="1"/>
  <c r="AC32" i="22"/>
  <c r="C83" i="22" s="1"/>
  <c r="AC83" i="22" s="1"/>
  <c r="AE31" i="22"/>
  <c r="AD31" i="22"/>
  <c r="D82" i="22" s="1"/>
  <c r="AD82" i="22"/>
  <c r="AC31" i="22"/>
  <c r="C82" i="22"/>
  <c r="AC82" i="22" s="1"/>
  <c r="AE30" i="22"/>
  <c r="AD30" i="22"/>
  <c r="D81" i="22" s="1"/>
  <c r="AD81" i="22" s="1"/>
  <c r="AC30" i="22"/>
  <c r="C81" i="22" s="1"/>
  <c r="AC81" i="22"/>
  <c r="AE29" i="22"/>
  <c r="AD29" i="22"/>
  <c r="D80" i="22" s="1"/>
  <c r="AD80" i="22"/>
  <c r="AC29" i="22"/>
  <c r="C80" i="22"/>
  <c r="AC80" i="22" s="1"/>
  <c r="AE28" i="22"/>
  <c r="AB18" i="22"/>
  <c r="AA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AC19" i="22"/>
  <c r="F18" i="22"/>
  <c r="E18" i="22"/>
  <c r="D18" i="22"/>
  <c r="C18" i="22"/>
  <c r="C20" i="22" s="1"/>
  <c r="AC17" i="22"/>
  <c r="D17" i="22"/>
  <c r="AD17" i="22" s="1"/>
  <c r="AD16" i="22"/>
  <c r="AC16" i="22"/>
  <c r="AC18" i="22" s="1"/>
  <c r="AB21" i="22" s="1"/>
  <c r="D16" i="22"/>
  <c r="AD15" i="22"/>
  <c r="AC15" i="22"/>
  <c r="AD14" i="22"/>
  <c r="AC14" i="22"/>
  <c r="AD13" i="22"/>
  <c r="AC13" i="22"/>
  <c r="Z12" i="22"/>
  <c r="AD12" i="22" s="1"/>
  <c r="Y12" i="22"/>
  <c r="Y18" i="22" s="1"/>
  <c r="AC12" i="22"/>
  <c r="AD11" i="22"/>
  <c r="D28" i="22"/>
  <c r="D62" i="22" s="1"/>
  <c r="AC11" i="22"/>
  <c r="D1648" i="8"/>
  <c r="D1647" i="8"/>
  <c r="D1646" i="8"/>
  <c r="D1645" i="8"/>
  <c r="D1644" i="8"/>
  <c r="D1643" i="8"/>
  <c r="D1642" i="8"/>
  <c r="D1641" i="8"/>
  <c r="D1640" i="8"/>
  <c r="D1639" i="8"/>
  <c r="D1638" i="8"/>
  <c r="D1637" i="8"/>
  <c r="D1636" i="8"/>
  <c r="D1635" i="8"/>
  <c r="D1634" i="8"/>
  <c r="D1633" i="8"/>
  <c r="D1632" i="8"/>
  <c r="D1631" i="8"/>
  <c r="D1630" i="8"/>
  <c r="D1629" i="8"/>
  <c r="D1628" i="8"/>
  <c r="D1625" i="8"/>
  <c r="D1624" i="8"/>
  <c r="D1623" i="8"/>
  <c r="D1621" i="8"/>
  <c r="D1620" i="8"/>
  <c r="D1619" i="8"/>
  <c r="D1618" i="8"/>
  <c r="D1617" i="8"/>
  <c r="D1616" i="8"/>
  <c r="D1615" i="8"/>
  <c r="D1614" i="8"/>
  <c r="D1613" i="8"/>
  <c r="D1611" i="8"/>
  <c r="D1610" i="8"/>
  <c r="D1609" i="8"/>
  <c r="D1608" i="8"/>
  <c r="D1607" i="8"/>
  <c r="D1606" i="8"/>
  <c r="D1605" i="8"/>
  <c r="D1603" i="8"/>
  <c r="D1602" i="8"/>
  <c r="D1601" i="8"/>
  <c r="I347" i="16"/>
  <c r="J347" i="16"/>
  <c r="O7" i="10"/>
  <c r="R14" i="10"/>
  <c r="L9" i="10"/>
  <c r="E164" i="18"/>
  <c r="E162" i="18"/>
  <c r="E159" i="18"/>
  <c r="E153" i="18"/>
  <c r="E151" i="18"/>
  <c r="E150" i="18"/>
  <c r="E149" i="18"/>
  <c r="E146" i="18"/>
  <c r="E145" i="18"/>
  <c r="E137" i="18"/>
  <c r="E133" i="18"/>
  <c r="E131" i="18"/>
  <c r="E129" i="18"/>
  <c r="E116" i="18"/>
  <c r="E115" i="18"/>
  <c r="E114" i="18"/>
  <c r="E113" i="18"/>
  <c r="E110" i="18"/>
  <c r="E106" i="18"/>
  <c r="E104" i="18"/>
  <c r="E100" i="18"/>
  <c r="E99" i="18"/>
  <c r="E91" i="18"/>
  <c r="E89" i="18"/>
  <c r="E87" i="18"/>
  <c r="E86" i="18"/>
  <c r="E85" i="18"/>
  <c r="E83" i="18"/>
  <c r="E82" i="18"/>
  <c r="E81" i="18"/>
  <c r="E78" i="18"/>
  <c r="E77" i="18"/>
  <c r="E74" i="18"/>
  <c r="E71" i="18"/>
  <c r="E67" i="18"/>
  <c r="E66" i="18"/>
  <c r="E62" i="18"/>
  <c r="E59" i="18"/>
  <c r="E58" i="18"/>
  <c r="E57" i="18"/>
  <c r="E55" i="18"/>
  <c r="E53" i="18"/>
  <c r="E51" i="18"/>
  <c r="E50" i="18"/>
  <c r="E47" i="18"/>
  <c r="E44" i="18"/>
  <c r="E43" i="18"/>
  <c r="E42" i="18"/>
  <c r="E38" i="18"/>
  <c r="E36" i="18"/>
  <c r="E34" i="18"/>
  <c r="E33" i="18"/>
  <c r="E30" i="18"/>
  <c r="E29" i="18"/>
  <c r="E28" i="18"/>
  <c r="E26" i="18"/>
  <c r="E25" i="18"/>
  <c r="E23" i="18"/>
  <c r="E22" i="18"/>
  <c r="E21" i="18"/>
  <c r="E19" i="18"/>
  <c r="E18" i="18"/>
  <c r="E17" i="18"/>
  <c r="E14" i="18"/>
  <c r="E13" i="18"/>
  <c r="E10" i="18"/>
  <c r="C48" i="9"/>
  <c r="H13" i="12"/>
  <c r="H18" i="12"/>
  <c r="B25" i="12"/>
  <c r="C25" i="12"/>
  <c r="D25" i="12"/>
  <c r="E25" i="12"/>
  <c r="F25" i="12"/>
  <c r="C30" i="12"/>
  <c r="C31" i="12"/>
  <c r="C32" i="12"/>
  <c r="C33" i="12"/>
  <c r="C34" i="12"/>
  <c r="C35" i="12"/>
  <c r="C36" i="12"/>
  <c r="C37" i="12"/>
  <c r="C38" i="12"/>
  <c r="B39" i="12"/>
  <c r="C45" i="9"/>
  <c r="C46" i="9"/>
  <c r="E16" i="18"/>
  <c r="E24" i="18"/>
  <c r="E56" i="18"/>
  <c r="E64" i="18"/>
  <c r="E68" i="18"/>
  <c r="E130" i="18"/>
  <c r="E134" i="18"/>
  <c r="E161" i="18"/>
  <c r="E2" i="18"/>
  <c r="E6" i="18"/>
  <c r="E80" i="18"/>
  <c r="E88" i="18"/>
  <c r="E111" i="18"/>
  <c r="E127" i="18"/>
  <c r="E166" i="18"/>
  <c r="E120" i="18"/>
  <c r="E155" i="18"/>
  <c r="E3" i="18"/>
  <c r="E7" i="18"/>
  <c r="E70" i="18"/>
  <c r="E143" i="18"/>
  <c r="E163" i="18"/>
  <c r="E63" i="18"/>
  <c r="E97" i="18"/>
  <c r="E101" i="18"/>
  <c r="E121" i="18"/>
  <c r="E125" i="18"/>
  <c r="E140" i="18"/>
  <c r="E144" i="18"/>
  <c r="E148" i="18"/>
  <c r="E156" i="18"/>
  <c r="E90" i="18"/>
  <c r="E105" i="18"/>
  <c r="E8" i="18"/>
  <c r="E118" i="18"/>
  <c r="E157" i="18"/>
  <c r="E5" i="18"/>
  <c r="E9" i="18"/>
  <c r="E20" i="18"/>
  <c r="E35" i="18"/>
  <c r="E39" i="18"/>
  <c r="E54" i="18"/>
  <c r="E69" i="18"/>
  <c r="E73" i="18"/>
  <c r="E84" i="18"/>
  <c r="E98" i="18"/>
  <c r="E102" i="18"/>
  <c r="E117" i="18"/>
  <c r="E132" i="18"/>
  <c r="E136" i="18"/>
  <c r="E147" i="18"/>
  <c r="E154" i="18"/>
  <c r="E158" i="18"/>
  <c r="E165" i="18"/>
  <c r="E40" i="18"/>
  <c r="E92" i="18"/>
  <c r="E96" i="18"/>
  <c r="E103" i="18"/>
  <c r="E107" i="18"/>
  <c r="E122" i="18"/>
  <c r="E126" i="18"/>
  <c r="E141" i="18"/>
  <c r="E152" i="18"/>
  <c r="E95" i="18"/>
  <c r="E37" i="18"/>
  <c r="E41" i="18"/>
  <c r="E48" i="18"/>
  <c r="E52" i="18"/>
  <c r="E167" i="18"/>
  <c r="E32" i="18"/>
  <c r="E11" i="18"/>
  <c r="E15" i="18"/>
  <c r="E45" i="18"/>
  <c r="E49" i="18"/>
  <c r="E60" i="18"/>
  <c r="E75" i="18"/>
  <c r="E79" i="18"/>
  <c r="E93" i="18"/>
  <c r="E108" i="18"/>
  <c r="E112" i="18"/>
  <c r="E119" i="18"/>
  <c r="E123" i="18"/>
  <c r="E138" i="18"/>
  <c r="E142" i="18"/>
  <c r="E160" i="18"/>
  <c r="E4" i="18"/>
  <c r="E168" i="18"/>
  <c r="E12" i="18"/>
  <c r="E27" i="18"/>
  <c r="E31" i="18"/>
  <c r="E46" i="18"/>
  <c r="E61" i="18"/>
  <c r="E65" i="18"/>
  <c r="E72" i="18"/>
  <c r="E76" i="18"/>
  <c r="E94" i="18"/>
  <c r="E109" i="18"/>
  <c r="E124" i="18"/>
  <c r="E128" i="18"/>
  <c r="E135" i="18"/>
  <c r="E139" i="18"/>
  <c r="C169" i="18"/>
  <c r="AD28" i="22"/>
  <c r="D79" i="22" s="1"/>
  <c r="D165" i="22" s="1"/>
  <c r="U165" i="22"/>
  <c r="AD233" i="22"/>
  <c r="AE111" i="22"/>
  <c r="AC123" i="22"/>
  <c r="AE233" i="22"/>
  <c r="C28" i="22"/>
  <c r="AE123" i="22"/>
  <c r="AF451" i="22"/>
  <c r="AC28" i="22"/>
  <c r="C62" i="22"/>
  <c r="E15" i="23"/>
  <c r="F25" i="23" s="1"/>
  <c r="H12" i="23"/>
  <c r="I15" i="23"/>
  <c r="F26" i="23"/>
  <c r="F27" i="23"/>
  <c r="H25" i="12"/>
  <c r="F40" i="10"/>
  <c r="G40" i="10" s="1"/>
  <c r="F39" i="10"/>
  <c r="E39" i="10"/>
  <c r="F38" i="10"/>
  <c r="F15" i="10"/>
  <c r="E38" i="10"/>
  <c r="E13" i="10"/>
  <c r="E15" i="10"/>
  <c r="G15" i="10" s="1"/>
  <c r="J15" i="10" s="1"/>
  <c r="F10" i="10"/>
  <c r="E10" i="10"/>
  <c r="G10" i="10" s="1"/>
  <c r="E25" i="10"/>
  <c r="F25" i="10"/>
  <c r="E8" i="10"/>
  <c r="J1591" i="8"/>
  <c r="I1654" i="8"/>
  <c r="I1656" i="8" s="1"/>
  <c r="F9" i="10"/>
  <c r="F36" i="10"/>
  <c r="E36" i="10"/>
  <c r="E22" i="10"/>
  <c r="H1651" i="8"/>
  <c r="H1653" i="8"/>
  <c r="G16" i="10"/>
  <c r="E26" i="9"/>
  <c r="G30" i="10"/>
  <c r="G14" i="10"/>
  <c r="G17" i="10"/>
  <c r="G24" i="10"/>
  <c r="J15" i="9" s="1"/>
  <c r="G49" i="10"/>
  <c r="G11" i="10"/>
  <c r="G47" i="10"/>
  <c r="E71" i="9" s="1"/>
  <c r="G43" i="10"/>
  <c r="G45" i="10"/>
  <c r="K45" i="10" s="1"/>
  <c r="G44" i="10"/>
  <c r="G26" i="10"/>
  <c r="J16" i="9" s="1"/>
  <c r="G52" i="10"/>
  <c r="K52" i="10" s="1"/>
  <c r="G31" i="10"/>
  <c r="G54" i="10"/>
  <c r="E77" i="9" s="1"/>
  <c r="G12" i="10"/>
  <c r="E17" i="9" s="1"/>
  <c r="G50" i="10"/>
  <c r="G25" i="10"/>
  <c r="J17" i="9"/>
  <c r="J26" i="9"/>
  <c r="K48" i="10"/>
  <c r="G39" i="10"/>
  <c r="G36" i="10"/>
  <c r="G13" i="10"/>
  <c r="G22" i="10"/>
  <c r="G51" i="10"/>
  <c r="G23" i="10"/>
  <c r="J14" i="9" s="1"/>
  <c r="G37" i="10"/>
  <c r="E18" i="9"/>
  <c r="E56" i="9"/>
  <c r="I80" i="9" s="1"/>
  <c r="E14" i="9"/>
  <c r="G32" i="10"/>
  <c r="J28" i="9" s="1"/>
  <c r="G42" i="10"/>
  <c r="K43" i="10"/>
  <c r="G21" i="10"/>
  <c r="E72" i="9"/>
  <c r="G18" i="10"/>
  <c r="L31" i="10" s="1"/>
  <c r="E76" i="9"/>
  <c r="E15" i="9"/>
  <c r="E67" i="9"/>
  <c r="K47" i="10"/>
  <c r="R16" i="10"/>
  <c r="E60" i="9"/>
  <c r="J80" i="9"/>
  <c r="L7" i="10"/>
  <c r="L10" i="10" s="1"/>
  <c r="L11" i="10" s="1"/>
  <c r="J12" i="10"/>
  <c r="K44" i="10"/>
  <c r="I14" i="10"/>
  <c r="K14" i="10" s="1"/>
  <c r="M14" i="10" s="1"/>
  <c r="E20" i="9"/>
  <c r="L32" i="10"/>
  <c r="E169" i="18"/>
  <c r="C170" i="18"/>
  <c r="C171" i="18" s="1"/>
  <c r="I349" i="16"/>
  <c r="E170" i="18"/>
  <c r="K204" i="16"/>
  <c r="E346" i="16"/>
  <c r="G316" i="16" s="1"/>
  <c r="K65" i="16"/>
  <c r="K45" i="16"/>
  <c r="K120" i="16"/>
  <c r="K292" i="16"/>
  <c r="K278" i="16"/>
  <c r="K261" i="16"/>
  <c r="J348" i="16"/>
  <c r="J350" i="16"/>
  <c r="K230" i="16"/>
  <c r="K157" i="16"/>
  <c r="K299" i="16"/>
  <c r="K26" i="16"/>
  <c r="K154" i="16"/>
  <c r="K93" i="16"/>
  <c r="K108" i="16"/>
  <c r="K25" i="16"/>
  <c r="K7" i="16"/>
  <c r="K112" i="16"/>
  <c r="K80" i="16"/>
  <c r="K156" i="16"/>
  <c r="K190" i="16"/>
  <c r="K4" i="16"/>
  <c r="K287" i="16"/>
  <c r="K153" i="16"/>
  <c r="K10" i="16"/>
  <c r="G275" i="16"/>
  <c r="G246" i="16"/>
  <c r="K85" i="16"/>
  <c r="K148" i="16"/>
  <c r="K118" i="16"/>
  <c r="K252" i="16"/>
  <c r="K18" i="16"/>
  <c r="K100" i="16"/>
  <c r="K219" i="16"/>
  <c r="K263" i="16"/>
  <c r="K288" i="16"/>
  <c r="K89" i="16"/>
  <c r="K298" i="16"/>
  <c r="K19" i="16"/>
  <c r="K337" i="16"/>
  <c r="K31" i="16"/>
  <c r="K33" i="16"/>
  <c r="K291" i="16"/>
  <c r="K79" i="16"/>
  <c r="K232" i="16"/>
  <c r="K8" i="16"/>
  <c r="K319" i="16"/>
  <c r="K213" i="16"/>
  <c r="K155" i="16"/>
  <c r="K203" i="16"/>
  <c r="K251" i="16"/>
  <c r="K188" i="16"/>
  <c r="K297" i="16"/>
  <c r="K272" i="16"/>
  <c r="K279" i="16"/>
  <c r="K284" i="16"/>
  <c r="K46" i="16"/>
  <c r="K315" i="16"/>
  <c r="K62" i="16"/>
  <c r="K283" i="16"/>
  <c r="K184" i="16"/>
  <c r="K39" i="16"/>
  <c r="K341" i="16"/>
  <c r="K144" i="16"/>
  <c r="K137" i="16"/>
  <c r="K216" i="16"/>
  <c r="K30" i="16"/>
  <c r="K249" i="16"/>
  <c r="K238" i="16"/>
  <c r="K282" i="16"/>
  <c r="K54" i="16"/>
  <c r="K182" i="16"/>
  <c r="K196" i="16"/>
  <c r="K343" i="16"/>
  <c r="K171" i="16"/>
  <c r="K303" i="16"/>
  <c r="K177" i="16"/>
  <c r="K174" i="16"/>
  <c r="K84" i="16"/>
  <c r="K235" i="16"/>
  <c r="K326" i="16"/>
  <c r="K32" i="16"/>
  <c r="K135" i="16"/>
  <c r="K114" i="16"/>
  <c r="K152" i="16"/>
  <c r="K274" i="16"/>
  <c r="K110" i="16"/>
  <c r="K136" i="16"/>
  <c r="K17" i="16"/>
  <c r="K43" i="16"/>
  <c r="K215" i="16"/>
  <c r="K237" i="16"/>
  <c r="K280" i="16"/>
  <c r="K308" i="16"/>
  <c r="K73" i="16"/>
  <c r="K321" i="16"/>
  <c r="K59" i="16"/>
  <c r="K14" i="16"/>
  <c r="K244" i="16"/>
  <c r="K168" i="16"/>
  <c r="K69" i="16"/>
  <c r="K35" i="16"/>
  <c r="K63" i="16"/>
  <c r="K138" i="16"/>
  <c r="K301" i="16"/>
  <c r="K260" i="16"/>
  <c r="K229" i="16"/>
  <c r="K236" i="16"/>
  <c r="K143" i="16"/>
  <c r="K200" i="16"/>
  <c r="K131" i="16"/>
  <c r="K199" i="16"/>
  <c r="K310" i="16"/>
  <c r="K296" i="16"/>
  <c r="K198" i="16"/>
  <c r="K294" i="16"/>
  <c r="K55" i="16"/>
  <c r="K289" i="16"/>
  <c r="K29" i="16"/>
  <c r="K103" i="16"/>
  <c r="K109" i="16"/>
  <c r="K212" i="16"/>
  <c r="K24" i="16"/>
  <c r="K259" i="16"/>
  <c r="K316" i="16"/>
  <c r="K92" i="16"/>
  <c r="K268" i="16"/>
  <c r="K105" i="16"/>
  <c r="K253" i="16"/>
  <c r="K139" i="16"/>
  <c r="K313" i="16"/>
  <c r="K68" i="16"/>
  <c r="K169" i="16"/>
  <c r="K42" i="16"/>
  <c r="K70" i="16"/>
  <c r="K255" i="16"/>
  <c r="K141" i="16"/>
  <c r="K234" i="16"/>
  <c r="K304" i="16"/>
  <c r="K220" i="16"/>
  <c r="K170" i="16"/>
  <c r="K247" i="16"/>
  <c r="K37" i="16"/>
  <c r="K74" i="16"/>
  <c r="K256" i="16"/>
  <c r="K164" i="16"/>
  <c r="K186" i="16"/>
  <c r="K149" i="16"/>
  <c r="K286" i="16"/>
  <c r="K276" i="16"/>
  <c r="K309" i="16"/>
  <c r="K239" i="16"/>
  <c r="K290" i="16"/>
  <c r="K183" i="16"/>
  <c r="K307" i="16"/>
  <c r="K88" i="16"/>
  <c r="K130" i="16"/>
  <c r="K323" i="16"/>
  <c r="K123" i="16"/>
  <c r="K159" i="16"/>
  <c r="K106" i="16"/>
  <c r="K338" i="16"/>
  <c r="K206" i="16"/>
  <c r="K314" i="16"/>
  <c r="K119" i="16"/>
  <c r="K178" i="16"/>
  <c r="K281" i="16"/>
  <c r="K27" i="16"/>
  <c r="K254" i="16"/>
  <c r="K344" i="16"/>
  <c r="K5" i="16"/>
  <c r="K6" i="16"/>
  <c r="K166" i="16"/>
  <c r="K23" i="16"/>
  <c r="K179" i="16"/>
  <c r="K245" i="16"/>
  <c r="K201" i="16"/>
  <c r="K332" i="16"/>
  <c r="K58" i="16"/>
  <c r="K226" i="16"/>
  <c r="K172" i="16"/>
  <c r="K231" i="16"/>
  <c r="K181" i="16"/>
  <c r="K217" i="16"/>
  <c r="K300" i="16"/>
  <c r="K67" i="16"/>
  <c r="K233" i="16"/>
  <c r="K44" i="16"/>
  <c r="K214" i="16"/>
  <c r="K336" i="16"/>
  <c r="K158" i="16"/>
  <c r="K47" i="16"/>
  <c r="K193" i="16"/>
  <c r="K133" i="16"/>
  <c r="K267" i="16"/>
  <c r="K165" i="16"/>
  <c r="K117" i="16"/>
  <c r="K322" i="16"/>
  <c r="K160" i="16"/>
  <c r="K227" i="16"/>
  <c r="K224" i="16"/>
  <c r="K78" i="16"/>
  <c r="K9" i="16"/>
  <c r="K125" i="16"/>
  <c r="K191" i="16"/>
  <c r="K146" i="16"/>
  <c r="K264" i="16"/>
  <c r="K325" i="16"/>
  <c r="K225" i="16"/>
  <c r="K275" i="16"/>
  <c r="K116" i="16"/>
  <c r="K48" i="16"/>
  <c r="K312" i="16"/>
  <c r="K128" i="16"/>
  <c r="K209" i="16"/>
  <c r="K142" i="16"/>
  <c r="K335" i="16"/>
  <c r="K328" i="16"/>
  <c r="K57" i="16"/>
  <c r="K257" i="16"/>
  <c r="K61" i="16"/>
  <c r="K187" i="16"/>
  <c r="K330" i="16"/>
  <c r="K75" i="16"/>
  <c r="K192" i="16"/>
  <c r="K28" i="16"/>
  <c r="K228" i="16"/>
  <c r="K140" i="16"/>
  <c r="I348" i="16"/>
  <c r="I350" i="16"/>
  <c r="K318" i="16"/>
  <c r="K81" i="16"/>
  <c r="K246" i="16"/>
  <c r="K189" i="16"/>
  <c r="K180" i="16"/>
  <c r="K94" i="16"/>
  <c r="K150" i="16"/>
  <c r="K11" i="16"/>
  <c r="K15" i="16"/>
  <c r="K266" i="16"/>
  <c r="K36" i="16"/>
  <c r="K72" i="16"/>
  <c r="K66" i="16"/>
  <c r="K98" i="16"/>
  <c r="K340" i="16"/>
  <c r="K208" i="16"/>
  <c r="K302" i="16"/>
  <c r="K211" i="16"/>
  <c r="K126" i="16"/>
  <c r="K83" i="16"/>
  <c r="K202" i="16"/>
  <c r="K60" i="16"/>
  <c r="K95" i="16"/>
  <c r="K270" i="16"/>
  <c r="K38" i="16"/>
  <c r="K145" i="16"/>
  <c r="K197" i="16"/>
  <c r="K334" i="16"/>
  <c r="K76" i="16"/>
  <c r="K273" i="16"/>
  <c r="K222" i="16"/>
  <c r="K121" i="16"/>
  <c r="K167" i="16"/>
  <c r="K240" i="16"/>
  <c r="K242" i="16"/>
  <c r="K185" i="16"/>
  <c r="K342" i="16"/>
  <c r="K91" i="16"/>
  <c r="K96" i="16"/>
  <c r="K71" i="16"/>
  <c r="K16" i="16"/>
  <c r="K56" i="16"/>
  <c r="K107" i="16"/>
  <c r="K311" i="16"/>
  <c r="K194" i="16"/>
  <c r="K12" i="16"/>
  <c r="K285" i="16"/>
  <c r="K210" i="16"/>
  <c r="K329" i="16"/>
  <c r="K207" i="16"/>
  <c r="K262" i="16"/>
  <c r="K223" i="16"/>
  <c r="K176" i="16"/>
  <c r="K195" i="16"/>
  <c r="K324" i="16"/>
  <c r="K129" i="16"/>
  <c r="K147" i="16"/>
  <c r="K161" i="16"/>
  <c r="K101" i="16"/>
  <c r="K97" i="16"/>
  <c r="K277" i="16"/>
  <c r="K205" i="16"/>
  <c r="K86" i="16"/>
  <c r="K163" i="16"/>
  <c r="K111" i="16"/>
  <c r="K293" i="16"/>
  <c r="K218" i="16"/>
  <c r="K248" i="16"/>
  <c r="K327" i="16"/>
  <c r="K40" i="16"/>
  <c r="K241" i="16"/>
  <c r="K82" i="16"/>
  <c r="K221" i="16"/>
  <c r="K64" i="16"/>
  <c r="K51" i="16"/>
  <c r="G339" i="16"/>
  <c r="K49" i="16"/>
  <c r="K271" i="16"/>
  <c r="K162" i="16"/>
  <c r="K151" i="16"/>
  <c r="K41" i="16"/>
  <c r="K331" i="16"/>
  <c r="G19" i="16"/>
  <c r="G305" i="16"/>
  <c r="K124" i="16"/>
  <c r="K87" i="16"/>
  <c r="K243" i="16"/>
  <c r="K34" i="16"/>
  <c r="K52" i="16"/>
  <c r="K90" i="16"/>
  <c r="K317" i="16"/>
  <c r="K175" i="16"/>
  <c r="G274" i="16"/>
  <c r="G12" i="16"/>
  <c r="G281" i="16"/>
  <c r="G5" i="16"/>
  <c r="G53" i="16"/>
  <c r="G101" i="16"/>
  <c r="G133" i="16"/>
  <c r="G229" i="16"/>
  <c r="G269" i="16"/>
  <c r="G309" i="16"/>
  <c r="G14" i="16"/>
  <c r="G54" i="16"/>
  <c r="G142" i="16"/>
  <c r="G174" i="16"/>
  <c r="G222" i="16"/>
  <c r="G302" i="16"/>
  <c r="G7" i="16"/>
  <c r="G55" i="16"/>
  <c r="G95" i="16"/>
  <c r="G183" i="16"/>
  <c r="G223" i="16"/>
  <c r="G263" i="16"/>
  <c r="G343" i="16"/>
  <c r="G89" i="16"/>
  <c r="G217" i="16"/>
  <c r="G249" i="16"/>
  <c r="G329" i="16"/>
  <c r="G200" i="16"/>
  <c r="G296" i="16"/>
  <c r="G106" i="16"/>
  <c r="G202" i="16"/>
  <c r="G21" i="16"/>
  <c r="G61" i="16"/>
  <c r="G109" i="16"/>
  <c r="G149" i="16"/>
  <c r="G285" i="16"/>
  <c r="G317" i="16"/>
  <c r="G70" i="16"/>
  <c r="G150" i="16"/>
  <c r="G190" i="16"/>
  <c r="G230" i="16"/>
  <c r="G278" i="16"/>
  <c r="G318" i="16"/>
  <c r="G15" i="16"/>
  <c r="G111" i="16"/>
  <c r="G239" i="16"/>
  <c r="G271" i="16"/>
  <c r="G319" i="16"/>
  <c r="G17" i="16"/>
  <c r="G97" i="16"/>
  <c r="G137" i="16"/>
  <c r="G225" i="16"/>
  <c r="G257" i="16"/>
  <c r="G4" i="16"/>
  <c r="G152" i="16"/>
  <c r="G232" i="16"/>
  <c r="G312" i="16"/>
  <c r="G58" i="16"/>
  <c r="G138" i="16"/>
  <c r="G218" i="16"/>
  <c r="G69" i="16"/>
  <c r="G117" i="16"/>
  <c r="G165" i="16"/>
  <c r="G205" i="16"/>
  <c r="G293" i="16"/>
  <c r="G325" i="16"/>
  <c r="G118" i="16"/>
  <c r="G158" i="16"/>
  <c r="G238" i="16"/>
  <c r="G286" i="16"/>
  <c r="G23" i="16"/>
  <c r="G119" i="16"/>
  <c r="G159" i="16"/>
  <c r="G247" i="16"/>
  <c r="G279" i="16"/>
  <c r="G327" i="16"/>
  <c r="G153" i="16"/>
  <c r="G233" i="16"/>
  <c r="G273" i="16"/>
  <c r="G8" i="16"/>
  <c r="G88" i="16"/>
  <c r="G168" i="16"/>
  <c r="G328" i="16"/>
  <c r="G74" i="16"/>
  <c r="G234" i="16"/>
  <c r="G45" i="16"/>
  <c r="G85" i="16"/>
  <c r="G125" i="16"/>
  <c r="G221" i="16"/>
  <c r="G301" i="16"/>
  <c r="G341" i="16"/>
  <c r="G134" i="16"/>
  <c r="G166" i="16"/>
  <c r="G214" i="16"/>
  <c r="G254" i="16"/>
  <c r="G294" i="16"/>
  <c r="G342" i="16"/>
  <c r="G39" i="16"/>
  <c r="G175" i="16"/>
  <c r="G255" i="16"/>
  <c r="G295" i="16"/>
  <c r="G335" i="16"/>
  <c r="G73" i="16"/>
  <c r="G201" i="16"/>
  <c r="G241" i="16"/>
  <c r="G184" i="16"/>
  <c r="G280" i="16"/>
  <c r="G10" i="16"/>
  <c r="G90" i="16"/>
  <c r="G186" i="16"/>
  <c r="G266" i="16"/>
  <c r="G93" i="16"/>
  <c r="G181" i="16"/>
  <c r="G261" i="16"/>
  <c r="G6" i="16"/>
  <c r="G94" i="16"/>
  <c r="G262" i="16"/>
  <c r="G87" i="16"/>
  <c r="G81" i="16"/>
  <c r="G169" i="16"/>
  <c r="G321" i="16"/>
  <c r="G120" i="16"/>
  <c r="G282" i="16"/>
  <c r="G203" i="16"/>
  <c r="G267" i="16"/>
  <c r="G92" i="16"/>
  <c r="G268" i="16"/>
  <c r="G332" i="16"/>
  <c r="G160" i="16"/>
  <c r="G130" i="16"/>
  <c r="G210" i="16"/>
  <c r="G35" i="16"/>
  <c r="G115" i="16"/>
  <c r="G195" i="16"/>
  <c r="G196" i="16"/>
  <c r="G13" i="16"/>
  <c r="G189" i="16"/>
  <c r="G277" i="16"/>
  <c r="G22" i="16"/>
  <c r="G102" i="16"/>
  <c r="G182" i="16"/>
  <c r="G270" i="16"/>
  <c r="G103" i="16"/>
  <c r="G191" i="16"/>
  <c r="G9" i="16"/>
  <c r="G177" i="16"/>
  <c r="G337" i="16"/>
  <c r="G136" i="16"/>
  <c r="G122" i="16"/>
  <c r="G27" i="16"/>
  <c r="G123" i="16"/>
  <c r="G28" i="16"/>
  <c r="G108" i="16"/>
  <c r="G188" i="16"/>
  <c r="G16" i="16"/>
  <c r="G96" i="16"/>
  <c r="G176" i="16"/>
  <c r="G240" i="16"/>
  <c r="G320" i="16"/>
  <c r="G50" i="16"/>
  <c r="G226" i="16"/>
  <c r="G290" i="16"/>
  <c r="G51" i="16"/>
  <c r="G131" i="16"/>
  <c r="G291" i="16"/>
  <c r="G20" i="16"/>
  <c r="G116" i="16"/>
  <c r="G276" i="16"/>
  <c r="G29" i="16"/>
  <c r="G197" i="16"/>
  <c r="G30" i="16"/>
  <c r="G110" i="16"/>
  <c r="G198" i="16"/>
  <c r="G199" i="16"/>
  <c r="G25" i="16"/>
  <c r="G105" i="16"/>
  <c r="G185" i="16"/>
  <c r="G265" i="16"/>
  <c r="G154" i="16"/>
  <c r="G298" i="16"/>
  <c r="G43" i="16"/>
  <c r="G219" i="16"/>
  <c r="G283" i="16"/>
  <c r="G124" i="16"/>
  <c r="G284" i="16"/>
  <c r="G32" i="16"/>
  <c r="G66" i="16"/>
  <c r="G146" i="16"/>
  <c r="G147" i="16"/>
  <c r="G211" i="16"/>
  <c r="G36" i="16"/>
  <c r="G212" i="16"/>
  <c r="G292" i="16"/>
  <c r="G46" i="16"/>
  <c r="G47" i="16"/>
  <c r="G135" i="16"/>
  <c r="G215" i="16"/>
  <c r="G303" i="16"/>
  <c r="G41" i="16"/>
  <c r="G121" i="16"/>
  <c r="G209" i="16"/>
  <c r="G289" i="16"/>
  <c r="G40" i="16"/>
  <c r="G26" i="16"/>
  <c r="G75" i="16"/>
  <c r="G235" i="16"/>
  <c r="G315" i="16"/>
  <c r="G140" i="16"/>
  <c r="G220" i="16"/>
  <c r="G300" i="16"/>
  <c r="G272" i="16"/>
  <c r="G98" i="16"/>
  <c r="G162" i="16"/>
  <c r="G322" i="16"/>
  <c r="G163" i="16"/>
  <c r="G227" i="16"/>
  <c r="G68" i="16"/>
  <c r="G324" i="16"/>
  <c r="G141" i="16"/>
  <c r="G237" i="16"/>
  <c r="G62" i="16"/>
  <c r="G310" i="16"/>
  <c r="G63" i="16"/>
  <c r="G143" i="16"/>
  <c r="G231" i="16"/>
  <c r="G311" i="16"/>
  <c r="G49" i="16"/>
  <c r="G129" i="16"/>
  <c r="G297" i="16"/>
  <c r="G56" i="16"/>
  <c r="G216" i="16"/>
  <c r="G42" i="16"/>
  <c r="G330" i="16"/>
  <c r="G155" i="16"/>
  <c r="G331" i="16"/>
  <c r="G60" i="16"/>
  <c r="G156" i="16"/>
  <c r="G236" i="16"/>
  <c r="G64" i="16"/>
  <c r="G128" i="16"/>
  <c r="G208" i="16"/>
  <c r="G288" i="16"/>
  <c r="G18" i="16"/>
  <c r="G258" i="16"/>
  <c r="G338" i="16"/>
  <c r="G83" i="16"/>
  <c r="G243" i="16"/>
  <c r="G323" i="16"/>
  <c r="G148" i="16"/>
  <c r="G244" i="16"/>
  <c r="G245" i="16"/>
  <c r="G126" i="16"/>
  <c r="G334" i="16"/>
  <c r="G113" i="16"/>
  <c r="G313" i="16"/>
  <c r="G59" i="16"/>
  <c r="G48" i="16"/>
  <c r="G224" i="16"/>
  <c r="G114" i="16"/>
  <c r="G306" i="16"/>
  <c r="G84" i="16"/>
  <c r="G308" i="16"/>
  <c r="G71" i="16"/>
  <c r="G287" i="16"/>
  <c r="G161" i="16"/>
  <c r="G72" i="16"/>
  <c r="G170" i="16"/>
  <c r="G107" i="16"/>
  <c r="G204" i="16"/>
  <c r="G80" i="16"/>
  <c r="G259" i="16"/>
  <c r="G132" i="16"/>
  <c r="G333" i="16"/>
  <c r="G127" i="16"/>
  <c r="G250" i="16"/>
  <c r="G171" i="16"/>
  <c r="G44" i="16"/>
  <c r="G336" i="16"/>
  <c r="G194" i="16"/>
  <c r="G307" i="16"/>
  <c r="G180" i="16"/>
  <c r="G38" i="16"/>
  <c r="G31" i="16"/>
  <c r="G57" i="16"/>
  <c r="G104" i="16"/>
  <c r="G11" i="16"/>
  <c r="G34" i="16"/>
  <c r="G67" i="16"/>
  <c r="G52" i="16"/>
  <c r="G37" i="16"/>
  <c r="G78" i="16"/>
  <c r="G79" i="16"/>
  <c r="G65" i="16"/>
  <c r="G248" i="16"/>
  <c r="G91" i="16"/>
  <c r="G76" i="16"/>
  <c r="G112" i="16"/>
  <c r="G82" i="16"/>
  <c r="G99" i="16"/>
  <c r="G100" i="16"/>
  <c r="G77" i="16"/>
  <c r="G86" i="16"/>
  <c r="G151" i="16"/>
  <c r="G145" i="16"/>
  <c r="G264" i="16"/>
  <c r="G139" i="16"/>
  <c r="G144" i="16"/>
  <c r="G164" i="16"/>
  <c r="G157" i="16"/>
  <c r="G167" i="16"/>
  <c r="G193" i="16"/>
  <c r="G344" i="16"/>
  <c r="G187" i="16"/>
  <c r="G172" i="16"/>
  <c r="G192" i="16"/>
  <c r="G178" i="16"/>
  <c r="G179" i="16"/>
  <c r="G228" i="16"/>
  <c r="G173" i="16"/>
  <c r="G206" i="16"/>
  <c r="G207" i="16"/>
  <c r="G252" i="16"/>
  <c r="G242" i="16"/>
  <c r="K53" i="16"/>
  <c r="K99" i="16"/>
  <c r="K50" i="16"/>
  <c r="K122" i="16"/>
  <c r="G256" i="16"/>
  <c r="G314" i="16"/>
  <c r="K333" i="16"/>
  <c r="K20" i="16"/>
  <c r="K258" i="16"/>
  <c r="K127" i="16"/>
  <c r="K22" i="16"/>
  <c r="K306" i="16"/>
  <c r="K21" i="16"/>
  <c r="K339" i="16"/>
  <c r="K134" i="16"/>
  <c r="G299" i="16"/>
  <c r="G33" i="16"/>
  <c r="G213" i="16"/>
  <c r="K269" i="16"/>
  <c r="K173" i="16"/>
  <c r="K250" i="16"/>
  <c r="K104" i="16"/>
  <c r="G326" i="16"/>
  <c r="K132" i="16"/>
  <c r="K113" i="16"/>
  <c r="K77" i="16"/>
  <c r="K13" i="16"/>
  <c r="K295" i="16"/>
  <c r="K305" i="16"/>
  <c r="K115" i="16"/>
  <c r="K320" i="16"/>
  <c r="K102" i="16"/>
  <c r="G340" i="16"/>
  <c r="G251" i="16"/>
  <c r="K345" i="16"/>
  <c r="E171" i="18" l="1"/>
  <c r="L34" i="10"/>
  <c r="C172" i="18"/>
  <c r="E172" i="18" s="1"/>
  <c r="G58" i="10"/>
  <c r="AD79" i="22"/>
  <c r="AD111" i="22"/>
  <c r="F165" i="22"/>
  <c r="O8" i="10"/>
  <c r="E27" i="9"/>
  <c r="E28" i="9" s="1"/>
  <c r="V165" i="22"/>
  <c r="AD117" i="22"/>
  <c r="L21" i="10"/>
  <c r="L23" i="10" s="1"/>
  <c r="L24" i="10" s="1"/>
  <c r="E69" i="9"/>
  <c r="L33" i="10"/>
  <c r="I31" i="10"/>
  <c r="J27" i="9"/>
  <c r="G38" i="10"/>
  <c r="AC62" i="22"/>
  <c r="C79" i="22"/>
  <c r="AD112" i="22"/>
  <c r="T165" i="22"/>
  <c r="AE112" i="22"/>
  <c r="AE117" i="22"/>
  <c r="G167" i="22"/>
  <c r="AC451" i="22"/>
  <c r="E61" i="9"/>
  <c r="J81" i="9" s="1"/>
  <c r="E57" i="9"/>
  <c r="E58" i="9" s="1"/>
  <c r="E63" i="9" s="1"/>
  <c r="K42" i="10"/>
  <c r="AD62" i="22"/>
  <c r="AD18" i="22"/>
  <c r="Z18" i="22"/>
  <c r="AD19" i="22" s="1"/>
  <c r="G64" i="22"/>
  <c r="H15" i="23"/>
  <c r="E75" i="9"/>
  <c r="O22" i="10"/>
  <c r="O23" i="10" s="1"/>
  <c r="O25" i="10" s="1"/>
  <c r="O12" i="10"/>
  <c r="AE295" i="22"/>
  <c r="G298" i="22"/>
  <c r="E303" i="22" s="1"/>
  <c r="I984" i="8"/>
  <c r="K51" i="10"/>
  <c r="L18" i="10"/>
  <c r="G8" i="10"/>
  <c r="J13" i="9"/>
  <c r="K50" i="10"/>
  <c r="E74" i="9"/>
  <c r="E68" i="9"/>
  <c r="C39" i="12"/>
  <c r="AD295" i="22"/>
  <c r="G253" i="16"/>
  <c r="G304" i="16"/>
  <c r="G260" i="16"/>
  <c r="G24" i="16"/>
  <c r="E16" i="9"/>
  <c r="E19" i="9"/>
  <c r="E73" i="9"/>
  <c r="K49" i="10"/>
  <c r="G38" i="23"/>
  <c r="F22" i="23"/>
  <c r="F23" i="23" s="1"/>
  <c r="AC233" i="22"/>
  <c r="AC295" i="22" s="1"/>
  <c r="AB299" i="22" l="1"/>
  <c r="E302" i="22"/>
  <c r="E80" i="9"/>
  <c r="C173" i="18"/>
  <c r="E173" i="18" s="1"/>
  <c r="G345" i="16"/>
  <c r="R15" i="10"/>
  <c r="O11" i="10"/>
  <c r="O13" i="10" s="1"/>
  <c r="G168" i="22"/>
  <c r="E173" i="22" s="1"/>
  <c r="C174" i="18"/>
  <c r="E174" i="18" s="1"/>
  <c r="I4" i="10"/>
  <c r="L16" i="10"/>
  <c r="C165" i="22"/>
  <c r="AC79" i="22"/>
  <c r="AC165" i="22" s="1"/>
  <c r="AD165" i="22"/>
  <c r="H985" i="8"/>
  <c r="F46" i="10"/>
  <c r="G46" i="10" s="1"/>
  <c r="I1600" i="8"/>
  <c r="E459" i="22"/>
  <c r="E468" i="22" s="1"/>
  <c r="AB456" i="22"/>
  <c r="E69" i="22"/>
  <c r="AB66" i="22"/>
  <c r="AB169" i="22" l="1"/>
  <c r="E172" i="22"/>
  <c r="C175" i="18"/>
  <c r="E175" i="18" s="1"/>
  <c r="H1600" i="8"/>
  <c r="E9" i="10"/>
  <c r="K46" i="10"/>
  <c r="E70" i="9"/>
  <c r="E78" i="9" s="1"/>
  <c r="E82" i="9" s="1"/>
  <c r="H1649" i="8" l="1"/>
  <c r="G9" i="10"/>
  <c r="A13" i="12"/>
  <c r="H80" i="9"/>
  <c r="H1640" i="8" s="1"/>
  <c r="J9" i="10" l="1"/>
  <c r="L17" i="10"/>
  <c r="E13" i="9"/>
  <c r="E22" i="9" s="1"/>
  <c r="E35" i="9" s="1"/>
  <c r="L33" i="9" s="1"/>
  <c r="I1641" i="8"/>
  <c r="E53" i="10"/>
  <c r="C14" i="12"/>
  <c r="B14" i="12"/>
  <c r="D14" i="12"/>
  <c r="E14" i="12"/>
  <c r="F14" i="12"/>
  <c r="H14" i="12" l="1"/>
  <c r="G53" i="10"/>
  <c r="E56" i="10"/>
  <c r="F27" i="10"/>
  <c r="I1649" i="8"/>
  <c r="I1650" i="8" s="1"/>
  <c r="G27" i="10" l="1"/>
  <c r="E83" i="9"/>
  <c r="E84" i="9" s="1"/>
  <c r="A18" i="12" s="1"/>
  <c r="K53" i="10"/>
  <c r="G59" i="10"/>
  <c r="G60" i="10" s="1"/>
  <c r="F33" i="10"/>
  <c r="G33" i="10" s="1"/>
  <c r="J29" i="9" l="1"/>
  <c r="J30" i="9" s="1"/>
  <c r="B19" i="12"/>
  <c r="F19" i="12"/>
  <c r="C19" i="12"/>
  <c r="C21" i="12" s="1"/>
  <c r="H3" i="16" s="1"/>
  <c r="G19" i="12"/>
  <c r="D19" i="12"/>
  <c r="L3" i="16" s="1"/>
  <c r="E19" i="12"/>
  <c r="F56" i="10"/>
  <c r="E58" i="10" s="1"/>
  <c r="J18" i="9"/>
  <c r="J22" i="9" s="1"/>
  <c r="J35" i="9" s="1"/>
  <c r="L37" i="9" s="1"/>
  <c r="G56" i="10"/>
  <c r="H339" i="16" l="1"/>
  <c r="H55" i="16"/>
  <c r="H343" i="16"/>
  <c r="H285" i="16"/>
  <c r="H190" i="16"/>
  <c r="H15" i="16"/>
  <c r="H225" i="16"/>
  <c r="H218" i="16"/>
  <c r="H118" i="16"/>
  <c r="H175" i="16"/>
  <c r="H73" i="16"/>
  <c r="H320" i="16"/>
  <c r="H272" i="16"/>
  <c r="H19" i="16"/>
  <c r="H12" i="16"/>
  <c r="H101" i="16"/>
  <c r="H222" i="16"/>
  <c r="H205" i="16"/>
  <c r="H294" i="16"/>
  <c r="H332" i="16"/>
  <c r="H196" i="16"/>
  <c r="H22" i="16"/>
  <c r="H154" i="16"/>
  <c r="H26" i="16"/>
  <c r="H140" i="16"/>
  <c r="H317" i="16"/>
  <c r="H69" i="16"/>
  <c r="H166" i="16"/>
  <c r="H255" i="16"/>
  <c r="H120" i="16"/>
  <c r="H35" i="16"/>
  <c r="H28" i="16"/>
  <c r="H110" i="16"/>
  <c r="H281" i="16"/>
  <c r="H302" i="16"/>
  <c r="H168" i="16"/>
  <c r="H45" i="16"/>
  <c r="H6" i="16"/>
  <c r="H81" i="16"/>
  <c r="H92" i="16"/>
  <c r="H160" i="16"/>
  <c r="H105" i="16"/>
  <c r="H298" i="16"/>
  <c r="H75" i="16"/>
  <c r="H8" i="16"/>
  <c r="H328" i="16"/>
  <c r="H85" i="16"/>
  <c r="H94" i="16"/>
  <c r="H20" i="16"/>
  <c r="H137" i="16"/>
  <c r="H153" i="16"/>
  <c r="H90" i="16"/>
  <c r="H240" i="16"/>
  <c r="H53" i="16"/>
  <c r="H269" i="16"/>
  <c r="H329" i="16"/>
  <c r="H202" i="16"/>
  <c r="H319" i="16"/>
  <c r="H232" i="16"/>
  <c r="H165" i="16"/>
  <c r="H286" i="16"/>
  <c r="H247" i="16"/>
  <c r="H74" i="16"/>
  <c r="H125" i="16"/>
  <c r="H254" i="16"/>
  <c r="H184" i="16"/>
  <c r="H181" i="16"/>
  <c r="H262" i="16"/>
  <c r="H203" i="16"/>
  <c r="H277" i="16"/>
  <c r="H177" i="16"/>
  <c r="H51" i="16"/>
  <c r="H116" i="16"/>
  <c r="H199" i="16"/>
  <c r="H265" i="16"/>
  <c r="H36" i="16"/>
  <c r="H47" i="16"/>
  <c r="H40" i="16"/>
  <c r="H315" i="16"/>
  <c r="H324" i="16"/>
  <c r="H129" i="16"/>
  <c r="H331" i="16"/>
  <c r="H64" i="16"/>
  <c r="H148" i="16"/>
  <c r="H59" i="16"/>
  <c r="H204" i="16"/>
  <c r="H117" i="16"/>
  <c r="H224" i="16"/>
  <c r="H250" i="16"/>
  <c r="H307" i="16"/>
  <c r="H99" i="16"/>
  <c r="H178" i="16"/>
  <c r="H278" i="16"/>
  <c r="H238" i="16"/>
  <c r="H301" i="16"/>
  <c r="H108" i="16"/>
  <c r="H198" i="16"/>
  <c r="H284" i="16"/>
  <c r="H323" i="16"/>
  <c r="H187" i="16"/>
  <c r="H97" i="16"/>
  <c r="H327" i="16"/>
  <c r="H102" i="16"/>
  <c r="H143" i="16"/>
  <c r="H56" i="16"/>
  <c r="H132" i="16"/>
  <c r="H37" i="16"/>
  <c r="H340" i="16"/>
  <c r="H58" i="16"/>
  <c r="H241" i="16"/>
  <c r="H226" i="16"/>
  <c r="H313" i="16"/>
  <c r="H100" i="16"/>
  <c r="H70" i="16"/>
  <c r="H122" i="16"/>
  <c r="H29" i="16"/>
  <c r="H46" i="16"/>
  <c r="H162" i="16"/>
  <c r="H258" i="16"/>
  <c r="H333" i="16"/>
  <c r="H38" i="16"/>
  <c r="H139" i="16"/>
  <c r="H172" i="16"/>
  <c r="H251" i="16"/>
  <c r="H119" i="16"/>
  <c r="H289" i="16"/>
  <c r="H308" i="16"/>
  <c r="H107" i="16"/>
  <c r="H34" i="16"/>
  <c r="H79" i="16"/>
  <c r="H112" i="16"/>
  <c r="H252" i="16"/>
  <c r="H33" i="16"/>
  <c r="H214" i="16"/>
  <c r="H295" i="16"/>
  <c r="H176" i="16"/>
  <c r="H245" i="16"/>
  <c r="H144" i="16"/>
  <c r="H185" i="16"/>
  <c r="H10" i="16"/>
  <c r="H282" i="16"/>
  <c r="H242" i="16"/>
  <c r="H326" i="16"/>
  <c r="H151" i="16"/>
  <c r="H155" i="16"/>
  <c r="H173" i="16"/>
  <c r="H109" i="16"/>
  <c r="H211" i="16"/>
  <c r="H31" i="16"/>
  <c r="H4" i="16"/>
  <c r="H215" i="16"/>
  <c r="H194" i="16"/>
  <c r="H130" i="16"/>
  <c r="H213" i="16"/>
  <c r="H83" i="16"/>
  <c r="H189" i="16"/>
  <c r="H147" i="16"/>
  <c r="H257" i="16"/>
  <c r="H311" i="16"/>
  <c r="H138" i="16"/>
  <c r="H231" i="16"/>
  <c r="H133" i="16"/>
  <c r="H98" i="16"/>
  <c r="H106" i="16"/>
  <c r="H114" i="16"/>
  <c r="H186" i="16"/>
  <c r="H297" i="16"/>
  <c r="H200" i="16"/>
  <c r="H195" i="16"/>
  <c r="H271" i="16"/>
  <c r="H209" i="16"/>
  <c r="H95" i="16"/>
  <c r="N95" i="16" s="1"/>
  <c r="P95" i="16" s="1"/>
  <c r="O95" i="16" s="1"/>
  <c r="H246" i="16"/>
  <c r="H256" i="16"/>
  <c r="H88" i="16"/>
  <c r="H167" i="16"/>
  <c r="H243" i="16"/>
  <c r="N243" i="16" s="1"/>
  <c r="P243" i="16" s="1"/>
  <c r="O243" i="16" s="1"/>
  <c r="H158" i="16"/>
  <c r="H192" i="16"/>
  <c r="H128" i="16"/>
  <c r="H309" i="16"/>
  <c r="H197" i="16"/>
  <c r="H239" i="16"/>
  <c r="H237" i="16"/>
  <c r="H111" i="16"/>
  <c r="N111" i="16" s="1"/>
  <c r="P111" i="16" s="1"/>
  <c r="O111" i="16" s="1"/>
  <c r="H141" i="16"/>
  <c r="H121" i="16"/>
  <c r="H174" i="16"/>
  <c r="H113" i="16"/>
  <c r="H201" i="16"/>
  <c r="H63" i="16"/>
  <c r="H183" i="16"/>
  <c r="H219" i="16"/>
  <c r="N219" i="16" s="1"/>
  <c r="P219" i="16" s="1"/>
  <c r="O219" i="16" s="1"/>
  <c r="H274" i="16"/>
  <c r="H318" i="16"/>
  <c r="H291" i="16"/>
  <c r="H136" i="16"/>
  <c r="H126" i="16"/>
  <c r="H230" i="16"/>
  <c r="H193" i="16"/>
  <c r="H287" i="16"/>
  <c r="N287" i="16" s="1"/>
  <c r="P287" i="16" s="1"/>
  <c r="O287" i="16" s="1"/>
  <c r="H227" i="16"/>
  <c r="H82" i="16"/>
  <c r="H163" i="16"/>
  <c r="N163" i="16" s="1"/>
  <c r="P163" i="16" s="1"/>
  <c r="O163" i="16" s="1"/>
  <c r="H27" i="16"/>
  <c r="H150" i="16"/>
  <c r="H146" i="16"/>
  <c r="H89" i="16"/>
  <c r="H169" i="16"/>
  <c r="N169" i="16" s="1"/>
  <c r="P169" i="16" s="1"/>
  <c r="O169" i="16" s="1"/>
  <c r="H264" i="16"/>
  <c r="H292" i="16"/>
  <c r="H314" i="16"/>
  <c r="H288" i="16"/>
  <c r="H342" i="16"/>
  <c r="H68" i="16"/>
  <c r="H5" i="16"/>
  <c r="H16" i="16"/>
  <c r="N16" i="16" s="1"/>
  <c r="P16" i="16" s="1"/>
  <c r="O16" i="16" s="1"/>
  <c r="H249" i="16"/>
  <c r="H316" i="16"/>
  <c r="H62" i="16"/>
  <c r="H76" i="16"/>
  <c r="H335" i="16"/>
  <c r="H65" i="16"/>
  <c r="H220" i="16"/>
  <c r="H228" i="16"/>
  <c r="N228" i="16" s="1"/>
  <c r="P228" i="16" s="1"/>
  <c r="O228" i="16" s="1"/>
  <c r="H103" i="16"/>
  <c r="H217" i="16"/>
  <c r="H43" i="16"/>
  <c r="H207" i="16"/>
  <c r="H93" i="16"/>
  <c r="H180" i="16"/>
  <c r="H32" i="16"/>
  <c r="H157" i="16"/>
  <c r="N157" i="16" s="1"/>
  <c r="P157" i="16" s="1"/>
  <c r="O157" i="16" s="1"/>
  <c r="H60" i="16"/>
  <c r="H223" i="16"/>
  <c r="H300" i="16"/>
  <c r="N300" i="16" s="1"/>
  <c r="P300" i="16" s="1"/>
  <c r="O300" i="16" s="1"/>
  <c r="H123" i="16"/>
  <c r="H275" i="16"/>
  <c r="H263" i="16"/>
  <c r="H273" i="16"/>
  <c r="H276" i="16"/>
  <c r="N276" i="16" s="1"/>
  <c r="P276" i="16" s="1"/>
  <c r="O276" i="16" s="1"/>
  <c r="H248" i="16"/>
  <c r="H124" i="16"/>
  <c r="H131" i="16"/>
  <c r="H280" i="16"/>
  <c r="H244" i="16"/>
  <c r="H84" i="16"/>
  <c r="H18" i="16"/>
  <c r="H50" i="16"/>
  <c r="N50" i="16" s="1"/>
  <c r="P50" i="16" s="1"/>
  <c r="O50" i="16" s="1"/>
  <c r="H17" i="16"/>
  <c r="H142" i="16"/>
  <c r="H267" i="16"/>
  <c r="H235" i="16"/>
  <c r="H344" i="16"/>
  <c r="H208" i="16"/>
  <c r="H44" i="16"/>
  <c r="H67" i="16"/>
  <c r="N67" i="16" s="1"/>
  <c r="P67" i="16" s="1"/>
  <c r="O67" i="16" s="1"/>
  <c r="H135" i="16"/>
  <c r="H86" i="16"/>
  <c r="H13" i="16"/>
  <c r="N13" i="16" s="1"/>
  <c r="P13" i="16" s="1"/>
  <c r="O13" i="16" s="1"/>
  <c r="H7" i="16"/>
  <c r="H77" i="16"/>
  <c r="H96" i="16"/>
  <c r="H305" i="16"/>
  <c r="H78" i="16"/>
  <c r="N78" i="16" s="1"/>
  <c r="P78" i="16" s="1"/>
  <c r="O78" i="16" s="1"/>
  <c r="H134" i="16"/>
  <c r="H72" i="16"/>
  <c r="H115" i="16"/>
  <c r="H91" i="16"/>
  <c r="H41" i="16"/>
  <c r="H303" i="16"/>
  <c r="H210" i="16"/>
  <c r="H296" i="16"/>
  <c r="N296" i="16" s="1"/>
  <c r="P296" i="16" s="1"/>
  <c r="O296" i="16" s="1"/>
  <c r="H14" i="16"/>
  <c r="H337" i="16"/>
  <c r="H283" i="16"/>
  <c r="N283" i="16" s="1"/>
  <c r="P283" i="16" s="1"/>
  <c r="O283" i="16" s="1"/>
  <c r="H52" i="16"/>
  <c r="H80" i="16"/>
  <c r="H71" i="16"/>
  <c r="H330" i="16"/>
  <c r="H321" i="16"/>
  <c r="N321" i="16" s="1"/>
  <c r="P321" i="16" s="1"/>
  <c r="O321" i="16" s="1"/>
  <c r="H23" i="16"/>
  <c r="H171" i="16"/>
  <c r="H259" i="16"/>
  <c r="H188" i="16"/>
  <c r="H145" i="16"/>
  <c r="H152" i="16"/>
  <c r="H179" i="16"/>
  <c r="H164" i="16"/>
  <c r="N164" i="16" s="1"/>
  <c r="P164" i="16" s="1"/>
  <c r="O164" i="16" s="1"/>
  <c r="H310" i="16"/>
  <c r="H127" i="16"/>
  <c r="H30" i="16"/>
  <c r="H338" i="16"/>
  <c r="H261" i="16"/>
  <c r="H336" i="16"/>
  <c r="H268" i="16"/>
  <c r="H170" i="16"/>
  <c r="N170" i="16" s="1"/>
  <c r="P170" i="16" s="1"/>
  <c r="O170" i="16" s="1"/>
  <c r="H234" i="16"/>
  <c r="H306" i="16"/>
  <c r="H266" i="16"/>
  <c r="H104" i="16"/>
  <c r="H212" i="16"/>
  <c r="H57" i="16"/>
  <c r="H279" i="16"/>
  <c r="H66" i="16"/>
  <c r="N66" i="16" s="1"/>
  <c r="P66" i="16" s="1"/>
  <c r="O66" i="16" s="1"/>
  <c r="H290" i="16"/>
  <c r="H54" i="16"/>
  <c r="H221" i="16"/>
  <c r="H25" i="16"/>
  <c r="H39" i="16"/>
  <c r="H182" i="16"/>
  <c r="H312" i="16"/>
  <c r="N312" i="16" s="1"/>
  <c r="P312" i="16" s="1"/>
  <c r="O312" i="16" s="1"/>
  <c r="H206" i="16"/>
  <c r="N206" i="16" s="1"/>
  <c r="P206" i="16" s="1"/>
  <c r="O206" i="16" s="1"/>
  <c r="H49" i="16"/>
  <c r="H299" i="16"/>
  <c r="H11" i="16"/>
  <c r="H236" i="16"/>
  <c r="H9" i="16"/>
  <c r="N9" i="16" s="1"/>
  <c r="P9" i="16" s="1"/>
  <c r="O9" i="16" s="1"/>
  <c r="H48" i="16"/>
  <c r="H191" i="16"/>
  <c r="N191" i="16" s="1"/>
  <c r="P191" i="16" s="1"/>
  <c r="O191" i="16" s="1"/>
  <c r="H322" i="16"/>
  <c r="N322" i="16" s="1"/>
  <c r="P322" i="16" s="1"/>
  <c r="O322" i="16" s="1"/>
  <c r="H325" i="16"/>
  <c r="H42" i="16"/>
  <c r="H233" i="16"/>
  <c r="N233" i="16" s="1"/>
  <c r="P233" i="16" s="1"/>
  <c r="O233" i="16" s="1"/>
  <c r="H216" i="16"/>
  <c r="H293" i="16"/>
  <c r="N293" i="16" s="1"/>
  <c r="P293" i="16" s="1"/>
  <c r="O293" i="16" s="1"/>
  <c r="H156" i="16"/>
  <c r="H341" i="16"/>
  <c r="N341" i="16" s="1"/>
  <c r="P341" i="16" s="1"/>
  <c r="O341" i="16" s="1"/>
  <c r="H161" i="16"/>
  <c r="H87" i="16"/>
  <c r="H334" i="16"/>
  <c r="H149" i="16"/>
  <c r="H270" i="16"/>
  <c r="H159" i="16"/>
  <c r="H229" i="16"/>
  <c r="N229" i="16" s="1"/>
  <c r="P229" i="16" s="1"/>
  <c r="O229" i="16" s="1"/>
  <c r="H61" i="16"/>
  <c r="N61" i="16" s="1"/>
  <c r="P61" i="16" s="1"/>
  <c r="O61" i="16" s="1"/>
  <c r="H21" i="16"/>
  <c r="N21" i="16" s="1"/>
  <c r="P21" i="16" s="1"/>
  <c r="O21" i="16" s="1"/>
  <c r="H304" i="16"/>
  <c r="H260" i="16"/>
  <c r="H24" i="16"/>
  <c r="N24" i="16" s="1"/>
  <c r="P24" i="16" s="1"/>
  <c r="O24" i="16" s="1"/>
  <c r="H253" i="16"/>
  <c r="H19" i="12"/>
  <c r="D33" i="12"/>
  <c r="D38" i="12"/>
  <c r="D30" i="12"/>
  <c r="D34" i="12"/>
  <c r="D31" i="12"/>
  <c r="D36" i="12"/>
  <c r="D35" i="12"/>
  <c r="D32" i="12"/>
  <c r="D37" i="12"/>
  <c r="L265" i="16"/>
  <c r="L45" i="16"/>
  <c r="L157" i="16"/>
  <c r="L93" i="16"/>
  <c r="L112" i="16"/>
  <c r="L69" i="16"/>
  <c r="L301" i="16"/>
  <c r="L143" i="16"/>
  <c r="L310" i="16"/>
  <c r="L55" i="16"/>
  <c r="L109" i="16"/>
  <c r="L316" i="16"/>
  <c r="L253" i="16"/>
  <c r="L169" i="16"/>
  <c r="L141" i="16"/>
  <c r="L170" i="16"/>
  <c r="L256" i="16"/>
  <c r="L286" i="16"/>
  <c r="L290" i="16"/>
  <c r="L130" i="16"/>
  <c r="L106" i="16"/>
  <c r="L119" i="16"/>
  <c r="L254" i="16"/>
  <c r="L166" i="16"/>
  <c r="L201" i="16"/>
  <c r="L172" i="16"/>
  <c r="L300" i="16"/>
  <c r="L214" i="16"/>
  <c r="L193" i="16"/>
  <c r="L117" i="16"/>
  <c r="L224" i="16"/>
  <c r="L191" i="16"/>
  <c r="L225" i="16"/>
  <c r="L312" i="16"/>
  <c r="L335" i="16"/>
  <c r="L61" i="16"/>
  <c r="L192" i="16"/>
  <c r="L189" i="16"/>
  <c r="L11" i="16"/>
  <c r="L72" i="16"/>
  <c r="L208" i="16"/>
  <c r="L83" i="16"/>
  <c r="L270" i="16"/>
  <c r="L334" i="16"/>
  <c r="L121" i="16"/>
  <c r="L185" i="16"/>
  <c r="L71" i="16"/>
  <c r="L311" i="16"/>
  <c r="L210" i="16"/>
  <c r="L223" i="16"/>
  <c r="L129" i="16"/>
  <c r="L97" i="16"/>
  <c r="L163" i="16"/>
  <c r="L248" i="16"/>
  <c r="L82" i="16"/>
  <c r="L151" i="16"/>
  <c r="L261" i="16"/>
  <c r="L19" i="16"/>
  <c r="L203" i="16"/>
  <c r="L279" i="16"/>
  <c r="L216" i="16"/>
  <c r="L54" i="16"/>
  <c r="L32" i="16"/>
  <c r="L110" i="16"/>
  <c r="L204" i="16"/>
  <c r="L65" i="16"/>
  <c r="L25" i="16"/>
  <c r="L219" i="16"/>
  <c r="L35" i="16"/>
  <c r="L131" i="16"/>
  <c r="L103" i="16"/>
  <c r="L42" i="16"/>
  <c r="L37" i="16"/>
  <c r="L239" i="16"/>
  <c r="L178" i="16"/>
  <c r="L179" i="16"/>
  <c r="L217" i="16"/>
  <c r="L264" i="16"/>
  <c r="L142" i="16"/>
  <c r="L180" i="16"/>
  <c r="L98" i="16"/>
  <c r="L95" i="16"/>
  <c r="L342" i="16"/>
  <c r="L12" i="16"/>
  <c r="L324" i="16"/>
  <c r="L271" i="16"/>
  <c r="L26" i="16"/>
  <c r="L190" i="16"/>
  <c r="L14" i="16"/>
  <c r="L229" i="16"/>
  <c r="L294" i="16"/>
  <c r="L139" i="16"/>
  <c r="L304" i="16"/>
  <c r="L149" i="16"/>
  <c r="L338" i="16"/>
  <c r="L5" i="16"/>
  <c r="L226" i="16"/>
  <c r="L9" i="16"/>
  <c r="L48" i="16"/>
  <c r="L266" i="16"/>
  <c r="L126" i="16"/>
  <c r="L56" i="16"/>
  <c r="L262" i="16"/>
  <c r="L64" i="16"/>
  <c r="L7" i="16"/>
  <c r="L63" i="16"/>
  <c r="L199" i="16"/>
  <c r="L92" i="16"/>
  <c r="L70" i="16"/>
  <c r="L74" i="16"/>
  <c r="L323" i="16"/>
  <c r="L281" i="16"/>
  <c r="L245" i="16"/>
  <c r="L160" i="16"/>
  <c r="L325" i="16"/>
  <c r="L94" i="16"/>
  <c r="L340" i="16"/>
  <c r="L91" i="16"/>
  <c r="L285" i="16"/>
  <c r="L40" i="16"/>
  <c r="L162" i="16"/>
  <c r="L120" i="16"/>
  <c r="L154" i="16"/>
  <c r="L244" i="16"/>
  <c r="L236" i="16"/>
  <c r="L212" i="16"/>
  <c r="L313" i="16"/>
  <c r="L220" i="16"/>
  <c r="L183" i="16"/>
  <c r="L206" i="16"/>
  <c r="L6" i="16"/>
  <c r="L267" i="16"/>
  <c r="L125" i="16"/>
  <c r="L228" i="16"/>
  <c r="L81" i="16"/>
  <c r="L36" i="16"/>
  <c r="L240" i="16"/>
  <c r="L107" i="16"/>
  <c r="L293" i="16"/>
  <c r="L51" i="16"/>
  <c r="L230" i="16"/>
  <c r="L138" i="16"/>
  <c r="L289" i="16"/>
  <c r="L268" i="16"/>
  <c r="L255" i="16"/>
  <c r="L276" i="16"/>
  <c r="L123" i="16"/>
  <c r="L27" i="16"/>
  <c r="L231" i="16"/>
  <c r="L158" i="16"/>
  <c r="L227" i="16"/>
  <c r="L128" i="16"/>
  <c r="L330" i="16"/>
  <c r="L150" i="16"/>
  <c r="L202" i="16"/>
  <c r="L273" i="16"/>
  <c r="L96" i="16"/>
  <c r="L176" i="16"/>
  <c r="L205" i="16"/>
  <c r="L241" i="16"/>
  <c r="L292" i="16"/>
  <c r="L80" i="16"/>
  <c r="L168" i="16"/>
  <c r="L296" i="16"/>
  <c r="L24" i="16"/>
  <c r="L68" i="16"/>
  <c r="L164" i="16"/>
  <c r="L307" i="16"/>
  <c r="L314" i="16"/>
  <c r="L233" i="16"/>
  <c r="L165" i="16"/>
  <c r="L57" i="16"/>
  <c r="L140" i="16"/>
  <c r="L246" i="16"/>
  <c r="L145" i="16"/>
  <c r="L242" i="16"/>
  <c r="L161" i="16"/>
  <c r="L218" i="16"/>
  <c r="L108" i="16"/>
  <c r="L200" i="16"/>
  <c r="L29" i="16"/>
  <c r="L105" i="16"/>
  <c r="L247" i="16"/>
  <c r="L309" i="16"/>
  <c r="L159" i="16"/>
  <c r="L181" i="16"/>
  <c r="L47" i="16"/>
  <c r="L209" i="16"/>
  <c r="L75" i="16"/>
  <c r="L60" i="16"/>
  <c r="L222" i="16"/>
  <c r="L195" i="16"/>
  <c r="L86" i="16"/>
  <c r="L299" i="16"/>
  <c r="L156" i="16"/>
  <c r="L260" i="16"/>
  <c r="L198" i="16"/>
  <c r="L259" i="16"/>
  <c r="L234" i="16"/>
  <c r="L186" i="16"/>
  <c r="L88" i="16"/>
  <c r="L344" i="16"/>
  <c r="L58" i="16"/>
  <c r="L44" i="16"/>
  <c r="L78" i="16"/>
  <c r="L116" i="16"/>
  <c r="L257" i="16"/>
  <c r="L15" i="16"/>
  <c r="L211" i="16"/>
  <c r="L197" i="16"/>
  <c r="L16" i="16"/>
  <c r="L207" i="16"/>
  <c r="L101" i="16"/>
  <c r="L221" i="16"/>
  <c r="L331" i="16"/>
  <c r="L22" i="16"/>
  <c r="L173" i="16"/>
  <c r="L305" i="16"/>
  <c r="L50" i="16"/>
  <c r="L306" i="16"/>
  <c r="L250" i="16"/>
  <c r="L115" i="16"/>
  <c r="L20" i="16"/>
  <c r="L258" i="16"/>
  <c r="L4" i="16"/>
  <c r="L13" i="16"/>
  <c r="L102" i="16"/>
  <c r="L53" i="16"/>
  <c r="L194" i="16"/>
  <c r="L133" i="16"/>
  <c r="L167" i="16"/>
  <c r="L23" i="16"/>
  <c r="L284" i="16"/>
  <c r="L319" i="16"/>
  <c r="L124" i="16"/>
  <c r="L298" i="16"/>
  <c r="L188" i="16"/>
  <c r="L291" i="16"/>
  <c r="L43" i="16"/>
  <c r="L263" i="16"/>
  <c r="L132" i="16"/>
  <c r="L76" i="16"/>
  <c r="L67" i="16"/>
  <c r="L99" i="16"/>
  <c r="L38" i="16"/>
  <c r="L213" i="16"/>
  <c r="L10" i="16"/>
  <c r="L308" i="16"/>
  <c r="L252" i="16"/>
  <c r="L288" i="16"/>
  <c r="L52" i="16"/>
  <c r="L85" i="16"/>
  <c r="L343" i="16"/>
  <c r="L153" i="16"/>
  <c r="L59" i="16"/>
  <c r="L326" i="16"/>
  <c r="L152" i="16"/>
  <c r="L215" i="16"/>
  <c r="L137" i="16"/>
  <c r="L17" i="16"/>
  <c r="L295" i="16"/>
  <c r="L104" i="16"/>
  <c r="L66" i="16"/>
  <c r="L332" i="16"/>
  <c r="L302" i="16"/>
  <c r="L243" i="16"/>
  <c r="L337" i="16"/>
  <c r="L274" i="16"/>
  <c r="L315" i="16"/>
  <c r="L237" i="16"/>
  <c r="L238" i="16"/>
  <c r="L113" i="16"/>
  <c r="L339" i="16"/>
  <c r="L21" i="16"/>
  <c r="L77" i="16"/>
  <c r="L175" i="16"/>
  <c r="L318" i="16"/>
  <c r="L34" i="16"/>
  <c r="L321" i="16"/>
  <c r="L174" i="16"/>
  <c r="L135" i="16"/>
  <c r="L33" i="16"/>
  <c r="L303" i="16"/>
  <c r="L155" i="16"/>
  <c r="L297" i="16"/>
  <c r="L196" i="16"/>
  <c r="L122" i="16"/>
  <c r="L182" i="16"/>
  <c r="L114" i="16"/>
  <c r="L134" i="16"/>
  <c r="L333" i="16"/>
  <c r="L41" i="16"/>
  <c r="L127" i="16"/>
  <c r="L187" i="16"/>
  <c r="L136" i="16"/>
  <c r="L278" i="16"/>
  <c r="L87" i="16"/>
  <c r="L282" i="16"/>
  <c r="L171" i="16"/>
  <c r="L280" i="16"/>
  <c r="L283" i="16"/>
  <c r="L18" i="16"/>
  <c r="L89" i="16"/>
  <c r="L46" i="16"/>
  <c r="L327" i="16"/>
  <c r="L84" i="16"/>
  <c r="L317" i="16"/>
  <c r="L62" i="16"/>
  <c r="L269" i="16"/>
  <c r="L49" i="16"/>
  <c r="L28" i="16"/>
  <c r="L111" i="16"/>
  <c r="L146" i="16"/>
  <c r="L235" i="16"/>
  <c r="L73" i="16"/>
  <c r="L39" i="16"/>
  <c r="L90" i="16"/>
  <c r="L30" i="16"/>
  <c r="L177" i="16"/>
  <c r="L79" i="16"/>
  <c r="L31" i="16"/>
  <c r="L320" i="16"/>
  <c r="L328" i="16"/>
  <c r="L147" i="16"/>
  <c r="L322" i="16"/>
  <c r="L272" i="16"/>
  <c r="L184" i="16"/>
  <c r="L100" i="16"/>
  <c r="L277" i="16"/>
  <c r="L275" i="16"/>
  <c r="L329" i="16"/>
  <c r="L336" i="16"/>
  <c r="L144" i="16"/>
  <c r="L341" i="16"/>
  <c r="L8" i="16"/>
  <c r="L118" i="16"/>
  <c r="L249" i="16"/>
  <c r="L251" i="16"/>
  <c r="L232" i="16"/>
  <c r="L287" i="16"/>
  <c r="L148" i="16"/>
  <c r="N279" i="16" l="1"/>
  <c r="P279" i="16" s="1"/>
  <c r="O279" i="16" s="1"/>
  <c r="N268" i="16"/>
  <c r="P268" i="16" s="1"/>
  <c r="O268" i="16" s="1"/>
  <c r="N179" i="16"/>
  <c r="P179" i="16" s="1"/>
  <c r="O179" i="16" s="1"/>
  <c r="N330" i="16"/>
  <c r="P330" i="16" s="1"/>
  <c r="O330" i="16" s="1"/>
  <c r="N210" i="16"/>
  <c r="P210" i="16" s="1"/>
  <c r="O210" i="16" s="1"/>
  <c r="N305" i="16"/>
  <c r="P305" i="16" s="1"/>
  <c r="O305" i="16" s="1"/>
  <c r="N44" i="16"/>
  <c r="P44" i="16" s="1"/>
  <c r="O44" i="16" s="1"/>
  <c r="N18" i="16"/>
  <c r="P18" i="16" s="1"/>
  <c r="O18" i="16" s="1"/>
  <c r="N273" i="16"/>
  <c r="P273" i="16" s="1"/>
  <c r="O273" i="16" s="1"/>
  <c r="N32" i="16"/>
  <c r="P32" i="16" s="1"/>
  <c r="O32" i="16" s="1"/>
  <c r="N220" i="16"/>
  <c r="P220" i="16" s="1"/>
  <c r="O220" i="16" s="1"/>
  <c r="N5" i="16"/>
  <c r="P5" i="16" s="1"/>
  <c r="O5" i="16" s="1"/>
  <c r="N89" i="16"/>
  <c r="P89" i="16" s="1"/>
  <c r="O89" i="16" s="1"/>
  <c r="N193" i="16"/>
  <c r="P193" i="16" s="1"/>
  <c r="O193" i="16" s="1"/>
  <c r="N183" i="16"/>
  <c r="P183" i="16" s="1"/>
  <c r="O183" i="16" s="1"/>
  <c r="N237" i="16"/>
  <c r="P237" i="16" s="1"/>
  <c r="O237" i="16" s="1"/>
  <c r="N167" i="16"/>
  <c r="P167" i="16" s="1"/>
  <c r="O167" i="16" s="1"/>
  <c r="N200" i="16"/>
  <c r="P200" i="16" s="1"/>
  <c r="O200" i="16" s="1"/>
  <c r="N138" i="16"/>
  <c r="P138" i="16" s="1"/>
  <c r="O138" i="16" s="1"/>
  <c r="N194" i="16"/>
  <c r="P194" i="16" s="1"/>
  <c r="O194" i="16" s="1"/>
  <c r="N151" i="16"/>
  <c r="P151" i="16" s="1"/>
  <c r="O151" i="16" s="1"/>
  <c r="N176" i="16"/>
  <c r="P176" i="16" s="1"/>
  <c r="O176" i="16" s="1"/>
  <c r="N107" i="16"/>
  <c r="P107" i="16" s="1"/>
  <c r="O107" i="16" s="1"/>
  <c r="N333" i="16"/>
  <c r="P333" i="16" s="1"/>
  <c r="O333" i="16" s="1"/>
  <c r="N313" i="16"/>
  <c r="P313" i="16" s="1"/>
  <c r="O313" i="16" s="1"/>
  <c r="N143" i="16"/>
  <c r="P143" i="16" s="1"/>
  <c r="O143" i="16" s="1"/>
  <c r="N108" i="16"/>
  <c r="P108" i="16" s="1"/>
  <c r="O108" i="16" s="1"/>
  <c r="N224" i="16"/>
  <c r="P224" i="16" s="1"/>
  <c r="O224" i="16" s="1"/>
  <c r="N324" i="16"/>
  <c r="P324" i="16" s="1"/>
  <c r="O324" i="16" s="1"/>
  <c r="N51" i="16"/>
  <c r="P51" i="16" s="1"/>
  <c r="O51" i="16" s="1"/>
  <c r="N125" i="16"/>
  <c r="P125" i="16" s="1"/>
  <c r="O125" i="16" s="1"/>
  <c r="N329" i="16"/>
  <c r="P329" i="16" s="1"/>
  <c r="O329" i="16" s="1"/>
  <c r="N94" i="16"/>
  <c r="P94" i="16" s="1"/>
  <c r="O94" i="16" s="1"/>
  <c r="N92" i="16"/>
  <c r="P92" i="16" s="1"/>
  <c r="O92" i="16" s="1"/>
  <c r="N28" i="16"/>
  <c r="P28" i="16" s="1"/>
  <c r="O28" i="16" s="1"/>
  <c r="N26" i="16"/>
  <c r="P26" i="16" s="1"/>
  <c r="O26" i="16" s="1"/>
  <c r="N101" i="16"/>
  <c r="P101" i="16" s="1"/>
  <c r="O101" i="16" s="1"/>
  <c r="N218" i="16"/>
  <c r="P218" i="16" s="1"/>
  <c r="O218" i="16" s="1"/>
  <c r="N156" i="16"/>
  <c r="P156" i="16" s="1"/>
  <c r="O156" i="16" s="1"/>
  <c r="N48" i="16"/>
  <c r="P48" i="16" s="1"/>
  <c r="O48" i="16" s="1"/>
  <c r="N182" i="16"/>
  <c r="P182" i="16" s="1"/>
  <c r="O182" i="16" s="1"/>
  <c r="N57" i="16"/>
  <c r="P57" i="16" s="1"/>
  <c r="O57" i="16" s="1"/>
  <c r="N336" i="16"/>
  <c r="P336" i="16" s="1"/>
  <c r="O336" i="16" s="1"/>
  <c r="N152" i="16"/>
  <c r="P152" i="16" s="1"/>
  <c r="O152" i="16" s="1"/>
  <c r="N71" i="16"/>
  <c r="P71" i="16" s="1"/>
  <c r="O71" i="16" s="1"/>
  <c r="N303" i="16"/>
  <c r="P303" i="16" s="1"/>
  <c r="O303" i="16" s="1"/>
  <c r="N96" i="16"/>
  <c r="P96" i="16" s="1"/>
  <c r="O96" i="16" s="1"/>
  <c r="N208" i="16"/>
  <c r="P208" i="16" s="1"/>
  <c r="O208" i="16" s="1"/>
  <c r="N84" i="16"/>
  <c r="P84" i="16" s="1"/>
  <c r="O84" i="16" s="1"/>
  <c r="N263" i="16"/>
  <c r="P263" i="16" s="1"/>
  <c r="O263" i="16" s="1"/>
  <c r="N180" i="16"/>
  <c r="P180" i="16" s="1"/>
  <c r="O180" i="16" s="1"/>
  <c r="N65" i="16"/>
  <c r="P65" i="16" s="1"/>
  <c r="O65" i="16" s="1"/>
  <c r="N68" i="16"/>
  <c r="P68" i="16" s="1"/>
  <c r="O68" i="16" s="1"/>
  <c r="N146" i="16"/>
  <c r="P146" i="16" s="1"/>
  <c r="O146" i="16" s="1"/>
  <c r="N230" i="16"/>
  <c r="P230" i="16" s="1"/>
  <c r="O230" i="16" s="1"/>
  <c r="N63" i="16"/>
  <c r="P63" i="16" s="1"/>
  <c r="O63" i="16" s="1"/>
  <c r="N239" i="16"/>
  <c r="P239" i="16" s="1"/>
  <c r="O239" i="16" s="1"/>
  <c r="N88" i="16"/>
  <c r="P88" i="16" s="1"/>
  <c r="O88" i="16" s="1"/>
  <c r="N297" i="16"/>
  <c r="P297" i="16" s="1"/>
  <c r="O297" i="16" s="1"/>
  <c r="N311" i="16"/>
  <c r="P311" i="16" s="1"/>
  <c r="O311" i="16" s="1"/>
  <c r="N215" i="16"/>
  <c r="P215" i="16" s="1"/>
  <c r="O215" i="16" s="1"/>
  <c r="N326" i="16"/>
  <c r="P326" i="16" s="1"/>
  <c r="O326" i="16" s="1"/>
  <c r="N295" i="16"/>
  <c r="P295" i="16" s="1"/>
  <c r="O295" i="16" s="1"/>
  <c r="N308" i="16"/>
  <c r="P308" i="16" s="1"/>
  <c r="O308" i="16" s="1"/>
  <c r="N258" i="16"/>
  <c r="P258" i="16" s="1"/>
  <c r="O258" i="16" s="1"/>
  <c r="N226" i="16"/>
  <c r="P226" i="16" s="1"/>
  <c r="O226" i="16" s="1"/>
  <c r="N102" i="16"/>
  <c r="P102" i="16" s="1"/>
  <c r="O102" i="16" s="1"/>
  <c r="N301" i="16"/>
  <c r="P301" i="16" s="1"/>
  <c r="O301" i="16" s="1"/>
  <c r="N117" i="16"/>
  <c r="P117" i="16" s="1"/>
  <c r="O117" i="16" s="1"/>
  <c r="N315" i="16"/>
  <c r="P315" i="16" s="1"/>
  <c r="O315" i="16" s="1"/>
  <c r="N177" i="16"/>
  <c r="P177" i="16" s="1"/>
  <c r="O177" i="16" s="1"/>
  <c r="N74" i="16"/>
  <c r="P74" i="16" s="1"/>
  <c r="O74" i="16" s="1"/>
  <c r="N269" i="16"/>
  <c r="P269" i="16" s="1"/>
  <c r="O269" i="16" s="1"/>
  <c r="N85" i="16"/>
  <c r="P85" i="16" s="1"/>
  <c r="O85" i="16" s="1"/>
  <c r="N81" i="16"/>
  <c r="P81" i="16" s="1"/>
  <c r="O81" i="16" s="1"/>
  <c r="N35" i="16"/>
  <c r="P35" i="16" s="1"/>
  <c r="O35" i="16" s="1"/>
  <c r="N154" i="16"/>
  <c r="P154" i="16" s="1"/>
  <c r="O154" i="16" s="1"/>
  <c r="N12" i="16"/>
  <c r="P12" i="16" s="1"/>
  <c r="O12" i="16" s="1"/>
  <c r="N225" i="16"/>
  <c r="P225" i="16" s="1"/>
  <c r="O225" i="16" s="1"/>
  <c r="N159" i="16"/>
  <c r="P159" i="16" s="1"/>
  <c r="O159" i="16" s="1"/>
  <c r="N39" i="16"/>
  <c r="P39" i="16" s="1"/>
  <c r="O39" i="16" s="1"/>
  <c r="N212" i="16"/>
  <c r="P212" i="16" s="1"/>
  <c r="O212" i="16" s="1"/>
  <c r="N261" i="16"/>
  <c r="P261" i="16" s="1"/>
  <c r="O261" i="16" s="1"/>
  <c r="N145" i="16"/>
  <c r="P145" i="16" s="1"/>
  <c r="O145" i="16" s="1"/>
  <c r="N80" i="16"/>
  <c r="P80" i="16" s="1"/>
  <c r="O80" i="16" s="1"/>
  <c r="N41" i="16"/>
  <c r="P41" i="16" s="1"/>
  <c r="O41" i="16" s="1"/>
  <c r="N77" i="16"/>
  <c r="P77" i="16" s="1"/>
  <c r="O77" i="16" s="1"/>
  <c r="N344" i="16"/>
  <c r="P344" i="16" s="1"/>
  <c r="O344" i="16" s="1"/>
  <c r="N244" i="16"/>
  <c r="P244" i="16" s="1"/>
  <c r="O244" i="16" s="1"/>
  <c r="N275" i="16"/>
  <c r="P275" i="16" s="1"/>
  <c r="O275" i="16" s="1"/>
  <c r="N93" i="16"/>
  <c r="P93" i="16" s="1"/>
  <c r="O93" i="16" s="1"/>
  <c r="N335" i="16"/>
  <c r="P335" i="16" s="1"/>
  <c r="O335" i="16" s="1"/>
  <c r="N342" i="16"/>
  <c r="P342" i="16" s="1"/>
  <c r="O342" i="16" s="1"/>
  <c r="N150" i="16"/>
  <c r="P150" i="16" s="1"/>
  <c r="O150" i="16" s="1"/>
  <c r="N126" i="16"/>
  <c r="P126" i="16" s="1"/>
  <c r="O126" i="16" s="1"/>
  <c r="N201" i="16"/>
  <c r="P201" i="16" s="1"/>
  <c r="O201" i="16" s="1"/>
  <c r="N197" i="16"/>
  <c r="P197" i="16" s="1"/>
  <c r="O197" i="16" s="1"/>
  <c r="N256" i="16"/>
  <c r="P256" i="16" s="1"/>
  <c r="O256" i="16" s="1"/>
  <c r="N186" i="16"/>
  <c r="P186" i="16" s="1"/>
  <c r="O186" i="16" s="1"/>
  <c r="N257" i="16"/>
  <c r="P257" i="16" s="1"/>
  <c r="O257" i="16" s="1"/>
  <c r="N4" i="16"/>
  <c r="H345" i="16"/>
  <c r="N242" i="16"/>
  <c r="P242" i="16" s="1"/>
  <c r="O242" i="16" s="1"/>
  <c r="N214" i="16"/>
  <c r="P214" i="16" s="1"/>
  <c r="O214" i="16" s="1"/>
  <c r="N289" i="16"/>
  <c r="P289" i="16" s="1"/>
  <c r="O289" i="16" s="1"/>
  <c r="N162" i="16"/>
  <c r="P162" i="16" s="1"/>
  <c r="O162" i="16" s="1"/>
  <c r="N241" i="16"/>
  <c r="P241" i="16" s="1"/>
  <c r="O241" i="16" s="1"/>
  <c r="N327" i="16"/>
  <c r="P327" i="16" s="1"/>
  <c r="O327" i="16" s="1"/>
  <c r="N238" i="16"/>
  <c r="P238" i="16" s="1"/>
  <c r="O238" i="16" s="1"/>
  <c r="N204" i="16"/>
  <c r="P204" i="16" s="1"/>
  <c r="O204" i="16" s="1"/>
  <c r="N40" i="16"/>
  <c r="P40" i="16" s="1"/>
  <c r="O40" i="16" s="1"/>
  <c r="N277" i="16"/>
  <c r="P277" i="16" s="1"/>
  <c r="O277" i="16" s="1"/>
  <c r="N247" i="16"/>
  <c r="P247" i="16" s="1"/>
  <c r="O247" i="16" s="1"/>
  <c r="N53" i="16"/>
  <c r="P53" i="16" s="1"/>
  <c r="O53" i="16" s="1"/>
  <c r="N328" i="16"/>
  <c r="P328" i="16" s="1"/>
  <c r="O328" i="16" s="1"/>
  <c r="N6" i="16"/>
  <c r="P6" i="16" s="1"/>
  <c r="O6" i="16" s="1"/>
  <c r="N120" i="16"/>
  <c r="P120" i="16" s="1"/>
  <c r="O120" i="16" s="1"/>
  <c r="N22" i="16"/>
  <c r="P22" i="16" s="1"/>
  <c r="O22" i="16" s="1"/>
  <c r="N19" i="16"/>
  <c r="P19" i="16" s="1"/>
  <c r="O19" i="16" s="1"/>
  <c r="N15" i="16"/>
  <c r="P15" i="16" s="1"/>
  <c r="O15" i="16" s="1"/>
  <c r="N253" i="16"/>
  <c r="P253" i="16" s="1"/>
  <c r="O253" i="16" s="1"/>
  <c r="N270" i="16"/>
  <c r="P270" i="16" s="1"/>
  <c r="O270" i="16" s="1"/>
  <c r="N216" i="16"/>
  <c r="P216" i="16" s="1"/>
  <c r="O216" i="16" s="1"/>
  <c r="N236" i="16"/>
  <c r="P236" i="16" s="1"/>
  <c r="O236" i="16" s="1"/>
  <c r="N25" i="16"/>
  <c r="P25" i="16" s="1"/>
  <c r="O25" i="16" s="1"/>
  <c r="N104" i="16"/>
  <c r="P104" i="16" s="1"/>
  <c r="O104" i="16" s="1"/>
  <c r="N338" i="16"/>
  <c r="P338" i="16" s="1"/>
  <c r="O338" i="16" s="1"/>
  <c r="N188" i="16"/>
  <c r="P188" i="16" s="1"/>
  <c r="O188" i="16" s="1"/>
  <c r="N52" i="16"/>
  <c r="P52" i="16" s="1"/>
  <c r="O52" i="16" s="1"/>
  <c r="N91" i="16"/>
  <c r="P91" i="16" s="1"/>
  <c r="O91" i="16" s="1"/>
  <c r="N7" i="16"/>
  <c r="P7" i="16" s="1"/>
  <c r="O7" i="16" s="1"/>
  <c r="N235" i="16"/>
  <c r="P235" i="16" s="1"/>
  <c r="O235" i="16" s="1"/>
  <c r="N280" i="16"/>
  <c r="P280" i="16" s="1"/>
  <c r="O280" i="16" s="1"/>
  <c r="N123" i="16"/>
  <c r="P123" i="16" s="1"/>
  <c r="O123" i="16" s="1"/>
  <c r="N207" i="16"/>
  <c r="P207" i="16" s="1"/>
  <c r="O207" i="16" s="1"/>
  <c r="N76" i="16"/>
  <c r="P76" i="16" s="1"/>
  <c r="O76" i="16" s="1"/>
  <c r="N288" i="16"/>
  <c r="P288" i="16" s="1"/>
  <c r="O288" i="16" s="1"/>
  <c r="N27" i="16"/>
  <c r="P27" i="16" s="1"/>
  <c r="O27" i="16" s="1"/>
  <c r="N136" i="16"/>
  <c r="P136" i="16" s="1"/>
  <c r="O136" i="16" s="1"/>
  <c r="N113" i="16"/>
  <c r="P113" i="16" s="1"/>
  <c r="O113" i="16" s="1"/>
  <c r="N309" i="16"/>
  <c r="P309" i="16" s="1"/>
  <c r="O309" i="16" s="1"/>
  <c r="N246" i="16"/>
  <c r="P246" i="16" s="1"/>
  <c r="O246" i="16" s="1"/>
  <c r="N114" i="16"/>
  <c r="P114" i="16" s="1"/>
  <c r="O114" i="16" s="1"/>
  <c r="N147" i="16"/>
  <c r="P147" i="16" s="1"/>
  <c r="O147" i="16" s="1"/>
  <c r="N31" i="16"/>
  <c r="P31" i="16" s="1"/>
  <c r="O31" i="16" s="1"/>
  <c r="N282" i="16"/>
  <c r="P282" i="16" s="1"/>
  <c r="O282" i="16" s="1"/>
  <c r="N33" i="16"/>
  <c r="P33" i="16" s="1"/>
  <c r="O33" i="16" s="1"/>
  <c r="N119" i="16"/>
  <c r="P119" i="16" s="1"/>
  <c r="O119" i="16" s="1"/>
  <c r="N46" i="16"/>
  <c r="P46" i="16" s="1"/>
  <c r="O46" i="16" s="1"/>
  <c r="N58" i="16"/>
  <c r="P58" i="16" s="1"/>
  <c r="O58" i="16" s="1"/>
  <c r="N97" i="16"/>
  <c r="P97" i="16" s="1"/>
  <c r="O97" i="16" s="1"/>
  <c r="N278" i="16"/>
  <c r="P278" i="16" s="1"/>
  <c r="O278" i="16" s="1"/>
  <c r="N59" i="16"/>
  <c r="P59" i="16" s="1"/>
  <c r="O59" i="16" s="1"/>
  <c r="N47" i="16"/>
  <c r="P47" i="16" s="1"/>
  <c r="O47" i="16" s="1"/>
  <c r="N203" i="16"/>
  <c r="P203" i="16" s="1"/>
  <c r="O203" i="16" s="1"/>
  <c r="N286" i="16"/>
  <c r="P286" i="16" s="1"/>
  <c r="O286" i="16" s="1"/>
  <c r="N240" i="16"/>
  <c r="P240" i="16" s="1"/>
  <c r="O240" i="16" s="1"/>
  <c r="N8" i="16"/>
  <c r="P8" i="16" s="1"/>
  <c r="O8" i="16" s="1"/>
  <c r="N45" i="16"/>
  <c r="P45" i="16" s="1"/>
  <c r="O45" i="16" s="1"/>
  <c r="N255" i="16"/>
  <c r="P255" i="16" s="1"/>
  <c r="O255" i="16" s="1"/>
  <c r="N196" i="16"/>
  <c r="P196" i="16" s="1"/>
  <c r="O196" i="16" s="1"/>
  <c r="N272" i="16"/>
  <c r="P272" i="16" s="1"/>
  <c r="O272" i="16" s="1"/>
  <c r="N190" i="16"/>
  <c r="P190" i="16" s="1"/>
  <c r="O190" i="16" s="1"/>
  <c r="N259" i="16"/>
  <c r="P259" i="16" s="1"/>
  <c r="O259" i="16" s="1"/>
  <c r="N106" i="16"/>
  <c r="P106" i="16" s="1"/>
  <c r="O106" i="16" s="1"/>
  <c r="N189" i="16"/>
  <c r="P189" i="16" s="1"/>
  <c r="O189" i="16" s="1"/>
  <c r="N211" i="16"/>
  <c r="P211" i="16" s="1"/>
  <c r="O211" i="16" s="1"/>
  <c r="N10" i="16"/>
  <c r="P10" i="16" s="1"/>
  <c r="O10" i="16" s="1"/>
  <c r="N252" i="16"/>
  <c r="P252" i="16" s="1"/>
  <c r="O252" i="16" s="1"/>
  <c r="N251" i="16"/>
  <c r="P251" i="16" s="1"/>
  <c r="O251" i="16" s="1"/>
  <c r="N29" i="16"/>
  <c r="P29" i="16" s="1"/>
  <c r="O29" i="16" s="1"/>
  <c r="N340" i="16"/>
  <c r="P340" i="16" s="1"/>
  <c r="O340" i="16" s="1"/>
  <c r="N187" i="16"/>
  <c r="P187" i="16" s="1"/>
  <c r="O187" i="16" s="1"/>
  <c r="N178" i="16"/>
  <c r="P178" i="16" s="1"/>
  <c r="O178" i="16" s="1"/>
  <c r="N148" i="16"/>
  <c r="P148" i="16" s="1"/>
  <c r="O148" i="16" s="1"/>
  <c r="N36" i="16"/>
  <c r="P36" i="16" s="1"/>
  <c r="O36" i="16" s="1"/>
  <c r="N262" i="16"/>
  <c r="P262" i="16" s="1"/>
  <c r="O262" i="16" s="1"/>
  <c r="N165" i="16"/>
  <c r="P165" i="16" s="1"/>
  <c r="O165" i="16" s="1"/>
  <c r="N90" i="16"/>
  <c r="P90" i="16" s="1"/>
  <c r="O90" i="16" s="1"/>
  <c r="N75" i="16"/>
  <c r="P75" i="16" s="1"/>
  <c r="O75" i="16" s="1"/>
  <c r="N168" i="16"/>
  <c r="P168" i="16" s="1"/>
  <c r="O168" i="16" s="1"/>
  <c r="N166" i="16"/>
  <c r="P166" i="16" s="1"/>
  <c r="O166" i="16" s="1"/>
  <c r="N332" i="16"/>
  <c r="P332" i="16" s="1"/>
  <c r="O332" i="16" s="1"/>
  <c r="N320" i="16"/>
  <c r="P320" i="16" s="1"/>
  <c r="O320" i="16" s="1"/>
  <c r="N285" i="16"/>
  <c r="P285" i="16" s="1"/>
  <c r="O285" i="16" s="1"/>
  <c r="N161" i="16"/>
  <c r="P161" i="16" s="1"/>
  <c r="O161" i="16" s="1"/>
  <c r="N221" i="16"/>
  <c r="P221" i="16" s="1"/>
  <c r="O221" i="16" s="1"/>
  <c r="N30" i="16"/>
  <c r="P30" i="16" s="1"/>
  <c r="O30" i="16" s="1"/>
  <c r="N115" i="16"/>
  <c r="P115" i="16" s="1"/>
  <c r="O115" i="16" s="1"/>
  <c r="N267" i="16"/>
  <c r="P267" i="16" s="1"/>
  <c r="O267" i="16" s="1"/>
  <c r="N291" i="16"/>
  <c r="P291" i="16" s="1"/>
  <c r="O291" i="16" s="1"/>
  <c r="N174" i="16"/>
  <c r="P174" i="16" s="1"/>
  <c r="O174" i="16" s="1"/>
  <c r="N260" i="16"/>
  <c r="P260" i="16" s="1"/>
  <c r="O260" i="16" s="1"/>
  <c r="N334" i="16"/>
  <c r="P334" i="16" s="1"/>
  <c r="O334" i="16" s="1"/>
  <c r="N42" i="16"/>
  <c r="P42" i="16" s="1"/>
  <c r="O42" i="16" s="1"/>
  <c r="N299" i="16"/>
  <c r="P299" i="16" s="1"/>
  <c r="O299" i="16" s="1"/>
  <c r="N54" i="16"/>
  <c r="P54" i="16" s="1"/>
  <c r="O54" i="16" s="1"/>
  <c r="N306" i="16"/>
  <c r="P306" i="16" s="1"/>
  <c r="O306" i="16" s="1"/>
  <c r="N127" i="16"/>
  <c r="P127" i="16" s="1"/>
  <c r="O127" i="16" s="1"/>
  <c r="N171" i="16"/>
  <c r="P171" i="16" s="1"/>
  <c r="O171" i="16" s="1"/>
  <c r="N337" i="16"/>
  <c r="P337" i="16" s="1"/>
  <c r="O337" i="16" s="1"/>
  <c r="N72" i="16"/>
  <c r="P72" i="16" s="1"/>
  <c r="O72" i="16" s="1"/>
  <c r="N86" i="16"/>
  <c r="P86" i="16" s="1"/>
  <c r="O86" i="16" s="1"/>
  <c r="N142" i="16"/>
  <c r="P142" i="16" s="1"/>
  <c r="O142" i="16" s="1"/>
  <c r="N124" i="16"/>
  <c r="P124" i="16" s="1"/>
  <c r="O124" i="16" s="1"/>
  <c r="N223" i="16"/>
  <c r="P223" i="16" s="1"/>
  <c r="O223" i="16" s="1"/>
  <c r="N217" i="16"/>
  <c r="P217" i="16" s="1"/>
  <c r="O217" i="16" s="1"/>
  <c r="N316" i="16"/>
  <c r="P316" i="16" s="1"/>
  <c r="O316" i="16" s="1"/>
  <c r="N292" i="16"/>
  <c r="P292" i="16" s="1"/>
  <c r="O292" i="16" s="1"/>
  <c r="N82" i="16"/>
  <c r="P82" i="16" s="1"/>
  <c r="O82" i="16" s="1"/>
  <c r="N318" i="16"/>
  <c r="P318" i="16" s="1"/>
  <c r="O318" i="16" s="1"/>
  <c r="N121" i="16"/>
  <c r="P121" i="16" s="1"/>
  <c r="O121" i="16" s="1"/>
  <c r="N192" i="16"/>
  <c r="P192" i="16" s="1"/>
  <c r="O192" i="16" s="1"/>
  <c r="N209" i="16"/>
  <c r="P209" i="16" s="1"/>
  <c r="O209" i="16" s="1"/>
  <c r="N98" i="16"/>
  <c r="P98" i="16" s="1"/>
  <c r="O98" i="16" s="1"/>
  <c r="N83" i="16"/>
  <c r="P83" i="16" s="1"/>
  <c r="O83" i="16" s="1"/>
  <c r="N109" i="16"/>
  <c r="P109" i="16" s="1"/>
  <c r="O109" i="16" s="1"/>
  <c r="N185" i="16"/>
  <c r="P185" i="16" s="1"/>
  <c r="O185" i="16" s="1"/>
  <c r="N112" i="16"/>
  <c r="P112" i="16" s="1"/>
  <c r="O112" i="16" s="1"/>
  <c r="N172" i="16"/>
  <c r="P172" i="16" s="1"/>
  <c r="O172" i="16" s="1"/>
  <c r="N122" i="16"/>
  <c r="P122" i="16" s="1"/>
  <c r="O122" i="16" s="1"/>
  <c r="N37" i="16"/>
  <c r="P37" i="16" s="1"/>
  <c r="O37" i="16" s="1"/>
  <c r="N323" i="16"/>
  <c r="P323" i="16" s="1"/>
  <c r="O323" i="16" s="1"/>
  <c r="N99" i="16"/>
  <c r="P99" i="16" s="1"/>
  <c r="O99" i="16" s="1"/>
  <c r="N64" i="16"/>
  <c r="P64" i="16" s="1"/>
  <c r="O64" i="16" s="1"/>
  <c r="N265" i="16"/>
  <c r="P265" i="16" s="1"/>
  <c r="O265" i="16" s="1"/>
  <c r="N181" i="16"/>
  <c r="P181" i="16" s="1"/>
  <c r="O181" i="16" s="1"/>
  <c r="N232" i="16"/>
  <c r="P232" i="16" s="1"/>
  <c r="O232" i="16" s="1"/>
  <c r="N153" i="16"/>
  <c r="P153" i="16" s="1"/>
  <c r="O153" i="16" s="1"/>
  <c r="N298" i="16"/>
  <c r="P298" i="16" s="1"/>
  <c r="O298" i="16" s="1"/>
  <c r="N302" i="16"/>
  <c r="P302" i="16" s="1"/>
  <c r="O302" i="16" s="1"/>
  <c r="N69" i="16"/>
  <c r="P69" i="16" s="1"/>
  <c r="O69" i="16" s="1"/>
  <c r="N294" i="16"/>
  <c r="P294" i="16" s="1"/>
  <c r="O294" i="16" s="1"/>
  <c r="N73" i="16"/>
  <c r="P73" i="16" s="1"/>
  <c r="O73" i="16" s="1"/>
  <c r="N343" i="16"/>
  <c r="P343" i="16" s="1"/>
  <c r="O343" i="16" s="1"/>
  <c r="L345" i="16"/>
  <c r="N149" i="16"/>
  <c r="P149" i="16" s="1"/>
  <c r="O149" i="16" s="1"/>
  <c r="N11" i="16"/>
  <c r="P11" i="16" s="1"/>
  <c r="O11" i="16" s="1"/>
  <c r="N266" i="16"/>
  <c r="P266" i="16" s="1"/>
  <c r="O266" i="16" s="1"/>
  <c r="N131" i="16"/>
  <c r="P131" i="16" s="1"/>
  <c r="O131" i="16" s="1"/>
  <c r="N43" i="16"/>
  <c r="P43" i="16" s="1"/>
  <c r="O43" i="16" s="1"/>
  <c r="N62" i="16"/>
  <c r="P62" i="16" s="1"/>
  <c r="O62" i="16" s="1"/>
  <c r="N314" i="16"/>
  <c r="P314" i="16" s="1"/>
  <c r="O314" i="16" s="1"/>
  <c r="N128" i="16"/>
  <c r="P128" i="16" s="1"/>
  <c r="O128" i="16" s="1"/>
  <c r="D39" i="12"/>
  <c r="N304" i="16"/>
  <c r="P304" i="16" s="1"/>
  <c r="O304" i="16" s="1"/>
  <c r="N87" i="16"/>
  <c r="P87" i="16" s="1"/>
  <c r="O87" i="16" s="1"/>
  <c r="N325" i="16"/>
  <c r="P325" i="16" s="1"/>
  <c r="O325" i="16" s="1"/>
  <c r="N49" i="16"/>
  <c r="P49" i="16" s="1"/>
  <c r="O49" i="16" s="1"/>
  <c r="N290" i="16"/>
  <c r="P290" i="16" s="1"/>
  <c r="O290" i="16" s="1"/>
  <c r="N234" i="16"/>
  <c r="P234" i="16" s="1"/>
  <c r="O234" i="16" s="1"/>
  <c r="N310" i="16"/>
  <c r="P310" i="16" s="1"/>
  <c r="O310" i="16" s="1"/>
  <c r="N23" i="16"/>
  <c r="P23" i="16" s="1"/>
  <c r="O23" i="16" s="1"/>
  <c r="N14" i="16"/>
  <c r="P14" i="16" s="1"/>
  <c r="O14" i="16" s="1"/>
  <c r="N134" i="16"/>
  <c r="P134" i="16" s="1"/>
  <c r="O134" i="16" s="1"/>
  <c r="N135" i="16"/>
  <c r="P135" i="16" s="1"/>
  <c r="O135" i="16" s="1"/>
  <c r="N17" i="16"/>
  <c r="P17" i="16" s="1"/>
  <c r="O17" i="16" s="1"/>
  <c r="N248" i="16"/>
  <c r="P248" i="16" s="1"/>
  <c r="O248" i="16" s="1"/>
  <c r="N60" i="16"/>
  <c r="P60" i="16" s="1"/>
  <c r="O60" i="16" s="1"/>
  <c r="N103" i="16"/>
  <c r="P103" i="16" s="1"/>
  <c r="O103" i="16" s="1"/>
  <c r="N249" i="16"/>
  <c r="P249" i="16" s="1"/>
  <c r="O249" i="16" s="1"/>
  <c r="N264" i="16"/>
  <c r="P264" i="16" s="1"/>
  <c r="O264" i="16" s="1"/>
  <c r="N227" i="16"/>
  <c r="P227" i="16" s="1"/>
  <c r="O227" i="16" s="1"/>
  <c r="N274" i="16"/>
  <c r="P274" i="16" s="1"/>
  <c r="O274" i="16" s="1"/>
  <c r="N141" i="16"/>
  <c r="P141" i="16" s="1"/>
  <c r="O141" i="16" s="1"/>
  <c r="N158" i="16"/>
  <c r="P158" i="16" s="1"/>
  <c r="O158" i="16" s="1"/>
  <c r="N271" i="16"/>
  <c r="P271" i="16" s="1"/>
  <c r="O271" i="16" s="1"/>
  <c r="N133" i="16"/>
  <c r="P133" i="16" s="1"/>
  <c r="O133" i="16" s="1"/>
  <c r="N213" i="16"/>
  <c r="P213" i="16" s="1"/>
  <c r="O213" i="16" s="1"/>
  <c r="N173" i="16"/>
  <c r="P173" i="16" s="1"/>
  <c r="O173" i="16" s="1"/>
  <c r="N144" i="16"/>
  <c r="P144" i="16" s="1"/>
  <c r="O144" i="16" s="1"/>
  <c r="N79" i="16"/>
  <c r="P79" i="16" s="1"/>
  <c r="O79" i="16" s="1"/>
  <c r="N139" i="16"/>
  <c r="P139" i="16" s="1"/>
  <c r="O139" i="16" s="1"/>
  <c r="N70" i="16"/>
  <c r="P70" i="16" s="1"/>
  <c r="O70" i="16" s="1"/>
  <c r="N132" i="16"/>
  <c r="P132" i="16" s="1"/>
  <c r="O132" i="16" s="1"/>
  <c r="N284" i="16"/>
  <c r="P284" i="16" s="1"/>
  <c r="O284" i="16" s="1"/>
  <c r="N307" i="16"/>
  <c r="P307" i="16" s="1"/>
  <c r="O307" i="16" s="1"/>
  <c r="N331" i="16"/>
  <c r="P331" i="16" s="1"/>
  <c r="O331" i="16" s="1"/>
  <c r="N199" i="16"/>
  <c r="P199" i="16" s="1"/>
  <c r="O199" i="16" s="1"/>
  <c r="N184" i="16"/>
  <c r="P184" i="16" s="1"/>
  <c r="O184" i="16" s="1"/>
  <c r="N319" i="16"/>
  <c r="P319" i="16" s="1"/>
  <c r="O319" i="16" s="1"/>
  <c r="N137" i="16"/>
  <c r="P137" i="16" s="1"/>
  <c r="O137" i="16" s="1"/>
  <c r="N105" i="16"/>
  <c r="P105" i="16" s="1"/>
  <c r="O105" i="16" s="1"/>
  <c r="N281" i="16"/>
  <c r="P281" i="16" s="1"/>
  <c r="O281" i="16" s="1"/>
  <c r="N317" i="16"/>
  <c r="P317" i="16" s="1"/>
  <c r="O317" i="16" s="1"/>
  <c r="N205" i="16"/>
  <c r="P205" i="16" s="1"/>
  <c r="O205" i="16" s="1"/>
  <c r="N175" i="16"/>
  <c r="P175" i="16" s="1"/>
  <c r="O175" i="16" s="1"/>
  <c r="N55" i="16"/>
  <c r="P55" i="16" s="1"/>
  <c r="O55" i="16" s="1"/>
  <c r="N195" i="16"/>
  <c r="P195" i="16" s="1"/>
  <c r="O195" i="16" s="1"/>
  <c r="N231" i="16"/>
  <c r="P231" i="16" s="1"/>
  <c r="O231" i="16" s="1"/>
  <c r="N130" i="16"/>
  <c r="P130" i="16" s="1"/>
  <c r="O130" i="16" s="1"/>
  <c r="N155" i="16"/>
  <c r="P155" i="16" s="1"/>
  <c r="O155" i="16" s="1"/>
  <c r="N245" i="16"/>
  <c r="P245" i="16" s="1"/>
  <c r="O245" i="16" s="1"/>
  <c r="N34" i="16"/>
  <c r="P34" i="16" s="1"/>
  <c r="O34" i="16" s="1"/>
  <c r="N38" i="16"/>
  <c r="P38" i="16" s="1"/>
  <c r="O38" i="16" s="1"/>
  <c r="N100" i="16"/>
  <c r="P100" i="16" s="1"/>
  <c r="O100" i="16" s="1"/>
  <c r="N56" i="16"/>
  <c r="P56" i="16" s="1"/>
  <c r="O56" i="16" s="1"/>
  <c r="N198" i="16"/>
  <c r="P198" i="16" s="1"/>
  <c r="O198" i="16" s="1"/>
  <c r="N250" i="16"/>
  <c r="P250" i="16" s="1"/>
  <c r="O250" i="16" s="1"/>
  <c r="N129" i="16"/>
  <c r="P129" i="16" s="1"/>
  <c r="O129" i="16" s="1"/>
  <c r="N116" i="16"/>
  <c r="P116" i="16" s="1"/>
  <c r="O116" i="16" s="1"/>
  <c r="N254" i="16"/>
  <c r="P254" i="16" s="1"/>
  <c r="O254" i="16" s="1"/>
  <c r="N202" i="16"/>
  <c r="P202" i="16" s="1"/>
  <c r="O202" i="16" s="1"/>
  <c r="N20" i="16"/>
  <c r="P20" i="16" s="1"/>
  <c r="O20" i="16" s="1"/>
  <c r="N160" i="16"/>
  <c r="P160" i="16" s="1"/>
  <c r="O160" i="16" s="1"/>
  <c r="N110" i="16"/>
  <c r="P110" i="16" s="1"/>
  <c r="O110" i="16" s="1"/>
  <c r="N140" i="16"/>
  <c r="P140" i="16" s="1"/>
  <c r="O140" i="16" s="1"/>
  <c r="N222" i="16"/>
  <c r="P222" i="16" s="1"/>
  <c r="O222" i="16" s="1"/>
  <c r="N118" i="16"/>
  <c r="P118" i="16" s="1"/>
  <c r="O118" i="16" s="1"/>
  <c r="N339" i="16"/>
  <c r="P339" i="16" s="1"/>
  <c r="O339" i="16" s="1"/>
  <c r="P4" i="16" l="1"/>
  <c r="N345" i="16"/>
  <c r="O4" i="16" l="1"/>
  <c r="O345" i="16" s="1"/>
  <c r="P345" i="16"/>
  <c r="P347" i="16" s="1"/>
</calcChain>
</file>

<file path=xl/sharedStrings.xml><?xml version="1.0" encoding="utf-8"?>
<sst xmlns="http://schemas.openxmlformats.org/spreadsheetml/2006/main" count="7156" uniqueCount="1390">
  <si>
    <t>Total</t>
  </si>
  <si>
    <t>Saldo Awal</t>
  </si>
  <si>
    <t>NAMA KARYAWAN</t>
  </si>
  <si>
    <t>SALDO</t>
  </si>
  <si>
    <t>ANGSURAN</t>
  </si>
  <si>
    <t>JAN</t>
  </si>
  <si>
    <t>FEB</t>
  </si>
  <si>
    <t>MAR</t>
  </si>
  <si>
    <t>APR</t>
  </si>
  <si>
    <t>MEI</t>
  </si>
  <si>
    <t>JUN</t>
  </si>
  <si>
    <t>JUL</t>
  </si>
  <si>
    <t>AGT</t>
  </si>
  <si>
    <t>SEP</t>
  </si>
  <si>
    <t>OKT</t>
  </si>
  <si>
    <t>NOV</t>
  </si>
  <si>
    <t>DES</t>
  </si>
  <si>
    <t>TOTAL</t>
  </si>
  <si>
    <t xml:space="preserve">N E R A C A </t>
  </si>
  <si>
    <t>Nama  Perkiraan</t>
  </si>
  <si>
    <t>AKTIVA  LANCAR</t>
  </si>
  <si>
    <t>HUTANG  LANCAR</t>
  </si>
  <si>
    <t>Kas &amp; Bank</t>
  </si>
  <si>
    <t>Hutang Lain-lain</t>
  </si>
  <si>
    <t xml:space="preserve">Total </t>
  </si>
  <si>
    <t>AKTIVA  TETAP</t>
  </si>
  <si>
    <t>MODAL</t>
  </si>
  <si>
    <t>Nilai Perolehan</t>
  </si>
  <si>
    <t>Akumulasi Penyusutan</t>
  </si>
  <si>
    <t>AKTIVA  LAINNYA</t>
  </si>
  <si>
    <t>Pekerjaan dlm Proses</t>
  </si>
  <si>
    <t>Grand Total</t>
  </si>
  <si>
    <t>Piutang Anggota</t>
  </si>
  <si>
    <t>Modal Awal</t>
  </si>
  <si>
    <t>SHU yang dibagikan</t>
  </si>
  <si>
    <t>Laba/(Rugi) Periode Berjalan</t>
  </si>
  <si>
    <t>D</t>
  </si>
  <si>
    <t>K</t>
  </si>
  <si>
    <t>Tanggal</t>
  </si>
  <si>
    <t>Modal</t>
  </si>
  <si>
    <t>Keterangan</t>
  </si>
  <si>
    <t>Simpanan Karyawan</t>
  </si>
  <si>
    <t>Pendapatan Lain-lain</t>
  </si>
  <si>
    <t>Laba / Rugi</t>
  </si>
  <si>
    <t>Total Pendapatan</t>
  </si>
  <si>
    <t>Pendapatan</t>
  </si>
  <si>
    <t>Beban</t>
  </si>
  <si>
    <t>Beban Lain-lain</t>
  </si>
  <si>
    <t>Kode Akun</t>
  </si>
  <si>
    <t>No. Ref</t>
  </si>
  <si>
    <t>Debit</t>
  </si>
  <si>
    <t>Kredit</t>
  </si>
  <si>
    <t>D/K</t>
  </si>
  <si>
    <t>Harta</t>
  </si>
  <si>
    <t>Utang</t>
  </si>
  <si>
    <t>Beban Pengurus dan Anggota</t>
  </si>
  <si>
    <t>Bunga</t>
  </si>
  <si>
    <t>BUNGA</t>
  </si>
  <si>
    <t>Pokok</t>
  </si>
  <si>
    <t>KOPERASI KARYAWAN</t>
  </si>
  <si>
    <t>Pengurus</t>
  </si>
  <si>
    <t>Saldo Akhir</t>
  </si>
  <si>
    <t>2010 - 2011</t>
  </si>
  <si>
    <t>Laba Ditahan</t>
  </si>
  <si>
    <t>Deviden</t>
  </si>
  <si>
    <t>Jasa</t>
  </si>
  <si>
    <t>Dana Sosial</t>
  </si>
  <si>
    <t>Laba</t>
  </si>
  <si>
    <t>Dibuat Oleh,</t>
  </si>
  <si>
    <t>Diketahui Oleh,</t>
  </si>
  <si>
    <t>Tabel Persentase SHU</t>
  </si>
  <si>
    <t>N E R A C A  S A L D O</t>
  </si>
  <si>
    <t>Nama</t>
  </si>
  <si>
    <t>A</t>
  </si>
  <si>
    <t>B</t>
  </si>
  <si>
    <t>C</t>
  </si>
  <si>
    <t>AEROSPACE</t>
  </si>
  <si>
    <t>Bank</t>
  </si>
  <si>
    <t>Kas</t>
  </si>
  <si>
    <t>Piutang Jasa</t>
  </si>
  <si>
    <t>Piutang Toko</t>
  </si>
  <si>
    <t>Piutang USP</t>
  </si>
  <si>
    <t>Pendapatan Toko</t>
  </si>
  <si>
    <t>Pendapatan Jasa Pinjaman</t>
  </si>
  <si>
    <t>Pendapatan Jasa Bank</t>
  </si>
  <si>
    <t>Beban Jasa</t>
  </si>
  <si>
    <t>Beban Gaji</t>
  </si>
  <si>
    <t>Beban ATK</t>
  </si>
  <si>
    <t>Beban Transport</t>
  </si>
  <si>
    <t>Beban Training</t>
  </si>
  <si>
    <t>Beban Legal</t>
  </si>
  <si>
    <t>Beban Perlengkapan</t>
  </si>
  <si>
    <t>Beban Biaya Bank</t>
  </si>
  <si>
    <t>Total Beban</t>
  </si>
  <si>
    <t>PPH</t>
  </si>
  <si>
    <t>BY ADMINISTRASI</t>
  </si>
  <si>
    <t>Total Simpanan</t>
  </si>
  <si>
    <t>Tabel Simpanan</t>
  </si>
  <si>
    <t>Inventory</t>
  </si>
  <si>
    <t>Beban Pokok Penjualan</t>
  </si>
  <si>
    <t>Toko :</t>
  </si>
  <si>
    <t>Barang</t>
  </si>
  <si>
    <t>Uang Modal</t>
  </si>
  <si>
    <t>Uang Laba</t>
  </si>
  <si>
    <t>Piutang Unit Simpan Pinjam</t>
  </si>
  <si>
    <t>Piutang Unit Toko</t>
  </si>
  <si>
    <t>Persediaan Barang Dagangan</t>
  </si>
  <si>
    <t>Hutang SHU</t>
  </si>
  <si>
    <t>Harga Pokok Penjualan</t>
  </si>
  <si>
    <t>Laba Kotor Toko</t>
  </si>
  <si>
    <t>Candra Warsita</t>
  </si>
  <si>
    <t>TAHUN 2020</t>
  </si>
  <si>
    <t>No.Kontrak</t>
  </si>
  <si>
    <t>Dana Pendidikan</t>
  </si>
  <si>
    <t>Dana Pembangunan</t>
  </si>
  <si>
    <t>Piutang Collins</t>
  </si>
  <si>
    <t>Hutang SPN</t>
  </si>
  <si>
    <t>SHU Pengurus</t>
  </si>
  <si>
    <t>Piutang USP didistribusikan ke Karyawan</t>
  </si>
  <si>
    <t>Untuk mencatat uang USP yang didistribusikan ke Karyawan</t>
  </si>
  <si>
    <t>Reclass Pendapatan Jasa</t>
  </si>
  <si>
    <t>Untuk mencatat pendapatan jasa diterima dari cicilan</t>
  </si>
  <si>
    <t xml:space="preserve">No </t>
  </si>
  <si>
    <t>No Anggota</t>
  </si>
  <si>
    <t>NPP</t>
  </si>
  <si>
    <t>Nama Anggota</t>
  </si>
  <si>
    <t>KKAB0001</t>
  </si>
  <si>
    <t>ARI SAEPUDIN</t>
  </si>
  <si>
    <t>KKAB0002</t>
  </si>
  <si>
    <t>UDAN HERNAWAN</t>
  </si>
  <si>
    <t>KKAB0003</t>
  </si>
  <si>
    <t>EGY HERYANTO</t>
  </si>
  <si>
    <t>KKAB0004</t>
  </si>
  <si>
    <t>BUDI SEPTIYADI</t>
  </si>
  <si>
    <t>KKAB0005</t>
  </si>
  <si>
    <t>ADE ASMI TRIYOSO</t>
  </si>
  <si>
    <t>KKAB0009</t>
  </si>
  <si>
    <t>CANDRA WARSITA</t>
  </si>
  <si>
    <t>KKAB0011</t>
  </si>
  <si>
    <t>34000203</t>
  </si>
  <si>
    <t>BONNY ARIES</t>
  </si>
  <si>
    <t>KKAB0012</t>
  </si>
  <si>
    <t>CEPI SETIAWAN</t>
  </si>
  <si>
    <t>KKAB0014</t>
  </si>
  <si>
    <t>34000511</t>
  </si>
  <si>
    <t>RUSMANA</t>
  </si>
  <si>
    <t>KKAB0015</t>
  </si>
  <si>
    <t>YAYA CAHRIA</t>
  </si>
  <si>
    <t>KKAB0016</t>
  </si>
  <si>
    <t>MOCH RIZAL BAHRI</t>
  </si>
  <si>
    <t>KKAB0017</t>
  </si>
  <si>
    <t>AGUS CAHYA SURATMAN</t>
  </si>
  <si>
    <t>KKAB0018</t>
  </si>
  <si>
    <t>AHMAD YADI</t>
  </si>
  <si>
    <t>KKAB0022</t>
  </si>
  <si>
    <t>IMAM NURZAMAN</t>
  </si>
  <si>
    <t>KKAB0023</t>
  </si>
  <si>
    <t>KKAB0024</t>
  </si>
  <si>
    <t>YUS YUSUP</t>
  </si>
  <si>
    <t>KKAB0025</t>
  </si>
  <si>
    <t>GALIH PRASETYO</t>
  </si>
  <si>
    <t>KKAB0026</t>
  </si>
  <si>
    <t>JULI AGUS SETIAWAN</t>
  </si>
  <si>
    <t>KKAB0028</t>
  </si>
  <si>
    <t>UTANG SUMARNA</t>
  </si>
  <si>
    <t>KKAB0029</t>
  </si>
  <si>
    <t>IRAWAN JUMYATI</t>
  </si>
  <si>
    <t>KKAB0030</t>
  </si>
  <si>
    <t>ASEP IPAN SOPIAN</t>
  </si>
  <si>
    <t>KKAB0032</t>
  </si>
  <si>
    <t>IMAM TAUFIK</t>
  </si>
  <si>
    <t>KKAB0033</t>
  </si>
  <si>
    <t>ARIYANTO</t>
  </si>
  <si>
    <t>KKAB0034</t>
  </si>
  <si>
    <t>RIZKY KUSMAYADI</t>
  </si>
  <si>
    <t>KKAB0035</t>
  </si>
  <si>
    <t>WANDA SETIAWAN</t>
  </si>
  <si>
    <t>KKAB0036</t>
  </si>
  <si>
    <t>SURYADI</t>
  </si>
  <si>
    <t>KKAB0038</t>
  </si>
  <si>
    <t>DEDE JUNAEDI</t>
  </si>
  <si>
    <t>KKAB0041</t>
  </si>
  <si>
    <t>WAWAN HERMAWAN</t>
  </si>
  <si>
    <t>KKAB0042</t>
  </si>
  <si>
    <t>ARI KUNCORO</t>
  </si>
  <si>
    <t>KKAB0043</t>
  </si>
  <si>
    <t>KUSHENDAR</t>
  </si>
  <si>
    <t>KKAB0045</t>
  </si>
  <si>
    <t>AGUS HIDAYAT</t>
  </si>
  <si>
    <t>KKAB0046</t>
  </si>
  <si>
    <t>ACEP TATA TARJAT</t>
  </si>
  <si>
    <t>KKAB0047</t>
  </si>
  <si>
    <t>TARSONO</t>
  </si>
  <si>
    <t>KKAB0048</t>
  </si>
  <si>
    <t>AMIN</t>
  </si>
  <si>
    <t>KKAB0049</t>
  </si>
  <si>
    <t>KRISDIYANA</t>
  </si>
  <si>
    <t>KKAB0050</t>
  </si>
  <si>
    <t>AHMAD AGAM RISNALDI</t>
  </si>
  <si>
    <t>KKAB0051</t>
  </si>
  <si>
    <t>ADI SUHARDI</t>
  </si>
  <si>
    <t>KKAB0053</t>
  </si>
  <si>
    <t>AHMAD ROHENDI</t>
  </si>
  <si>
    <t>KKAB0054</t>
  </si>
  <si>
    <t>ANTON SETIAWAN</t>
  </si>
  <si>
    <t>KKAB0056</t>
  </si>
  <si>
    <t>WAHYU HAKIM DARAJAT</t>
  </si>
  <si>
    <t>KKAB0058</t>
  </si>
  <si>
    <t>MUHAMMAD RIZAL</t>
  </si>
  <si>
    <t>KKAB0060</t>
  </si>
  <si>
    <t>CUCU SUHAENDI</t>
  </si>
  <si>
    <t>KKAB0061</t>
  </si>
  <si>
    <t>AHMAD SODIK</t>
  </si>
  <si>
    <t>KKAB0062</t>
  </si>
  <si>
    <t>RIA NIRMALA</t>
  </si>
  <si>
    <t>KKAB0065</t>
  </si>
  <si>
    <t>PANJI MUCHLIS R</t>
  </si>
  <si>
    <t>KKAB0066</t>
  </si>
  <si>
    <t>HILMAN SANTOSA</t>
  </si>
  <si>
    <t>KKAB0067</t>
  </si>
  <si>
    <t>RAHMAN</t>
  </si>
  <si>
    <t>KKAB0068</t>
  </si>
  <si>
    <t>SUNDARA SANDI</t>
  </si>
  <si>
    <t>KKAB0070</t>
  </si>
  <si>
    <t>TONY RAMANDA</t>
  </si>
  <si>
    <t>KKAB0073</t>
  </si>
  <si>
    <t>M. DIXIE PERMANA</t>
  </si>
  <si>
    <t>KKAB0075</t>
  </si>
  <si>
    <t>RONI IRAWAN</t>
  </si>
  <si>
    <t>KKAB0076</t>
  </si>
  <si>
    <t>HENDRIK TURMIDI HASIM</t>
  </si>
  <si>
    <t>KKAB0079</t>
  </si>
  <si>
    <t>IYEP SUTISNA</t>
  </si>
  <si>
    <t>KKAB0081</t>
  </si>
  <si>
    <t>M RAMDAN PRATAMA</t>
  </si>
  <si>
    <t>KKAB0086</t>
  </si>
  <si>
    <t>REDI NURHADI</t>
  </si>
  <si>
    <t>KKAB0088</t>
  </si>
  <si>
    <t>YUDI WAHYUDIN</t>
  </si>
  <si>
    <t>KKAB0089</t>
  </si>
  <si>
    <t>MARKUWAT</t>
  </si>
  <si>
    <t>KKAB0090</t>
  </si>
  <si>
    <t>YADI CAHYADI</t>
  </si>
  <si>
    <t>KKAB0091</t>
  </si>
  <si>
    <t>ASEP RUHIMAT</t>
  </si>
  <si>
    <t>DADANG KURNIAWAN</t>
  </si>
  <si>
    <t>KKAB0094</t>
  </si>
  <si>
    <t>ASEP SUKMANA</t>
  </si>
  <si>
    <t>KKAB0096</t>
  </si>
  <si>
    <t>TRI OGA NUGRAHA</t>
  </si>
  <si>
    <t>KKAB0097</t>
  </si>
  <si>
    <t>ANDRI SAPUTRA</t>
  </si>
  <si>
    <t>KKAB0098</t>
  </si>
  <si>
    <t>KELIK SUSANTO</t>
  </si>
  <si>
    <t>KKAB0099</t>
  </si>
  <si>
    <t>PIRMAN SUKARMAN</t>
  </si>
  <si>
    <t>KKAB0100</t>
  </si>
  <si>
    <t>EGIET REDITA</t>
  </si>
  <si>
    <t>WAHYU PERMANA</t>
  </si>
  <si>
    <t>KKAB0103</t>
  </si>
  <si>
    <t>IWAN GUNAWAN</t>
  </si>
  <si>
    <t>KKAB0104</t>
  </si>
  <si>
    <t>IWAN SUHARJAT</t>
  </si>
  <si>
    <t>KKAB0106</t>
  </si>
  <si>
    <t>JAMALUDIN ROSIHAN</t>
  </si>
  <si>
    <t>KKAB0107</t>
  </si>
  <si>
    <t>GILANG ASHARI</t>
  </si>
  <si>
    <t>KKAB0109</t>
  </si>
  <si>
    <t>DENI MULYADI RAHMAN</t>
  </si>
  <si>
    <t>KKAB0110</t>
  </si>
  <si>
    <t>CAHYA RAMDANI</t>
  </si>
  <si>
    <t>KKAB0111</t>
  </si>
  <si>
    <t>ASEP SOPYAN</t>
  </si>
  <si>
    <t>KKAB0113</t>
  </si>
  <si>
    <t>MUHAMMAD ROMI</t>
  </si>
  <si>
    <t>KKAB0115</t>
  </si>
  <si>
    <t>MIRPANUDIN</t>
  </si>
  <si>
    <t>KKAB0116</t>
  </si>
  <si>
    <t>DANI MAULANA</t>
  </si>
  <si>
    <t>KKAB0117</t>
  </si>
  <si>
    <t>AGUNG TAQWA JANUAR</t>
  </si>
  <si>
    <t>KKAB0119</t>
  </si>
  <si>
    <t>TARMAN</t>
  </si>
  <si>
    <t>KKAB0120</t>
  </si>
  <si>
    <t>HERI GUNAWAN</t>
  </si>
  <si>
    <t>KKAB0122</t>
  </si>
  <si>
    <t>AJAT SUDRAJAT</t>
  </si>
  <si>
    <t>KKAB0123</t>
  </si>
  <si>
    <t>AHMAD SUPRIYADI</t>
  </si>
  <si>
    <t>KKAB0125</t>
  </si>
  <si>
    <t>GUNAWAN JAYANA</t>
  </si>
  <si>
    <t>KKAB0126</t>
  </si>
  <si>
    <t>IRVAN FEBRIANSYAH</t>
  </si>
  <si>
    <t>KKAB0127</t>
  </si>
  <si>
    <t>INDRA ISKANDAR</t>
  </si>
  <si>
    <t>KKAB0129</t>
  </si>
  <si>
    <t>ANDY KUSUMAYADI</t>
  </si>
  <si>
    <t>KKAB0130</t>
  </si>
  <si>
    <t>PRAMONO</t>
  </si>
  <si>
    <t>KKAB0132</t>
  </si>
  <si>
    <t>ASEP PERMANA</t>
  </si>
  <si>
    <t>KKAB0133</t>
  </si>
  <si>
    <t>DWI AGUS PURNOMO</t>
  </si>
  <si>
    <t>KKAB0136</t>
  </si>
  <si>
    <t>YUDHA RAHMAT A</t>
  </si>
  <si>
    <t>KKAB0137</t>
  </si>
  <si>
    <t>IWAN SETIAWAN</t>
  </si>
  <si>
    <t>KKAB0138</t>
  </si>
  <si>
    <t>IWAN NURCAHYA</t>
  </si>
  <si>
    <t>KKAB0139</t>
  </si>
  <si>
    <t>WAHYU SARIYANTO</t>
  </si>
  <si>
    <t>FACHMI NANDIKA</t>
  </si>
  <si>
    <t>KKAB0143</t>
  </si>
  <si>
    <t>HENDAR HAMZAH</t>
  </si>
  <si>
    <t>KKAB0144</t>
  </si>
  <si>
    <t>FHENDI IBRAHIM</t>
  </si>
  <si>
    <t>KKAB0145</t>
  </si>
  <si>
    <t>IWA KARTIWA</t>
  </si>
  <si>
    <t>AHMAD SUWARNA</t>
  </si>
  <si>
    <t>KKAB0147</t>
  </si>
  <si>
    <t>TATA ROHIMA</t>
  </si>
  <si>
    <t>DENY HERMAWAN</t>
  </si>
  <si>
    <t>KKAB0149</t>
  </si>
  <si>
    <t xml:space="preserve">BUDI DAMHUDI </t>
  </si>
  <si>
    <t>KKAB0150</t>
  </si>
  <si>
    <t>YAYAN SUPRIANTO</t>
  </si>
  <si>
    <t>KKAB0151</t>
  </si>
  <si>
    <t>TETENG SUNANDI</t>
  </si>
  <si>
    <t>CECE CARMAWAN</t>
  </si>
  <si>
    <t>KKAB0153</t>
  </si>
  <si>
    <t>RENGGA PRABA MULYA</t>
  </si>
  <si>
    <t>KKAB0156</t>
  </si>
  <si>
    <t>ENDANG KURNAEDI</t>
  </si>
  <si>
    <t>KKAB0157</t>
  </si>
  <si>
    <t>AHMAD YAYAT HIDAYAT</t>
  </si>
  <si>
    <t>KKAB0158</t>
  </si>
  <si>
    <t>RUBIANTO WICAKSONO</t>
  </si>
  <si>
    <t>KKAB0159</t>
  </si>
  <si>
    <t>TENDO CIPUTRA</t>
  </si>
  <si>
    <t>KKAB0160</t>
  </si>
  <si>
    <t>M. GILANG RAMADHAN</t>
  </si>
  <si>
    <t>KKAB0161</t>
  </si>
  <si>
    <t>34000524</t>
  </si>
  <si>
    <t>HENDRA FIRMANSYAH</t>
  </si>
  <si>
    <t>KKAB0163</t>
  </si>
  <si>
    <t>ADI WARDHAYA</t>
  </si>
  <si>
    <t>KKAB0164</t>
  </si>
  <si>
    <t>SUKADI</t>
  </si>
  <si>
    <t>KKAB0168</t>
  </si>
  <si>
    <t>DENI SUHENDAR</t>
  </si>
  <si>
    <t>KKAB0171</t>
  </si>
  <si>
    <t>GUMILAR MUHAMAD P</t>
  </si>
  <si>
    <t>KKAB0172</t>
  </si>
  <si>
    <t>WAHIDIN</t>
  </si>
  <si>
    <t>KKAB0176</t>
  </si>
  <si>
    <t xml:space="preserve">GANDI  </t>
  </si>
  <si>
    <t>KKAB0177</t>
  </si>
  <si>
    <t>DIAN ENDAH OKTAVIANA</t>
  </si>
  <si>
    <t>KKAB0180</t>
  </si>
  <si>
    <t>NOVI SUSANTI</t>
  </si>
  <si>
    <t>KKAB0181</t>
  </si>
  <si>
    <t>SUGANDI</t>
  </si>
  <si>
    <t>KKAB0182</t>
  </si>
  <si>
    <t>FEBBY GUNAWAN</t>
  </si>
  <si>
    <t>KKAB0183</t>
  </si>
  <si>
    <t>ARI ROSANDI</t>
  </si>
  <si>
    <t>KKAB0184</t>
  </si>
  <si>
    <t>HERDI HERDIANA</t>
  </si>
  <si>
    <t>KKAB0186</t>
  </si>
  <si>
    <t>AGUS MUHARAM</t>
  </si>
  <si>
    <t>KKAB0187</t>
  </si>
  <si>
    <t>RAMA ANGGA K</t>
  </si>
  <si>
    <t>KKAB0188</t>
  </si>
  <si>
    <t>AMLA DWI APRILIANTO</t>
  </si>
  <si>
    <t>KKAB0189</t>
  </si>
  <si>
    <t>MUHAMMAD RIDWAN</t>
  </si>
  <si>
    <t>KKAB0191</t>
  </si>
  <si>
    <t>ACHMAD SOBARI</t>
  </si>
  <si>
    <t>KKAB0192</t>
  </si>
  <si>
    <t>ZAINUDIN</t>
  </si>
  <si>
    <t>KKAB0193</t>
  </si>
  <si>
    <t>RIO YULIAWAN</t>
  </si>
  <si>
    <t>KKAB0194</t>
  </si>
  <si>
    <t>EKO SUMARWOTO</t>
  </si>
  <si>
    <t>KKAB0195</t>
  </si>
  <si>
    <t>D.JOKO SUSANTO</t>
  </si>
  <si>
    <t>KKAB0196</t>
  </si>
  <si>
    <t>INDRIAWAN</t>
  </si>
  <si>
    <t>KKAB0199</t>
  </si>
  <si>
    <t>DANIAL ABDUL GANI</t>
  </si>
  <si>
    <t>KKAB0200</t>
  </si>
  <si>
    <t>ERIS RISMAWAN</t>
  </si>
  <si>
    <t>KKAB0201</t>
  </si>
  <si>
    <t>SUGIARTO</t>
  </si>
  <si>
    <t>KKAB0202</t>
  </si>
  <si>
    <t>TRI HARTANTO</t>
  </si>
  <si>
    <t>KKAB0203</t>
  </si>
  <si>
    <t>ARIEF BUDIYANTO</t>
  </si>
  <si>
    <t>KKAB0204</t>
  </si>
  <si>
    <t>IMAM SETIADI</t>
  </si>
  <si>
    <t>KKAB0205</t>
  </si>
  <si>
    <t>ARIFIN JAFAR SIDIQ</t>
  </si>
  <si>
    <t>KKAB0206</t>
  </si>
  <si>
    <t>CECE SARIF HIDAYAT TULLOH</t>
  </si>
  <si>
    <t>KKAB0207</t>
  </si>
  <si>
    <t xml:space="preserve">AEP KUSWANDARA </t>
  </si>
  <si>
    <t>KKAB0208</t>
  </si>
  <si>
    <t>YOKIE M ARFIANSYAH</t>
  </si>
  <si>
    <t>KKAB0209</t>
  </si>
  <si>
    <t>DIKDIK HENDRAWAN</t>
  </si>
  <si>
    <t>KKAB0210</t>
  </si>
  <si>
    <t>WAHYU HERDIAN</t>
  </si>
  <si>
    <t>KKAB0211</t>
  </si>
  <si>
    <t>ASEP NURDIN KUSDIAN</t>
  </si>
  <si>
    <t>KKAB0212</t>
  </si>
  <si>
    <t>FIRMAN NURDIANSAH</t>
  </si>
  <si>
    <t>KKAB0213</t>
  </si>
  <si>
    <t>RAMDAN NUGRAHA</t>
  </si>
  <si>
    <t>KKAB0214</t>
  </si>
  <si>
    <t>BAMBANG TRIANTORO S.</t>
  </si>
  <si>
    <t>KKAB0215</t>
  </si>
  <si>
    <t>NURDIN SAEFUROHMAN</t>
  </si>
  <si>
    <t>KKAB0218</t>
  </si>
  <si>
    <t>HARDIANTO RAMDHANI</t>
  </si>
  <si>
    <t>KKAB0219</t>
  </si>
  <si>
    <t>CYNTHIA ANDANSARI PUTRI</t>
  </si>
  <si>
    <t>KKAB0220</t>
  </si>
  <si>
    <t>ADI HARTANTO</t>
  </si>
  <si>
    <t>KKAB0221</t>
  </si>
  <si>
    <t>TIA OCTAVIANI</t>
  </si>
  <si>
    <t>KKAB0223</t>
  </si>
  <si>
    <t>ERLANGGA PRAHARSA</t>
  </si>
  <si>
    <t>KKAB0225</t>
  </si>
  <si>
    <t>ROBY FEBRAYADI</t>
  </si>
  <si>
    <t>KKAB0227</t>
  </si>
  <si>
    <t>SARIF HADIYATNA</t>
  </si>
  <si>
    <t>KKAB0228</t>
  </si>
  <si>
    <t>WIDIYANTO ALJAUZI</t>
  </si>
  <si>
    <t>KKAB0230</t>
  </si>
  <si>
    <t>ERIK PUJIWA</t>
  </si>
  <si>
    <t>KKAB0231</t>
  </si>
  <si>
    <t>SURYO ADI UTOMO</t>
  </si>
  <si>
    <t>KKAB0232</t>
  </si>
  <si>
    <t>CECEP KUSDINAR HERMANSYAH</t>
  </si>
  <si>
    <t>KKAB0235</t>
  </si>
  <si>
    <t>JALIL GUSTIANTO</t>
  </si>
  <si>
    <t>KKAB0236</t>
  </si>
  <si>
    <t xml:space="preserve">DERI FIRMANSYAH </t>
  </si>
  <si>
    <t>KKAB0240</t>
  </si>
  <si>
    <t>RACHMAT RAMDANI</t>
  </si>
  <si>
    <t>KKAB0241</t>
  </si>
  <si>
    <t>TAUFIK HIDAYAT</t>
  </si>
  <si>
    <t>KKAB0243</t>
  </si>
  <si>
    <t>RUKMANA</t>
  </si>
  <si>
    <t>KKAB0245</t>
  </si>
  <si>
    <t>ADHI FERDIANSYAH</t>
  </si>
  <si>
    <t>KKAB0246</t>
  </si>
  <si>
    <t>DARMAWAN RAMDANI</t>
  </si>
  <si>
    <t>KKAB0247</t>
  </si>
  <si>
    <t>DONI TAKBIR ROMADONI</t>
  </si>
  <si>
    <t>KKAB0248</t>
  </si>
  <si>
    <t>KKAB0249</t>
  </si>
  <si>
    <t>MAULANA PRASETYO</t>
  </si>
  <si>
    <t>KKAB0250</t>
  </si>
  <si>
    <t>FAJAR HADIRACHMAN</t>
  </si>
  <si>
    <t>KKAB0251</t>
  </si>
  <si>
    <t>YANA WIANDI</t>
  </si>
  <si>
    <t>KKAB0252</t>
  </si>
  <si>
    <t>SURYANTO</t>
  </si>
  <si>
    <t>KKAB0253</t>
  </si>
  <si>
    <t>AGUS LESMANA</t>
  </si>
  <si>
    <t>KKAB0254</t>
  </si>
  <si>
    <t>AGUS SOFIAN</t>
  </si>
  <si>
    <t>KKAB0256</t>
  </si>
  <si>
    <t>AHMAD SETIAWAN</t>
  </si>
  <si>
    <t>KKAB0258</t>
  </si>
  <si>
    <t>SISWAHYUDI</t>
  </si>
  <si>
    <t>KKAB0261</t>
  </si>
  <si>
    <t>AGUS MULYADI HASANUDIN</t>
  </si>
  <si>
    <t>KKAB0262</t>
  </si>
  <si>
    <t>ENDANG SUWARNA</t>
  </si>
  <si>
    <t>KKAB0263</t>
  </si>
  <si>
    <t>MUMIN SUHENDAR</t>
  </si>
  <si>
    <t>KKAB0264</t>
  </si>
  <si>
    <t>JANUAR ARIFIN</t>
  </si>
  <si>
    <t>KKAB0265</t>
  </si>
  <si>
    <t>MUHAMAD IRDAN</t>
  </si>
  <si>
    <t>IRWAN SUBAGJA</t>
  </si>
  <si>
    <t>ARIS SUPRAYOGI</t>
  </si>
  <si>
    <t>KKAB0268</t>
  </si>
  <si>
    <t>YADI ROSADI</t>
  </si>
  <si>
    <t>KKAB0269</t>
  </si>
  <si>
    <t>RIANA HIMAN HUDI</t>
  </si>
  <si>
    <t>KKAB0271</t>
  </si>
  <si>
    <t>HILMAN HIMAWAN HIDAYAT</t>
  </si>
  <si>
    <t>KKAB0272</t>
  </si>
  <si>
    <t>LINGGA NURUL YAKIN</t>
  </si>
  <si>
    <t>Belanja Toko</t>
  </si>
  <si>
    <t>Bulan</t>
  </si>
  <si>
    <t>Rekapitulasi Kas Toko</t>
  </si>
  <si>
    <t>Pembelian</t>
  </si>
  <si>
    <t>HPP</t>
  </si>
  <si>
    <t>Perhitungan HPP Toko</t>
  </si>
  <si>
    <t>% Kepemilikan Modal</t>
  </si>
  <si>
    <t>Porsi Deviden</t>
  </si>
  <si>
    <t>Kontribusi Jasa USP</t>
  </si>
  <si>
    <t>Porsi Jasa</t>
  </si>
  <si>
    <t>Total SHU Diterima</t>
  </si>
  <si>
    <t>% Kontribusi</t>
  </si>
  <si>
    <t>Simulasi Pembagian SHU Pengurus</t>
  </si>
  <si>
    <t>Piutang Pengadaan</t>
  </si>
  <si>
    <t>Pendapatan Jasa Pengadaan</t>
  </si>
  <si>
    <t>Syswahyudi</t>
  </si>
  <si>
    <t>Adi Ramdani</t>
  </si>
  <si>
    <t>Ahmad Suwarna</t>
  </si>
  <si>
    <t>Erik Fujiwa</t>
  </si>
  <si>
    <t>Januar Muharna</t>
  </si>
  <si>
    <t>Keuntungan</t>
  </si>
  <si>
    <t>Harga Beli</t>
  </si>
  <si>
    <t>KARTU ANGSURAN PENGADAAN KOPERASI KARYAWAN</t>
  </si>
  <si>
    <t>TAHUN 2021</t>
  </si>
  <si>
    <t>E</t>
  </si>
  <si>
    <t>F</t>
  </si>
  <si>
    <t>G</t>
  </si>
  <si>
    <t>Ari Rosandi</t>
  </si>
  <si>
    <t>Bonny Aries</t>
  </si>
  <si>
    <t>Adifia Pramana</t>
  </si>
  <si>
    <t>M Ridwan</t>
  </si>
  <si>
    <t>Aris Suprayogi</t>
  </si>
  <si>
    <t>Asep Nurdin Kusdian</t>
  </si>
  <si>
    <t>Redi</t>
  </si>
  <si>
    <t>Rio</t>
  </si>
  <si>
    <t>Pramono</t>
  </si>
  <si>
    <t>Wahidin</t>
  </si>
  <si>
    <t>JULI AGUS</t>
  </si>
  <si>
    <t>FAJAR HARDIYANTO</t>
  </si>
  <si>
    <t>ASEP GUNAWAN</t>
  </si>
  <si>
    <t>Agus Mulyadi</t>
  </si>
  <si>
    <t>ANDRIAN PERMANA</t>
  </si>
  <si>
    <t>Rizky Kusumayadi</t>
  </si>
  <si>
    <t>Total Pelunasan Pokok 2021</t>
  </si>
  <si>
    <t>Total Pendapatan Jasa Pengadaan 2021</t>
  </si>
  <si>
    <t>(Laba)/Rugi ditahan</t>
  </si>
  <si>
    <t>H</t>
  </si>
  <si>
    <t>Uang ditangan</t>
  </si>
  <si>
    <t>Cash On Hand</t>
  </si>
  <si>
    <t>AR</t>
  </si>
  <si>
    <t>Saldo Kas</t>
  </si>
  <si>
    <t>Pitang</t>
  </si>
  <si>
    <t>AR USP</t>
  </si>
  <si>
    <t>AR Pengadaan</t>
  </si>
  <si>
    <t>as Per Data</t>
  </si>
  <si>
    <t>Recon</t>
  </si>
  <si>
    <t>Modal USP</t>
  </si>
  <si>
    <t>Porsi Pengadaan</t>
  </si>
  <si>
    <t>Jasa Pengadaan</t>
  </si>
  <si>
    <t>Saldo LK</t>
  </si>
  <si>
    <t>Selisih</t>
  </si>
  <si>
    <t>Saldo AR seharusnya</t>
  </si>
  <si>
    <t>KKAB0270</t>
  </si>
  <si>
    <t>WILDA JAYA</t>
  </si>
  <si>
    <t>KKAB0273</t>
  </si>
  <si>
    <t xml:space="preserve">AGUS MULYADI  </t>
  </si>
  <si>
    <t>KKAB0274</t>
  </si>
  <si>
    <t>HARIYADI</t>
  </si>
  <si>
    <t>KKAB0275</t>
  </si>
  <si>
    <t>KKAB0276</t>
  </si>
  <si>
    <t>MOCHAMAD RIDWAN</t>
  </si>
  <si>
    <t>KKAB0277</t>
  </si>
  <si>
    <t>KKAB0278</t>
  </si>
  <si>
    <t>ANDRI NOVANTO</t>
  </si>
  <si>
    <t>KKAB0279</t>
  </si>
  <si>
    <t>RAHAYU PURNOMO</t>
  </si>
  <si>
    <t>KKAB0280</t>
  </si>
  <si>
    <t>KURNIAWAN</t>
  </si>
  <si>
    <t>KKAB0281</t>
  </si>
  <si>
    <t>AGNI IKANOV</t>
  </si>
  <si>
    <t>KKAB0282</t>
  </si>
  <si>
    <t>ACEP NURJAMAN</t>
  </si>
  <si>
    <t>KKAB0283</t>
  </si>
  <si>
    <t>THAUFICH FACHRY RM</t>
  </si>
  <si>
    <t>KKAB0284</t>
  </si>
  <si>
    <t>KKAB0285</t>
  </si>
  <si>
    <t>RIZMAL AZI MUSTOPA</t>
  </si>
  <si>
    <t>KKAB0286</t>
  </si>
  <si>
    <t>KIKI KRISE</t>
  </si>
  <si>
    <t>KKAB0287</t>
  </si>
  <si>
    <t>RUDY RISWANTO</t>
  </si>
  <si>
    <t>KKAB0288</t>
  </si>
  <si>
    <t>CIS NURISANDI</t>
  </si>
  <si>
    <t>KKAB0289</t>
  </si>
  <si>
    <t>TARAM PURWITA</t>
  </si>
  <si>
    <t>KKAB0290</t>
  </si>
  <si>
    <t>UUS HUSNI RAHMAN</t>
  </si>
  <si>
    <t>KKAB0291</t>
  </si>
  <si>
    <t>RONNI ROBIANSYAH</t>
  </si>
  <si>
    <t>KKAB0292</t>
  </si>
  <si>
    <t>FIRMAN CAHYANA</t>
  </si>
  <si>
    <t>KKAB0293</t>
  </si>
  <si>
    <t>OYOT NUGROHO</t>
  </si>
  <si>
    <t>KKAB0294</t>
  </si>
  <si>
    <t>RAMDAN ASYHARI</t>
  </si>
  <si>
    <t>KKAB0295</t>
  </si>
  <si>
    <t>FAJAR TANUWIJAYA</t>
  </si>
  <si>
    <t>KKAB0296</t>
  </si>
  <si>
    <t>TANTAN TARYANA</t>
  </si>
  <si>
    <t>KKAB0297</t>
  </si>
  <si>
    <t>ANDRI RAHADIAN</t>
  </si>
  <si>
    <t>Hutang Pajak</t>
  </si>
  <si>
    <t>Laba / (Rugi) Sebelum Pajak</t>
  </si>
  <si>
    <t>Beban Pajak</t>
  </si>
  <si>
    <t>Kontribusi Jasa Pengadaan</t>
  </si>
  <si>
    <t>(Laba)/Rugi Periode Berjalan</t>
  </si>
  <si>
    <t>TAHUN 2022</t>
  </si>
  <si>
    <t>MOHAMMAD FAIZAL ZAENUDIN</t>
  </si>
  <si>
    <t>DENA TRIYANA</t>
  </si>
  <si>
    <t>HARY SUHERMAN</t>
  </si>
  <si>
    <t>DENI ZAINAL MUTAQIN</t>
  </si>
  <si>
    <t>Pengadaan</t>
  </si>
  <si>
    <t>Total Pendapatan Jasa Pengadaan 2022</t>
  </si>
  <si>
    <t>Sukarela</t>
  </si>
  <si>
    <t>LK</t>
  </si>
  <si>
    <t>Pendapatan dari harian toko</t>
  </si>
  <si>
    <t>Untuk mencatat Pendapatan dari pembukuan Toko</t>
  </si>
  <si>
    <t>Beban dari harian toko</t>
  </si>
  <si>
    <t>Untuk Menyesuaikan dengan saldo inventory toko hasil opname</t>
  </si>
  <si>
    <t>Ari Saepudin</t>
  </si>
  <si>
    <t>I</t>
  </si>
  <si>
    <t>KKAB0298</t>
  </si>
  <si>
    <t>KKAB0299</t>
  </si>
  <si>
    <t>KKAB0300</t>
  </si>
  <si>
    <t>DANI HADIANA</t>
  </si>
  <si>
    <t>KKAB0301</t>
  </si>
  <si>
    <t>ARIE SAEPUL NUGRAHA</t>
  </si>
  <si>
    <t>KKAB0302</t>
  </si>
  <si>
    <t>KKAB0303</t>
  </si>
  <si>
    <t>ERWIN SUBAGJA</t>
  </si>
  <si>
    <t>KKAB0304</t>
  </si>
  <si>
    <t>MOCHAMAD IZALLIHADI</t>
  </si>
  <si>
    <t>KKAB0305</t>
  </si>
  <si>
    <t>DIDI NURHAEDI</t>
  </si>
  <si>
    <t>KKAB0306</t>
  </si>
  <si>
    <t>ICHWAN BUDIYANTO</t>
  </si>
  <si>
    <t>KKAB0307</t>
  </si>
  <si>
    <t>IRVAN SOVYAN</t>
  </si>
  <si>
    <t>KKAB0308</t>
  </si>
  <si>
    <t>ADI PRASETIA</t>
  </si>
  <si>
    <t>KKAB0309</t>
  </si>
  <si>
    <t>AYU SHEILA MADJID</t>
  </si>
  <si>
    <t>KKAB0310</t>
  </si>
  <si>
    <t>RIDWAN HIDAYAT</t>
  </si>
  <si>
    <t>KKAB0311</t>
  </si>
  <si>
    <t>SENDI ALFARID SETIAWAN</t>
  </si>
  <si>
    <t>KKAB0312</t>
  </si>
  <si>
    <t>DENDI KUSWENDI</t>
  </si>
  <si>
    <t>KKAB0313</t>
  </si>
  <si>
    <t>ANAS FADLI</t>
  </si>
  <si>
    <t>KKAB0314</t>
  </si>
  <si>
    <t>KKAB0315</t>
  </si>
  <si>
    <t>ZUANA BUDIANSYAH</t>
  </si>
  <si>
    <t>KKAB0316</t>
  </si>
  <si>
    <t>DEDE RAHMAN</t>
  </si>
  <si>
    <t>KKAB0317</t>
  </si>
  <si>
    <t>LEGA HADIANA PUTRA</t>
  </si>
  <si>
    <t>KKAB0318</t>
  </si>
  <si>
    <t>RIZKI RAMDANI</t>
  </si>
  <si>
    <t>KKAB0319</t>
  </si>
  <si>
    <t>YAYAT HIDAYAT</t>
  </si>
  <si>
    <t>KKAB0320</t>
  </si>
  <si>
    <t>IKBAL TAUPIK HIDAYAT</t>
  </si>
  <si>
    <t>KKAB0321</t>
  </si>
  <si>
    <t>SENDI YULIANA</t>
  </si>
  <si>
    <t>KKAB0322</t>
  </si>
  <si>
    <t>ASEP WAHYUDIN</t>
  </si>
  <si>
    <t>KKAB0323</t>
  </si>
  <si>
    <t>ADI RAMDANI</t>
  </si>
  <si>
    <t>KKAB0324</t>
  </si>
  <si>
    <t>ANWAR GUNADI</t>
  </si>
  <si>
    <t>KKAB0325</t>
  </si>
  <si>
    <t>MOCHAMAD RONI RAMDHANI</t>
  </si>
  <si>
    <t>KKAB0326</t>
  </si>
  <si>
    <t>CAHYA NUGRAHA</t>
  </si>
  <si>
    <t>KKAB0327</t>
  </si>
  <si>
    <t>GANJAR NURSIDIK</t>
  </si>
  <si>
    <t>KKAB0328</t>
  </si>
  <si>
    <t>KKAB0329</t>
  </si>
  <si>
    <t>KKAB0330</t>
  </si>
  <si>
    <t>HARIS PERMANA</t>
  </si>
  <si>
    <t>KKAB0331</t>
  </si>
  <si>
    <t>NOOR HIDAYAT</t>
  </si>
  <si>
    <t>KKAB0332</t>
  </si>
  <si>
    <t>AGUS BAHTIAR</t>
  </si>
  <si>
    <t>% Kontribusi Jasa</t>
  </si>
  <si>
    <t>TAHUN 2023</t>
  </si>
  <si>
    <t>ADIFIA PRAMANA</t>
  </si>
  <si>
    <t>Total Pelunasan Pokok 2023</t>
  </si>
  <si>
    <t>Total Pendapatan Jasa Pengadaan 2023</t>
  </si>
  <si>
    <t>NANDANG SURYANTO</t>
  </si>
  <si>
    <t>ARIS SETIAWAN</t>
  </si>
  <si>
    <t>Pendapatan 2023</t>
  </si>
  <si>
    <t>Pendapatan Admin</t>
  </si>
  <si>
    <t>TOTAL MODAL</t>
  </si>
  <si>
    <t>Selisih Saldo Kas</t>
  </si>
  <si>
    <t>Selisih Saldo Bank</t>
  </si>
  <si>
    <t xml:space="preserve">Selisih Saldo Pengadaan </t>
  </si>
  <si>
    <t>Saldo Mandiri (closed)</t>
  </si>
  <si>
    <t>Saldo Toko</t>
  </si>
  <si>
    <t>Pendapatan Toko Dikurangi saldo awal</t>
  </si>
  <si>
    <t>Bandung 31 Desember 2023</t>
  </si>
  <si>
    <t>per 31  Desember  2023</t>
  </si>
  <si>
    <t>STOCK BARANG</t>
  </si>
  <si>
    <t>Reconcil Tabel</t>
  </si>
  <si>
    <t>Tfr ke Bendahara</t>
  </si>
  <si>
    <t>Beban Toko</t>
  </si>
  <si>
    <t>Simpanan Berjangka</t>
  </si>
  <si>
    <t>34000171</t>
  </si>
  <si>
    <t>34000564</t>
  </si>
  <si>
    <t>34000258</t>
  </si>
  <si>
    <t>34000771</t>
  </si>
  <si>
    <t>34000396</t>
  </si>
  <si>
    <t>34000188</t>
  </si>
  <si>
    <t>34000487</t>
  </si>
  <si>
    <t>34000569</t>
  </si>
  <si>
    <t>34000404</t>
  </si>
  <si>
    <t>34000566</t>
  </si>
  <si>
    <t>34000013</t>
  </si>
  <si>
    <t>KKAB0333</t>
  </si>
  <si>
    <t>PEGIANA ERLANGGA</t>
  </si>
  <si>
    <t>KKAB0334</t>
  </si>
  <si>
    <t>DIKA TAUFIK</t>
  </si>
  <si>
    <t>KKAB0335</t>
  </si>
  <si>
    <t>RIKI SAPARI</t>
  </si>
  <si>
    <t>KKAB0336</t>
  </si>
  <si>
    <t>SAMSUDIN RAHMAT KURNIA</t>
  </si>
  <si>
    <t>KKAB0337</t>
  </si>
  <si>
    <t>BUDI SETIAWAN</t>
  </si>
  <si>
    <t>KKAB0338</t>
  </si>
  <si>
    <t>ANGGARA SAPUTRA</t>
  </si>
  <si>
    <t>KKAB0339</t>
  </si>
  <si>
    <t>RAMDANI</t>
  </si>
  <si>
    <t>KKAB0340</t>
  </si>
  <si>
    <t>SUTISNA</t>
  </si>
  <si>
    <t>KKAB0341</t>
  </si>
  <si>
    <t>INDRI SUGIANTO</t>
  </si>
  <si>
    <t>KKAB0342</t>
  </si>
  <si>
    <t>ODE RUSMANA</t>
  </si>
  <si>
    <t>KKAB0343</t>
  </si>
  <si>
    <t>ZAKARIA SUPRIATNA</t>
  </si>
  <si>
    <t>KKAB0344</t>
  </si>
  <si>
    <t>DIDIN MAHPUDIN</t>
  </si>
  <si>
    <t>KKAB0345</t>
  </si>
  <si>
    <t>AGUNG WIJAYANTO</t>
  </si>
  <si>
    <t>KKAB0346</t>
  </si>
  <si>
    <t>ADO RACHMANSYAH</t>
  </si>
  <si>
    <t>KKAB0347</t>
  </si>
  <si>
    <t>ANDRIAN YOSEPHIN</t>
  </si>
  <si>
    <t>KKAB0348</t>
  </si>
  <si>
    <t>RYAN RIDWAN H.</t>
  </si>
  <si>
    <t>KKAB0349</t>
  </si>
  <si>
    <t>HADIAN GUSTIAWAN</t>
  </si>
  <si>
    <t>KKAB0350</t>
  </si>
  <si>
    <t>ASEP RAHMAT</t>
  </si>
  <si>
    <t>KKAB0351</t>
  </si>
  <si>
    <t>AHMAD AMIRULOH</t>
  </si>
  <si>
    <t>KKAB0352</t>
  </si>
  <si>
    <t>EKO TAUFIK SUTISNA</t>
  </si>
  <si>
    <t>KKAB0353</t>
  </si>
  <si>
    <t>IA ATHOILLAH</t>
  </si>
  <si>
    <t>KKAB0354</t>
  </si>
  <si>
    <t>NILAM ANELIYA RAHMAH</t>
  </si>
  <si>
    <t>KKAB0355</t>
  </si>
  <si>
    <t>AGUS FIRMANSYAH</t>
  </si>
  <si>
    <t>KKAB0356</t>
  </si>
  <si>
    <t>TRIBUDI YUDHA SANTOSO</t>
  </si>
  <si>
    <t>KKAB0357</t>
  </si>
  <si>
    <t>KKAB0358</t>
  </si>
  <si>
    <t>MUHAMMAD ZEIN REVOLUSI</t>
  </si>
  <si>
    <t>KKAB0359</t>
  </si>
  <si>
    <t>AHMAD GHALEB AHDA</t>
  </si>
  <si>
    <t>KKAB0360</t>
  </si>
  <si>
    <t>HERU PRASETIONO</t>
  </si>
  <si>
    <t>KKAB0361</t>
  </si>
  <si>
    <t>DEDI RAHMAN</t>
  </si>
  <si>
    <t>KKAB0362</t>
  </si>
  <si>
    <t>AGUS SETIAWAN</t>
  </si>
  <si>
    <t>KKAB0363</t>
  </si>
  <si>
    <t>KKAB0364</t>
  </si>
  <si>
    <t>YOHAN NOOR MUHAMMAD</t>
  </si>
  <si>
    <t>KKAB0365</t>
  </si>
  <si>
    <t>GIA ANGGARA</t>
  </si>
  <si>
    <t>KKAB0366</t>
  </si>
  <si>
    <t>SUGIMAN</t>
  </si>
  <si>
    <t>KKAB0367</t>
  </si>
  <si>
    <t>WILDAN ROJULI DAAI</t>
  </si>
  <si>
    <t>KKAB0368</t>
  </si>
  <si>
    <t>RAKA IRVAN SUHENDRA</t>
  </si>
  <si>
    <t>KKAB0369</t>
  </si>
  <si>
    <t>CECEP KAMALLUDIN</t>
  </si>
  <si>
    <t>Total Pokok</t>
  </si>
  <si>
    <t>Total Jasa</t>
  </si>
  <si>
    <t>Berjangka</t>
  </si>
  <si>
    <t>Didapat</t>
  </si>
  <si>
    <t>Dikembalikan</t>
  </si>
  <si>
    <t>TEDI SUPRIADI</t>
  </si>
  <si>
    <t>Gap</t>
  </si>
  <si>
    <t>TOTAL SHU DITERIMA</t>
  </si>
  <si>
    <t>Jasa anggota yang sudah keluar</t>
  </si>
  <si>
    <t>SIGN</t>
  </si>
  <si>
    <t>STATUS</t>
  </si>
  <si>
    <t>ANGGOTA</t>
  </si>
  <si>
    <t>KKAB0370</t>
  </si>
  <si>
    <t>NOER ROBBY APRIYANDI</t>
  </si>
  <si>
    <t>KKAB0371</t>
  </si>
  <si>
    <t>CANDRA HARYANTO</t>
  </si>
  <si>
    <t>PENGURUS KOPERASI</t>
  </si>
  <si>
    <t>PENGURUS SPN</t>
  </si>
  <si>
    <t>ANGGUN HANDIKO</t>
  </si>
  <si>
    <t>DIMAS BUDIMAN</t>
  </si>
  <si>
    <t>DENNY SETIANDI</t>
  </si>
  <si>
    <t>SRY RAHAYU</t>
  </si>
  <si>
    <t>AJENG PUTRI</t>
  </si>
  <si>
    <t>NURHAYATI DIMYATI</t>
  </si>
  <si>
    <t>RIZKY HERMAWAN</t>
  </si>
  <si>
    <t>SYAHLA</t>
  </si>
  <si>
    <t>SYALSA</t>
  </si>
  <si>
    <t>KASIR</t>
  </si>
  <si>
    <t>done</t>
  </si>
  <si>
    <t>LIST DISTRIBUSI PARCEL LEBARAN 2024 (1445H)</t>
  </si>
  <si>
    <t>LIST DISTRIBUSI PARCEL LEBARAN 2024 (1445H) PENGURUS</t>
  </si>
  <si>
    <t>LIST DISTRIBUSI PARCEL LEBARAN 2024 (1445H) PENGURUS SPN</t>
  </si>
  <si>
    <t>saldo akhir pindah ke saldo awal</t>
  </si>
  <si>
    <t>DIAN</t>
  </si>
  <si>
    <t>CW</t>
  </si>
  <si>
    <t>ERWIN</t>
  </si>
  <si>
    <t>AYU</t>
  </si>
  <si>
    <t>USP</t>
  </si>
  <si>
    <t>TAMBAHAN MODAL PENGADAAN</t>
  </si>
  <si>
    <t>Parcel Lebaran - Laba yang ditahan</t>
  </si>
  <si>
    <t>Petty Cash</t>
  </si>
  <si>
    <t>Meals For Meeting</t>
  </si>
  <si>
    <t>Pembelian Materai</t>
  </si>
  <si>
    <t>Meals for meeting</t>
  </si>
  <si>
    <t>Pembelian ATK Toko</t>
  </si>
  <si>
    <t>TAHUN 2024</t>
  </si>
  <si>
    <t>SANDY TAUFIK GINANJAR</t>
  </si>
  <si>
    <t>Validasi Invoice</t>
  </si>
  <si>
    <t>cocok</t>
  </si>
  <si>
    <t>Total Pelunasan Pokok 2024</t>
  </si>
  <si>
    <t>Total Pendapatan Jasa Pengadaan 2024</t>
  </si>
  <si>
    <t>Piutang</t>
  </si>
  <si>
    <t>TOTAL MODAL sampai 2024</t>
  </si>
  <si>
    <t>Pendapatan 2024</t>
  </si>
  <si>
    <t>Beban admin bank</t>
  </si>
  <si>
    <t>Pendapatan Bunga</t>
  </si>
  <si>
    <t>Proyeksi Margin Tahun selanjutnya</t>
  </si>
  <si>
    <t>Beban Admin (Pendapatan - Beban)</t>
  </si>
  <si>
    <t>Sisa Keuntungan</t>
  </si>
  <si>
    <t>SHU 2024</t>
  </si>
  <si>
    <t>Saldo Piutang</t>
  </si>
  <si>
    <t>Uang diluar</t>
  </si>
  <si>
    <t>Movement</t>
  </si>
  <si>
    <t>PER 31 DESEMBER 2024</t>
  </si>
  <si>
    <t>REKENING per 31 Dec 24</t>
  </si>
  <si>
    <t>Total Asset Toko</t>
  </si>
  <si>
    <t>Modal balik ke bendahara</t>
  </si>
  <si>
    <t>Total Laba</t>
  </si>
  <si>
    <t>Rekening per 31 Des 2024</t>
  </si>
  <si>
    <t>Untuk mencatat HPP Toko</t>
  </si>
  <si>
    <t>CASH per 31 Dec 2024</t>
  </si>
  <si>
    <t>Pulsa</t>
  </si>
  <si>
    <t>waiting confirmation</t>
  </si>
  <si>
    <t>confirmed</t>
  </si>
  <si>
    <t xml:space="preserve">     per   31  Desember  2025</t>
  </si>
  <si>
    <t>Remarks</t>
  </si>
  <si>
    <t>Source</t>
  </si>
  <si>
    <t>Beban RAT</t>
  </si>
  <si>
    <t>Pelunasan Emaki - RAT Pengurus</t>
  </si>
  <si>
    <t>Pelunasan Karnevor - RAT Pengurus</t>
  </si>
  <si>
    <t>Pulsa Pengurus</t>
  </si>
  <si>
    <t>Perpanjangan webhosting</t>
  </si>
  <si>
    <t>NABUNG SUKARELA NOOR HIDAYAT</t>
  </si>
  <si>
    <t>Meals for Meeting</t>
  </si>
  <si>
    <t>Coklat Kaizen per Nov - Dec 2024</t>
  </si>
  <si>
    <t>PEMASUKAN</t>
  </si>
  <si>
    <t>PENGELUARAN</t>
  </si>
  <si>
    <t>INVOICE JAN 25 -  Simpanan Wajib Anggota</t>
  </si>
  <si>
    <t>INVOICE JAN 25 -  Simpanan Sukarela Berjangka</t>
  </si>
  <si>
    <t>INVOICE JAN 25 -  Iuran Serikat Pekerja Nasional UTC</t>
  </si>
  <si>
    <t>INVOICE JAN 25 -  Angsuran Pinjaman Barang</t>
  </si>
  <si>
    <t>INVOICE JAN 25 -  Angsuran Pinjaman Uang</t>
  </si>
  <si>
    <t>Pencairan Tabungan Mochamad Izallihadi</t>
  </si>
  <si>
    <t>Pencairan Tabungan Agung Krisdiantoro</t>
  </si>
  <si>
    <t>Pengembalian Dana Emaki</t>
  </si>
  <si>
    <t>dulu pemasukan</t>
  </si>
  <si>
    <t>dulu pengeluaran</t>
  </si>
  <si>
    <t>Meals for Meeting (Emaki)</t>
  </si>
  <si>
    <t>Transport and Meals (Emaki)</t>
  </si>
  <si>
    <t>Additional Rice for Dinner (Emaki)</t>
  </si>
  <si>
    <t>Additional Bfast (Emaki)</t>
  </si>
  <si>
    <t>Deposit return from Karnivor (Emaki)</t>
  </si>
  <si>
    <t>DP Pawon Pitoe (RAT)</t>
  </si>
  <si>
    <t>Pembelian Etalase Toko</t>
  </si>
  <si>
    <t>Meals for exchanging rug</t>
  </si>
  <si>
    <t>Pembelian Doorprize RAT - Via Cw</t>
  </si>
  <si>
    <t>Pembelian Doorprize RAT - Via Dian</t>
  </si>
  <si>
    <t>Pembelian Doorprize RAT - Via Ayu</t>
  </si>
  <si>
    <t>Pembelian Tempat Sampah Toko</t>
  </si>
  <si>
    <t>Pembelian Kursi Toko Informa</t>
  </si>
  <si>
    <t>Pembelian Kemasan Souvenir RAT</t>
  </si>
  <si>
    <t>Pembelian Canva untuk Kopkar</t>
  </si>
  <si>
    <t>Pendapatan Laba Kotor Toko</t>
  </si>
  <si>
    <t>Pencairan simpanan sukarela Noor Hidayat</t>
  </si>
  <si>
    <t>Transport Anggota dan Pengurus (RAT)</t>
  </si>
  <si>
    <t>Pembelian Baju RAT 2025</t>
  </si>
  <si>
    <t>Pembelian Spanduk dan Transport RAT</t>
  </si>
  <si>
    <t>Pembelian Amplop RAT</t>
  </si>
  <si>
    <t>Pelunasan Pawon Pitoe - RAT</t>
  </si>
  <si>
    <t>Lumpsump for Cw to Pawon Pitoe</t>
  </si>
  <si>
    <t>Transport Pengambilan Baju RAT</t>
  </si>
  <si>
    <t>Meals for meeting (RAT preparation)</t>
  </si>
  <si>
    <t>ATK RAT</t>
  </si>
  <si>
    <t>Amplop RAT</t>
  </si>
  <si>
    <t>Sewa Infokus RAT</t>
  </si>
  <si>
    <t>Bayar Parkir seluruh anggota RAT</t>
  </si>
  <si>
    <t>Sewa Screen RAT</t>
  </si>
  <si>
    <t>Additional Meals for RAT</t>
  </si>
  <si>
    <t>Pembayaran SHU Pengurus</t>
  </si>
  <si>
    <t>Tabungan Sukarela Candra Warsita</t>
  </si>
  <si>
    <t>Pembayaran Gaji Kasir Jan - Feb 2025</t>
  </si>
  <si>
    <t>Coklat Kaizen per  Dec - Jan 2025</t>
  </si>
  <si>
    <t>Pembelian kertas hvs</t>
  </si>
  <si>
    <t>Pembelian ATK toko</t>
  </si>
  <si>
    <t>Belanja contoh tas parcel</t>
  </si>
  <si>
    <t>Parkir lotte</t>
  </si>
  <si>
    <t>Belanja contoh parcel - pak haji</t>
  </si>
  <si>
    <t>Belanja contoh parcel - Lotte</t>
  </si>
  <si>
    <t>Jilid laporan RAT</t>
  </si>
  <si>
    <t>Lumpsump for CW dan Nurdin</t>
  </si>
  <si>
    <t>Pembelian Tas Parcel</t>
  </si>
  <si>
    <t>Parcel</t>
  </si>
  <si>
    <t>Tabungan Sukarela Dani Hadiana</t>
  </si>
  <si>
    <t>INVOICE FEB 25 -  Simpanan Pokok Anggota</t>
  </si>
  <si>
    <t>INVOICE FEB 25 -  Simpanan Wajib Anggota</t>
  </si>
  <si>
    <t>INVOICE FEB 25 -  Simpanan Sukarela Berjangka</t>
  </si>
  <si>
    <t>INVOICE FEB 25 -  Iuran Serikat Pekerja Nasional UTC</t>
  </si>
  <si>
    <t>INVOICE FEB 25 -  Angsuran Pinjaman Barang</t>
  </si>
  <si>
    <t>INVOICE FEB 25 -  Angsuran Pinjaman Uang</t>
  </si>
  <si>
    <t>Tambahan Modal USP</t>
  </si>
  <si>
    <t>Pendapatan Laba Kotor Pengadaan</t>
  </si>
  <si>
    <t>Pendapatan Laba Kotor USP</t>
  </si>
  <si>
    <t>Sisa Pembelian Laptop</t>
  </si>
  <si>
    <t>SHU Anggota</t>
  </si>
  <si>
    <t>Pembelian Laptop USP</t>
  </si>
  <si>
    <t>Lumpsump CW Dian beli laptop</t>
  </si>
  <si>
    <t>Transport Dian Cw beli laptop</t>
  </si>
  <si>
    <t>Lumpsump for Ayu &amp; CW to BNI</t>
  </si>
  <si>
    <t xml:space="preserve">Lumpsump for Ayu, CW &amp; Dian for SHU </t>
  </si>
  <si>
    <t>Kekurangan SHU</t>
  </si>
  <si>
    <t>Pulsa Pengurus Maret 2025</t>
  </si>
  <si>
    <t>Pembayaran Gaji Maret Syahla</t>
  </si>
  <si>
    <t>Pembayaran Gaji Maret Zahra</t>
  </si>
  <si>
    <t>Pembayaran DP Parcel 2025</t>
  </si>
  <si>
    <t>Transport dan Lumpsump Nurdin untuk pembelian parcel</t>
  </si>
  <si>
    <t>Pembayaran Gaji Pengurus dan Pengawas Jan - Mar 2025</t>
  </si>
  <si>
    <t>Tabungan Sukarela Ayu Sheila Madjid</t>
  </si>
  <si>
    <t>Tabungan Sukarela Dian Endah Oktaviana</t>
  </si>
  <si>
    <t>Pencairan Tabungan Sukarela Noor Hidayat</t>
  </si>
  <si>
    <t xml:space="preserve">Pembayaran Parcel </t>
  </si>
  <si>
    <t>Pelunasan Parcel</t>
  </si>
  <si>
    <t>Admin Bank pelunasan parcel</t>
  </si>
  <si>
    <t>Transport Pengiriman Parcel</t>
  </si>
  <si>
    <t>Pencairan Tabungan Sukarela Hary Suherman</t>
  </si>
  <si>
    <t>CSR Panti Asuhan</t>
  </si>
  <si>
    <t>DP Harade (Bukber 2025)</t>
  </si>
  <si>
    <t>Lumpsump for Ayu &amp; CW to BNI and Dealer</t>
  </si>
  <si>
    <t>Pembayaran Gaji April &amp; THR Syahla</t>
  </si>
  <si>
    <t>Pembayaran Gaji April &amp; THR Zahra</t>
  </si>
  <si>
    <t>Bukber Kopkar 2025</t>
  </si>
  <si>
    <t>Pembayaran Gaji Pengurus April 2025</t>
  </si>
  <si>
    <t>Coklat Kaizen per Jan - Feb 2025</t>
  </si>
  <si>
    <t>INVOICE MAR 25 -  Simpanan Pokok Anggota</t>
  </si>
  <si>
    <t>INVOICE MAR 25 -  Simpanan Wajib Anggota</t>
  </si>
  <si>
    <t>INVOICE MAR 25 -  Simpanan Sukarela Berjangka</t>
  </si>
  <si>
    <t>INVOICE MAR 25 -  Iuran Serikat Pekerja Nasional UTC</t>
  </si>
  <si>
    <t>INVOICE MAR 25 -  Angsuran Pinjaman Barang</t>
  </si>
  <si>
    <t>INVOICE MAR 25 -  Angsuran Pinjaman Uang</t>
  </si>
  <si>
    <t>Transport for Pak Ari (Kopkar Sosialisasi)</t>
  </si>
  <si>
    <t>Tabungan ALB Novia Elinda</t>
  </si>
  <si>
    <t>Tabungan ALB Ani Apriani</t>
  </si>
  <si>
    <t>Tabungan ALB Agus Setiawan</t>
  </si>
  <si>
    <t>Coklat Kaizen per Feb - Mar 2025</t>
  </si>
  <si>
    <t>INVOICE APR 25 -  Simpanan Pokok Anggota</t>
  </si>
  <si>
    <t>INVOICE APR 25 -  Simpanan Wajib Anggota</t>
  </si>
  <si>
    <t>INVOICE APR 25 -  Simpanan Sukarela Berjangka</t>
  </si>
  <si>
    <t>INVOICE APR 25 -  Iuran Serikat Pekerja Nasional UTC</t>
  </si>
  <si>
    <t>INVOICE APR 25 -  Angsuran Pinjaman Barang</t>
  </si>
  <si>
    <t>INVOICE APR 25 -  Angsuran Pinjaman Uang</t>
  </si>
  <si>
    <t>Pencairan Tabungan Fajar Hadirachman</t>
  </si>
  <si>
    <t>Pencairan Tabungan Yadi Rosadi</t>
  </si>
  <si>
    <t>Pelunasan Cicilan USP Yadi Rosadi</t>
  </si>
  <si>
    <t>Pembayaran Pajak 2024</t>
  </si>
  <si>
    <t>029909372546042</t>
  </si>
  <si>
    <t>029909375560082</t>
  </si>
  <si>
    <t>029909375480060</t>
  </si>
  <si>
    <t>029909375446082</t>
  </si>
  <si>
    <t>029909375412113</t>
  </si>
  <si>
    <t>029909375368082</t>
  </si>
  <si>
    <t>029909375333011</t>
  </si>
  <si>
    <t>029909375278068</t>
  </si>
  <si>
    <t>029909375199139</t>
  </si>
  <si>
    <t>029909372755048</t>
  </si>
  <si>
    <t>029909372691122</t>
  </si>
  <si>
    <t>029909375592097</t>
  </si>
  <si>
    <t>Pembayaran Gaji Mei Syahla</t>
  </si>
  <si>
    <t>Pembayaran Gaji Mei Zahra</t>
  </si>
  <si>
    <t>Tabungan ALB Iwan</t>
  </si>
  <si>
    <t>Tabungan ALB Ragil Santoso</t>
  </si>
  <si>
    <t>Tabungan berjangka ALB Ragil Santoso</t>
  </si>
  <si>
    <t>Tabungan ALB Indah Oktaviani</t>
  </si>
  <si>
    <t>Tabungan ALB Dedeng Rosadi</t>
  </si>
  <si>
    <t>Tabungan ALB Ekasakti Setiawan</t>
  </si>
  <si>
    <t>Tabungan ALB Alex Supriatna</t>
  </si>
  <si>
    <t>Tabungan ALB Deriko Alamsyah Putra</t>
  </si>
  <si>
    <t>Tabungan ALB Rian Kasrian</t>
  </si>
  <si>
    <t>Tabungan ALB Dede Mahmud</t>
  </si>
  <si>
    <t>Tabungan ALB Egih Sopian</t>
  </si>
  <si>
    <t>Tabungan berjangka ALB Egih Sopian</t>
  </si>
  <si>
    <t>Pembayaran Gaji Pengurus May 2025</t>
  </si>
  <si>
    <t>Potongan denda Famgath Hendra Firmansyah</t>
  </si>
  <si>
    <t>Tabungan ALB Samsudin</t>
  </si>
  <si>
    <t>CSR Ayu</t>
  </si>
  <si>
    <t>Tabungan ALB Niko Haryanto</t>
  </si>
  <si>
    <t>Coklat Kaizen per Mar - Apr 2025</t>
  </si>
  <si>
    <t>INVOICE MAY 25 -  Simpanan Pokok Anggota</t>
  </si>
  <si>
    <t>INVOICE MAY 25 -  Simpanan Wajib Anggota</t>
  </si>
  <si>
    <t>INVOICE MAY 25 -  Simpanan Sukarela Berjangka</t>
  </si>
  <si>
    <t>`</t>
  </si>
  <si>
    <t>INVOICE MAY 25 -  Iuran Serikat Pekerja Nasional UTC</t>
  </si>
  <si>
    <t>INVOICE MAY 25 -  Angsuran Pinjaman Barang</t>
  </si>
  <si>
    <t>INVOICE MAY 25 -  Angsuran Pinjaman Uang</t>
  </si>
  <si>
    <t>Dari Pak yudha</t>
  </si>
  <si>
    <t>Bank Code</t>
  </si>
  <si>
    <t>Pembayaran Gaji Juni Syahla</t>
  </si>
  <si>
    <t>Pembayaran Gaji Juni Zahra</t>
  </si>
  <si>
    <t>Perpanjang Canva</t>
  </si>
  <si>
    <t>Tabungan Berjangka ALB Dedeng Rosadi</t>
  </si>
  <si>
    <t>Tabungan Berjangka ALB Ekasakti Setiawan</t>
  </si>
  <si>
    <t>Tabungan ALB Wandi Setiadi</t>
  </si>
  <si>
    <t>Tabungan ALB Tinton Teja Irawan</t>
  </si>
  <si>
    <t>Tabungan Sukarela Erwin Subagja</t>
  </si>
  <si>
    <t>Tabungan Sukarela Andy Kusumayadi</t>
  </si>
  <si>
    <t>Pembayaran Gaji Pengurus June 2025</t>
  </si>
  <si>
    <t>Meals For meeting</t>
  </si>
  <si>
    <t>CSR Anak Deni Zainal</t>
  </si>
  <si>
    <t>Pemotongan Gaji Pak Ari untuk CSR</t>
  </si>
  <si>
    <t>Gathering Kasir</t>
  </si>
  <si>
    <t>Coklat Kaizen per Apr - May 2025</t>
  </si>
  <si>
    <t>INVOICE Jun 25 -  Simpanan Pokok Anggota</t>
  </si>
  <si>
    <t>INVOICE Jun 25 -  Simpanan Wajib Anggota</t>
  </si>
  <si>
    <t>INVOICE Jun 25 -  Simpanan Sukarela Berjangka</t>
  </si>
  <si>
    <t>INVOICE Jun 25 -  Iuran Serikat Pekerja Nasional UTC</t>
  </si>
  <si>
    <t>INVOICE Jun 25 -  Angsuran Pinjaman Barang</t>
  </si>
  <si>
    <t>INVOICE Jun 25 -  Angsuran Pinjaman Uang</t>
  </si>
  <si>
    <t>Denda Family Gathering Hendra Firmansyah</t>
  </si>
  <si>
    <t>Pembayaran Gaji Juli Syahla</t>
  </si>
  <si>
    <t>Pembayaran Gaji Juli Zahra</t>
  </si>
  <si>
    <t>Tabungan Berjangka ALB Novia Elinda</t>
  </si>
  <si>
    <t>Tabungan ALB Sehan Maulisyarif</t>
  </si>
  <si>
    <t>Tabungan ALB Denny Satria Budi</t>
  </si>
  <si>
    <t>Kado Lahiran untuk Nurdin</t>
  </si>
  <si>
    <t>Pembelian HDMI dan Converter</t>
  </si>
  <si>
    <t>Meals for meeting CW dan Ayu</t>
  </si>
  <si>
    <t>Pembelian Souvenir Training</t>
  </si>
  <si>
    <t>Pembelian ATK &amp; Pin Training</t>
  </si>
  <si>
    <t>Pembelian Notebook Training</t>
  </si>
  <si>
    <t>Makan Sore Panitia Training</t>
  </si>
  <si>
    <t>Pembayaran Gaji Pengurus July 2025</t>
  </si>
  <si>
    <t>Tabungan Sukarela Nurdin Saefurohman</t>
  </si>
  <si>
    <t>Transport Yusuf</t>
  </si>
  <si>
    <t>Tabungan Wajib ALB</t>
  </si>
  <si>
    <t>CSR Zahra</t>
  </si>
  <si>
    <t>Pencairan Tabungan Sukarela Candra Warsita</t>
  </si>
  <si>
    <t>Support Wellness Badminton</t>
  </si>
  <si>
    <t>Meals for meeting (breakdown ALB)</t>
  </si>
  <si>
    <t>Tabungan Sukarela ALB ke USP</t>
  </si>
  <si>
    <t>Support Wellness Futsal</t>
  </si>
  <si>
    <t>Pelunasan Konsumsi untuk Training</t>
  </si>
  <si>
    <t>Coklat Kaizen per May  - Jun 2025</t>
  </si>
  <si>
    <t>INVOICE Jul 25 -  Simpanan Pokok Anggota</t>
  </si>
  <si>
    <t>INVOICE Jul 25 -  Simpanan Wajib Anggota</t>
  </si>
  <si>
    <t>INVOICE Jul 25 -  Simpanan Sukarela Berjangka</t>
  </si>
  <si>
    <t>INVOICE Jul 25 -  Iuran Serikat Pekerja Nasional UTC</t>
  </si>
  <si>
    <t>INVOICE Jul 25 -  Angsuran Pinjaman Barang</t>
  </si>
  <si>
    <t>INVOICE Jul 25 -  Angsuran Pinjaman Uang</t>
  </si>
  <si>
    <t>Pelunasan USP Asep Nurdin Kusdian</t>
  </si>
  <si>
    <t>Pencairan Tabungan Asep Nurdin Kusdian</t>
  </si>
  <si>
    <t>Ongkir Gofood Meals for Meeting</t>
  </si>
  <si>
    <t>Pembayaran Gaji Agustus Syahla</t>
  </si>
  <si>
    <t>Pembayaran Gaji Agustus Zahra</t>
  </si>
  <si>
    <t>Tabungan Berjangka ALB Ani Apriani</t>
  </si>
  <si>
    <t>Tabungan ALB Syahla Salsabila</t>
  </si>
  <si>
    <t>Tabungan Berjangka ALB Sehan Maulisyarif</t>
  </si>
  <si>
    <t>Tabungan Berjangka ALB Ragil Santoso</t>
  </si>
  <si>
    <t>Tabungan ALB Nandang Sopian</t>
  </si>
  <si>
    <t>Tabungan Sukarela Muhamad Irdan</t>
  </si>
  <si>
    <t>Gaji Pengurus Agustus 2025</t>
  </si>
  <si>
    <t>Pergantian Gimmick Toko</t>
  </si>
  <si>
    <t>Pembelian ATK Training</t>
  </si>
  <si>
    <t>Pembayaran Trainer for Training</t>
  </si>
  <si>
    <t>Snack for Training</t>
  </si>
  <si>
    <t>Coklat Kaizen per Jun-Jul 2025</t>
  </si>
  <si>
    <t>INVOICE Aug 25 -  Simpanan Pokok Anggota</t>
  </si>
  <si>
    <t>INVOICE Aug 25 -  Simpanan Wajib Anggota</t>
  </si>
  <si>
    <t>INVOICE Aug 25 -  Simpanan Sukarela Berjangka</t>
  </si>
  <si>
    <t>INVOICE Aug 25 -  Iuran Serikat Pekerja Nasional UTC</t>
  </si>
  <si>
    <t>INVOICE Aug 25 -  Angsuran Pinjaman Barang</t>
  </si>
  <si>
    <t>INVOICE Aug 25 -  Angsuran Pinjaman Uang</t>
  </si>
  <si>
    <t>INVOICE Aug 25 -  Paket Sembako</t>
  </si>
  <si>
    <t>Transport Training Pengurus dan Peserta</t>
  </si>
  <si>
    <t>Pencairan Tabungan Sukarela Ayu Sheila Madjid</t>
  </si>
  <si>
    <t>Transport CW ke BNI &amp; Dealer</t>
  </si>
  <si>
    <t>Meals for Training</t>
  </si>
  <si>
    <t>Kopi for Training</t>
  </si>
  <si>
    <t>Gosend Meal for Training</t>
  </si>
  <si>
    <t>Pembayaran Gaji September Syahla</t>
  </si>
  <si>
    <t>Pembayaran Gaji September Zahra</t>
  </si>
  <si>
    <t>Pencairan Tabungan Sukarela Dian Endah Oktaviana</t>
  </si>
  <si>
    <t>Tabungan ALB Dodi Suhendar</t>
  </si>
  <si>
    <t>Pembayaran Gaji Pengurus September 2025</t>
  </si>
  <si>
    <t>Invoice Ahmad Suwarna</t>
  </si>
  <si>
    <t>Transport Pak Ari</t>
  </si>
  <si>
    <t>Support Wellness ML</t>
  </si>
  <si>
    <t>Support Wellness Volley</t>
  </si>
  <si>
    <t>CSR Sunatan Anak Pak Ari</t>
  </si>
  <si>
    <t>Angsuran Pinjaman Barang Ahmad Suwarna</t>
  </si>
  <si>
    <t>Angsuran Pinjaman Uang Ahmad Suwarna</t>
  </si>
  <si>
    <t>Pencairan Tabungan Ahmad Suwarna</t>
  </si>
  <si>
    <t>Tabungan Sukarela Tarman</t>
  </si>
  <si>
    <t>Coklat Kaizen per Jul-Aug 2025</t>
  </si>
  <si>
    <t>INVOICE Sept 25 -  Simpanan Pokok Anggota</t>
  </si>
  <si>
    <t>INVOICE Sept 25 -  Simpanan Wajib Anggota</t>
  </si>
  <si>
    <t>INVOICE Sept 25 -  Simpanan Sukarela Berjangka</t>
  </si>
  <si>
    <t>INVOICE Sept 25 -  Iuran Serikat Pekerja Nasional UTC</t>
  </si>
  <si>
    <t>INVOICE Sept 25 -  Angsuran Pinjaman Barang</t>
  </si>
  <si>
    <t>INVOICE Sept 25 -  Angsuran Pinjaman Uang</t>
  </si>
  <si>
    <t>INVOICE Sept 25 -  Paket Sembako</t>
  </si>
  <si>
    <t>Pembelian Totebag Paket Sembako</t>
  </si>
  <si>
    <t>Pembayaran Gaji Oktober Syahla</t>
  </si>
  <si>
    <t>Pembayaran Gaji Oktober Zahra</t>
  </si>
  <si>
    <t>Pembayaran Gaji Pengurus Oktober 2025</t>
  </si>
  <si>
    <t>Pengembalian Kelebihan Pembayaran Tabungan Novia Elinda</t>
  </si>
  <si>
    <t>Kelebihan Tabungan Novia Elinda</t>
  </si>
  <si>
    <t>Tabungan ALB Zahra Nur Syifa</t>
  </si>
  <si>
    <t>Support Wellness Basket</t>
  </si>
  <si>
    <t>Transport &amp; Lumpsump Cw &amp; Nurdin to Hotel</t>
  </si>
  <si>
    <t>Pencairan Tabungan Sukarela Dani Hadiana</t>
  </si>
  <si>
    <t>CSR Anak Cucu Suhaendi</t>
  </si>
  <si>
    <t>Coklat Kaizen per Aug-Sept 2025</t>
  </si>
  <si>
    <t>INVOICE Oct 25 -  Simpanan Wajib Anggota</t>
  </si>
  <si>
    <t>INVOICE Oct 25 -  Simpanan Sukarela Berjangka</t>
  </si>
  <si>
    <t>INVOICE Oct 25 -  Iuran Serikat Pekerja Nasional UTC</t>
  </si>
  <si>
    <t>INVOICE Oct 25 -  Angsuran Pinjaman Barang</t>
  </si>
  <si>
    <t>INVOICE Oct 25 -  Angsuran Pinjaman Uang</t>
  </si>
  <si>
    <t>INVOICE Oct 25 -  Paket Sembako</t>
  </si>
  <si>
    <t>INVOICE Oct 25 -  Tabungan Umroh</t>
  </si>
  <si>
    <t>Pembayaran DP Grand Sunshine</t>
  </si>
  <si>
    <t>Pembayaran Tabungan Berjangka ALB</t>
  </si>
  <si>
    <t>Support Wellness Soccer</t>
  </si>
  <si>
    <t>CSR Anak Tedi Supriadi</t>
  </si>
  <si>
    <t>Pembayaran Gaji November Syahla</t>
  </si>
  <si>
    <t>Pembayaran Gaji November Zahra</t>
  </si>
  <si>
    <t>Pembayaran Gaji Pengurus November 2025</t>
  </si>
  <si>
    <t>Perpanjang Domain</t>
  </si>
  <si>
    <t>Pinjaman USP</t>
  </si>
  <si>
    <t>CSR Agus Cahya Suratman</t>
  </si>
  <si>
    <t>Coklat Kaizen per Sept - Oct 2025</t>
  </si>
  <si>
    <t>INVOICE Nov 25 -  Simpanan Pokok Anggota</t>
  </si>
  <si>
    <t>INVOICE Nov 25 -  Simpanan Wajib Anggota</t>
  </si>
  <si>
    <t>INVOICE Nov 25 -  Simpanan Sukarela Berjangka</t>
  </si>
  <si>
    <t>INVOICE Nov 25 -  Iuran Serikat Pekerja Nasional UTC</t>
  </si>
  <si>
    <t>INVOICE Nov 25 -  Angsuran Pinjaman Barang</t>
  </si>
  <si>
    <t>INVOICE Nov 25 -  Angsuran Pinjaman Uang</t>
  </si>
  <si>
    <t>INVOICE Nov 25 -  Paket Sembako</t>
  </si>
  <si>
    <t>INVOICE Nov 25 -  Tabungan Umroh</t>
  </si>
  <si>
    <t>Pengembalian Pinjaman USP</t>
  </si>
  <si>
    <t>Pelunasan Grand Sunshine</t>
  </si>
  <si>
    <t>DP Venue RAT</t>
  </si>
  <si>
    <t>Pembayaran Gaji Desember Syahla</t>
  </si>
  <si>
    <t>Pembayaran Gaji Desember Zahra</t>
  </si>
  <si>
    <t>Pembayaran Gaji Pengurus Desember 2025</t>
  </si>
  <si>
    <t>Tabungan Sukarela Jamaludin Rosihan</t>
  </si>
  <si>
    <t>Kopkar Cup - Mancing Mania</t>
  </si>
  <si>
    <t>Manual Additional Anggota (Fian Nurdian)</t>
  </si>
  <si>
    <t>Pembayaran Honor Pengawas 2025</t>
  </si>
  <si>
    <t>Pembelian GFCI Toko</t>
  </si>
  <si>
    <t>UANGNYA KOMAR - BCA</t>
  </si>
  <si>
    <t>Coklat Kaizen per Oct - Nov 2025</t>
  </si>
  <si>
    <t>INVOICE Dec 25 -  Simpanan Pokok Anggota</t>
  </si>
  <si>
    <t>INVOICE Dec 25 -  Simpanan Wajib Anggota</t>
  </si>
  <si>
    <t>INVOICE Dec 25 -  Simpanan Sukarela Berjangka</t>
  </si>
  <si>
    <t>INVOICE Dec 25 -  Iuran Serikat Pekerja Nasional UTC</t>
  </si>
  <si>
    <t>INVOICE Dec 25 -  Angsuran Pinjaman Barang</t>
  </si>
  <si>
    <t>INVOICE Dec 25 -  Angsuran Pinjaman Uang</t>
  </si>
  <si>
    <t>INVOICE Dec 25  -  Paket Sembako</t>
  </si>
  <si>
    <t>INVOICE Dec 25 - Tabungan Umroh</t>
  </si>
  <si>
    <t>petty cash dari bank</t>
  </si>
  <si>
    <t>kas</t>
  </si>
  <si>
    <t>bank</t>
  </si>
  <si>
    <t>PDM Kopkar 2025</t>
  </si>
  <si>
    <t>Pengembalian Dana Kopkar Cup - Mancing</t>
  </si>
  <si>
    <t>Tabungan ALB Ahmad Sonjaya</t>
  </si>
  <si>
    <t>Cashback Motor</t>
  </si>
  <si>
    <t>CSR Anak CW</t>
  </si>
  <si>
    <t>Pencairan Tabungan Pramono</t>
  </si>
  <si>
    <t>Tabungan ALB Jerry Kamarullah</t>
  </si>
  <si>
    <t>Transport Pengadaan Barang 2025</t>
  </si>
  <si>
    <t>Belanja Pengadaan Barang 2025</t>
  </si>
  <si>
    <t>Admin diterima 2025</t>
  </si>
  <si>
    <t>Hutang Pajak 2025</t>
  </si>
  <si>
    <t>&gt;&gt;&gt; Selisih sukarela</t>
  </si>
  <si>
    <t>DP Kalender</t>
  </si>
  <si>
    <t>Pelunasan Kalender</t>
  </si>
  <si>
    <t>Gosend Kalender</t>
  </si>
  <si>
    <t>Write Off</t>
  </si>
  <si>
    <t>XXXX</t>
  </si>
  <si>
    <t>31E</t>
  </si>
  <si>
    <t>UMKM</t>
  </si>
  <si>
    <t>Untuk mencatat Simpanan Berjangka dikembalikan ke Anggota</t>
  </si>
  <si>
    <t>Jasa 2025</t>
  </si>
  <si>
    <t>Neraca</t>
  </si>
  <si>
    <t>Hutang koperasi</t>
  </si>
  <si>
    <t>Penyesuaian saldo USP cash on hand</t>
  </si>
  <si>
    <t>KKAB0372</t>
  </si>
  <si>
    <t>ARDI NURJAMAN</t>
  </si>
  <si>
    <t>KKAB0373</t>
  </si>
  <si>
    <t>UJANG SOMANTRI</t>
  </si>
  <si>
    <t>KKAB0374</t>
  </si>
  <si>
    <t>AGUS BUDIMAN</t>
  </si>
  <si>
    <t>KKAB0376</t>
  </si>
  <si>
    <t>BUDI LUKMAN</t>
  </si>
  <si>
    <t>KKAB0378</t>
  </si>
  <si>
    <t>KKAB0379</t>
  </si>
  <si>
    <t>YOGA ADITYA PRATAMA</t>
  </si>
  <si>
    <t>KKAB0380</t>
  </si>
  <si>
    <t>WISNU PRASETYO</t>
  </si>
  <si>
    <t>KKAB0381</t>
  </si>
  <si>
    <t>FIRMANSYAH</t>
  </si>
  <si>
    <t>KKAB0382</t>
  </si>
  <si>
    <t>ANDRI SANTOH</t>
  </si>
  <si>
    <t>KKAB0383</t>
  </si>
  <si>
    <t>SUKMA ERZA AKBAR NUGRAHA</t>
  </si>
  <si>
    <t>KKAB0384</t>
  </si>
  <si>
    <t>MUSTAFIDDUROHMAN FEBRYAN</t>
  </si>
  <si>
    <t>KKAB0385</t>
  </si>
  <si>
    <t>KKAB0386</t>
  </si>
  <si>
    <t>PEDY BUDISATRIO</t>
  </si>
  <si>
    <t>KKAB0388</t>
  </si>
  <si>
    <t>AZIS ICHSAN PERMANA</t>
  </si>
  <si>
    <t>KKAB0389</t>
  </si>
  <si>
    <t>YOHANA SAEFUL MILAH</t>
  </si>
  <si>
    <t>KKAB0391</t>
  </si>
  <si>
    <t>YUDA YUDIANA</t>
  </si>
  <si>
    <t>KKAB0392</t>
  </si>
  <si>
    <t>SISWOYO SAMIN</t>
  </si>
  <si>
    <t>KKAB0393</t>
  </si>
  <si>
    <t>FAWWAZ ALTHOOF VARABY</t>
  </si>
  <si>
    <t>KKAB0394</t>
  </si>
  <si>
    <t>NIENDITA ADRIA WARDHANI</t>
  </si>
  <si>
    <t>KKAB0395</t>
  </si>
  <si>
    <t>BUNGA EGA EVANIA</t>
  </si>
  <si>
    <t>KKAB0396</t>
  </si>
  <si>
    <t>ANANG ROHIMAT</t>
  </si>
  <si>
    <t>KKAB0397</t>
  </si>
  <si>
    <t>CHAIRUDDIN</t>
  </si>
  <si>
    <t>KKAB0398</t>
  </si>
  <si>
    <t>DWI PRASSETYO WIDODO</t>
  </si>
  <si>
    <t>KKAB0399</t>
  </si>
  <si>
    <t>ARIF RAHMAN HAKIM</t>
  </si>
  <si>
    <t>KKAB0400</t>
  </si>
  <si>
    <t>HEFFY NUGRAHA</t>
  </si>
  <si>
    <t>KKAB0401</t>
  </si>
  <si>
    <t>ADHA FADHIL MOCHAMMAD</t>
  </si>
  <si>
    <t>KKAB0402</t>
  </si>
  <si>
    <t>ASEP HIKMAWAN FARIDL</t>
  </si>
  <si>
    <t>KKAB0403</t>
  </si>
  <si>
    <t>DENI RAHMAT SETIAWAN</t>
  </si>
  <si>
    <t>KKAB0404</t>
  </si>
  <si>
    <t>YUDHI DWI PRASETYO</t>
  </si>
  <si>
    <t>KKAB0405</t>
  </si>
  <si>
    <t>ADJI HAMDANI</t>
  </si>
  <si>
    <t>KKAB0406</t>
  </si>
  <si>
    <t>KHOLIFATUL ULYA</t>
  </si>
  <si>
    <t>KKAB0407</t>
  </si>
  <si>
    <t>KUSTIWA</t>
  </si>
  <si>
    <t>KKAB0408</t>
  </si>
  <si>
    <t>DWIKI NABIL FAUZAAN</t>
  </si>
  <si>
    <t>KKAB0409</t>
  </si>
  <si>
    <t>DODIH DEDE</t>
  </si>
  <si>
    <t>KKAB0410</t>
  </si>
  <si>
    <t>SOFYAN AHMAD HIDAYAT</t>
  </si>
  <si>
    <t>KKAB0411</t>
  </si>
  <si>
    <t>RIZKY PUTRA NURZAMAN</t>
  </si>
  <si>
    <t>KKAB0412</t>
  </si>
  <si>
    <t>HAMZAH IBNUL KHAIR</t>
  </si>
  <si>
    <t>KKAB0413</t>
  </si>
  <si>
    <t>FADLI DWI CAHYO</t>
  </si>
  <si>
    <t>KKAB0414</t>
  </si>
  <si>
    <t>ATEP WAHYUDIN</t>
  </si>
  <si>
    <t>KKAB0415</t>
  </si>
  <si>
    <t>SALZABILLA ATHIRA DZUBAIR</t>
  </si>
  <si>
    <t>KKAB0416</t>
  </si>
  <si>
    <t>SHENDY SURYADI</t>
  </si>
  <si>
    <t>KKAB0417</t>
  </si>
  <si>
    <t>ARIE BAGJA KURNIA</t>
  </si>
  <si>
    <t>KKAB0418</t>
  </si>
  <si>
    <t>MUHAMMAD IHSAN</t>
  </si>
  <si>
    <t>KKAB0419</t>
  </si>
  <si>
    <t>DANIEL AZIZ RYANMART</t>
  </si>
  <si>
    <t>KKAB0420</t>
  </si>
  <si>
    <t>SHAHRUL ALIM</t>
  </si>
  <si>
    <t>KKAB0421</t>
  </si>
  <si>
    <t>RASITO</t>
  </si>
  <si>
    <t>KKAB0422</t>
  </si>
  <si>
    <t>BAGAS DWI SWASTIYAN</t>
  </si>
  <si>
    <t>KKAB0423</t>
  </si>
  <si>
    <t>RYAN RINALDI FATHUR RAHMAN</t>
  </si>
  <si>
    <t>KKAB0424</t>
  </si>
  <si>
    <t>FIAN NURDIAN</t>
  </si>
  <si>
    <t>KALB0001</t>
  </si>
  <si>
    <t>ISS</t>
  </si>
  <si>
    <t>NOVIA ELINDA</t>
  </si>
  <si>
    <t>KALB0002</t>
  </si>
  <si>
    <t>ANI AFRIANI</t>
  </si>
  <si>
    <t>KALB0003</t>
  </si>
  <si>
    <t>NWK</t>
  </si>
  <si>
    <t>KALB0004</t>
  </si>
  <si>
    <t>IWAN</t>
  </si>
  <si>
    <t>KALB0005</t>
  </si>
  <si>
    <t>RAGIL SANTOSO</t>
  </si>
  <si>
    <t>KALB0006</t>
  </si>
  <si>
    <t>EGIH SOPIAN</t>
  </si>
  <si>
    <t>KALB0007</t>
  </si>
  <si>
    <t>INDAH OKTAVIANI</t>
  </si>
  <si>
    <t>KALB0008</t>
  </si>
  <si>
    <t>JBL</t>
  </si>
  <si>
    <t>DEDENG ROSADI</t>
  </si>
  <si>
    <t>KALB0009</t>
  </si>
  <si>
    <t>EKASAKTI SETIAWAN</t>
  </si>
  <si>
    <t>KALB0010</t>
  </si>
  <si>
    <t>DERIKO ALAMSYAH PUTRA</t>
  </si>
  <si>
    <t>KALB0011</t>
  </si>
  <si>
    <t>RIAN KASRIAN</t>
  </si>
  <si>
    <t>KALB0012</t>
  </si>
  <si>
    <t>ALEX SUPRIATNA</t>
  </si>
  <si>
    <t>KALB0013</t>
  </si>
  <si>
    <t>DEDE MAHMUD</t>
  </si>
  <si>
    <t>KALB0014</t>
  </si>
  <si>
    <t>KJM</t>
  </si>
  <si>
    <t>SAMSUDIN</t>
  </si>
  <si>
    <t>KALB0015</t>
  </si>
  <si>
    <t>NIKO HARYANTO</t>
  </si>
  <si>
    <t>KALB0016</t>
  </si>
  <si>
    <t>WANDI SETIADI</t>
  </si>
  <si>
    <t>KALB0017</t>
  </si>
  <si>
    <t>SV</t>
  </si>
  <si>
    <t>TINTON TEJA IRAWAN</t>
  </si>
  <si>
    <t>KALB0018</t>
  </si>
  <si>
    <t>NGT</t>
  </si>
  <si>
    <t>SEHAN MAULISYARIF AMINUDDIN</t>
  </si>
  <si>
    <t>KALB0019</t>
  </si>
  <si>
    <t>DENNY SATRIA BUDI</t>
  </si>
  <si>
    <t>KALB0020</t>
  </si>
  <si>
    <t>KAB</t>
  </si>
  <si>
    <t>SYAHLA SALSABILA</t>
  </si>
  <si>
    <t>KALB0021</t>
  </si>
  <si>
    <t>NANDANG SOPIAN</t>
  </si>
  <si>
    <t>KALB0022</t>
  </si>
  <si>
    <t>DODI SUHENDAR</t>
  </si>
  <si>
    <t>KALB0023</t>
  </si>
  <si>
    <t>ZAHRA NUR SYIFA</t>
  </si>
  <si>
    <t>SOFYAN AHMAD</t>
  </si>
  <si>
    <t>AEP KUSWANDARA</t>
  </si>
  <si>
    <t>AGUS MULYADI</t>
  </si>
  <si>
    <t>GANDI</t>
  </si>
  <si>
    <t>Total Invoice 2025</t>
  </si>
  <si>
    <t>Total Simpanan Sukarela</t>
  </si>
  <si>
    <t>Rounding</t>
  </si>
  <si>
    <t>Total Direlease</t>
  </si>
  <si>
    <t>SHU SEMBAKO</t>
  </si>
  <si>
    <t xml:space="preserve">LIST DISTRIBUSI SISA HASIL USAHA (SHU) TAHUN BUKU 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</si>
</sst>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(* #,##0.000_);_(* \(#,##0.000\);_(* &quot;-&quot;??_);_(@_)"/>
    <numFmt numFmtId="167" formatCode="_(* #,##0.0000000_);_(* \(#,##0.0000000\);_(* &quot;-&quot;??_);_(@_)"/>
    <numFmt numFmtId="168" formatCode="[$-409]d\-mmm\-yy;@"/>
    <numFmt numFmtId="169" formatCode="_-[$Rp-421]* #,##0_-;\-[$Rp-421]* #,##0_-;_-[$Rp-421]* &quot;-&quot;??_-;_-@_-"/>
    <numFmt numFmtId="170" formatCode="_-* #,##0.000_-;\-* #,##0.000_-;_-* &quot;-&quot;???_-;_-@_-"/>
    <numFmt numFmtId="171" formatCode="_-[$Rp]* #,##0.00_-;\-[$Rp]* #,##0.00_-;_-[$Rp]* &quot;-&quot;??_-;_-@_-"/>
    <numFmt numFmtId="172" formatCode="_([$IDR]\ * #,##0.00_);_([$IDR]\ * \(#,##0.00\);_([$IDR]\ * &quot;-&quot;??_);_(@_)"/>
  </numFmts>
  <fonts count="39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i/>
      <u/>
      <sz val="12"/>
      <name val="Garamond"/>
      <family val="1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color indexed="8"/>
      <name val="Arial"/>
      <family val="2"/>
    </font>
    <font>
      <b/>
      <u/>
      <sz val="10"/>
      <name val="Arial"/>
      <family val="2"/>
    </font>
    <font>
      <b/>
      <sz val="12"/>
      <color indexed="8"/>
      <name val="Arial Narrow"/>
      <family val="2"/>
    </font>
    <font>
      <sz val="12"/>
      <name val="Arial Narrow"/>
      <family val="2"/>
    </font>
    <font>
      <sz val="12"/>
      <color indexed="8"/>
      <name val="Arial Narrow"/>
      <family val="2"/>
    </font>
    <font>
      <b/>
      <sz val="12"/>
      <name val="Arial Narrow"/>
      <family val="2"/>
    </font>
    <font>
      <b/>
      <sz val="14"/>
      <name val="Arial Narrow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</font>
    <font>
      <b/>
      <sz val="11"/>
      <color theme="1"/>
      <name val="Calibri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Arial"/>
      <family val="2"/>
    </font>
    <font>
      <b/>
      <i/>
      <u/>
      <sz val="11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168" fontId="13" fillId="0" borderId="0"/>
    <xf numFmtId="9" fontId="1" fillId="0" borderId="0" applyFont="0" applyFill="0" applyBorder="0" applyAlignment="0" applyProtection="0"/>
  </cellStyleXfs>
  <cellXfs count="383">
    <xf numFmtId="0" fontId="0" fillId="0" borderId="0" xfId="0"/>
    <xf numFmtId="0" fontId="0" fillId="0" borderId="1" xfId="0" applyBorder="1"/>
    <xf numFmtId="165" fontId="0" fillId="0" borderId="0" xfId="0" applyNumberFormat="1"/>
    <xf numFmtId="165" fontId="0" fillId="0" borderId="0" xfId="1" applyNumberFormat="1" applyFont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5" fontId="0" fillId="0" borderId="1" xfId="1" applyNumberFormat="1" applyFont="1" applyBorder="1"/>
    <xf numFmtId="0" fontId="4" fillId="0" borderId="0" xfId="0" applyFont="1"/>
    <xf numFmtId="41" fontId="0" fillId="0" borderId="0" xfId="2" applyFont="1"/>
    <xf numFmtId="0" fontId="0" fillId="2" borderId="1" xfId="0" applyFill="1" applyBorder="1"/>
    <xf numFmtId="165" fontId="7" fillId="2" borderId="1" xfId="1" applyNumberFormat="1" applyFont="1" applyFill="1" applyBorder="1"/>
    <xf numFmtId="0" fontId="4" fillId="2" borderId="1" xfId="0" applyFont="1" applyFill="1" applyBorder="1" applyAlignment="1">
      <alignment horizontal="center"/>
    </xf>
    <xf numFmtId="165" fontId="4" fillId="2" borderId="1" xfId="0" applyNumberFormat="1" applyFont="1" applyFill="1" applyBorder="1"/>
    <xf numFmtId="0" fontId="2" fillId="0" borderId="0" xfId="0" applyFont="1"/>
    <xf numFmtId="0" fontId="2" fillId="0" borderId="1" xfId="0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9" fontId="0" fillId="0" borderId="1" xfId="10" applyFont="1" applyBorder="1"/>
    <xf numFmtId="165" fontId="2" fillId="0" borderId="1" xfId="1" applyNumberFormat="1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41" fontId="2" fillId="0" borderId="0" xfId="2" applyFont="1"/>
    <xf numFmtId="165" fontId="0" fillId="5" borderId="0" xfId="0" applyNumberFormat="1" applyFill="1"/>
    <xf numFmtId="41" fontId="4" fillId="0" borderId="0" xfId="0" applyNumberFormat="1" applyFont="1"/>
    <xf numFmtId="0" fontId="24" fillId="0" borderId="0" xfId="0" applyFont="1"/>
    <xf numFmtId="165" fontId="10" fillId="5" borderId="1" xfId="1" applyNumberFormat="1" applyFont="1" applyFill="1" applyBorder="1"/>
    <xf numFmtId="41" fontId="0" fillId="0" borderId="1" xfId="2" applyFont="1" applyBorder="1"/>
    <xf numFmtId="41" fontId="0" fillId="0" borderId="0" xfId="0" applyNumberFormat="1"/>
    <xf numFmtId="43" fontId="0" fillId="0" borderId="0" xfId="1" applyFont="1"/>
    <xf numFmtId="165" fontId="2" fillId="0" borderId="0" xfId="1" applyNumberFormat="1" applyFont="1"/>
    <xf numFmtId="0" fontId="25" fillId="6" borderId="1" xfId="0" applyFont="1" applyFill="1" applyBorder="1" applyAlignment="1">
      <alignment horizontal="center"/>
    </xf>
    <xf numFmtId="17" fontId="2" fillId="0" borderId="1" xfId="0" applyNumberFormat="1" applyFont="1" applyBorder="1" applyAlignment="1">
      <alignment horizontal="left"/>
    </xf>
    <xf numFmtId="17" fontId="0" fillId="0" borderId="1" xfId="0" applyNumberFormat="1" applyBorder="1" applyAlignment="1">
      <alignment horizontal="left"/>
    </xf>
    <xf numFmtId="0" fontId="4" fillId="0" borderId="2" xfId="0" applyFont="1" applyBorder="1"/>
    <xf numFmtId="0" fontId="4" fillId="7" borderId="2" xfId="0" applyFont="1" applyFill="1" applyBorder="1"/>
    <xf numFmtId="43" fontId="4" fillId="7" borderId="2" xfId="0" applyNumberFormat="1" applyFont="1" applyFill="1" applyBorder="1"/>
    <xf numFmtId="0" fontId="14" fillId="0" borderId="0" xfId="0" applyFont="1"/>
    <xf numFmtId="43" fontId="0" fillId="0" borderId="0" xfId="0" applyNumberFormat="1"/>
    <xf numFmtId="164" fontId="4" fillId="0" borderId="2" xfId="0" applyNumberFormat="1" applyFont="1" applyBorder="1"/>
    <xf numFmtId="169" fontId="23" fillId="8" borderId="3" xfId="2" applyNumberFormat="1" applyFont="1" applyFill="1" applyBorder="1" applyAlignment="1">
      <alignment horizontal="center" vertical="center" wrapText="1"/>
    </xf>
    <xf numFmtId="10" fontId="0" fillId="0" borderId="1" xfId="10" applyNumberFormat="1" applyFont="1" applyBorder="1" applyAlignment="1">
      <alignment horizontal="center" vertical="center"/>
    </xf>
    <xf numFmtId="41" fontId="0" fillId="0" borderId="1" xfId="2" applyFont="1" applyBorder="1" applyAlignment="1">
      <alignment horizontal="center" vertical="center"/>
    </xf>
    <xf numFmtId="41" fontId="10" fillId="5" borderId="1" xfId="2" applyFont="1" applyFill="1" applyBorder="1" applyAlignment="1">
      <alignment horizontal="center" vertical="center"/>
    </xf>
    <xf numFmtId="9" fontId="0" fillId="0" borderId="1" xfId="10" applyFont="1" applyBorder="1" applyAlignment="1">
      <alignment horizontal="center"/>
    </xf>
    <xf numFmtId="9" fontId="10" fillId="9" borderId="1" xfId="10" applyFont="1" applyFill="1" applyBorder="1" applyAlignment="1">
      <alignment horizontal="center"/>
    </xf>
    <xf numFmtId="165" fontId="2" fillId="0" borderId="0" xfId="0" applyNumberFormat="1" applyFont="1"/>
    <xf numFmtId="165" fontId="2" fillId="0" borderId="1" xfId="4" applyNumberFormat="1" applyFont="1" applyFill="1" applyBorder="1"/>
    <xf numFmtId="0" fontId="5" fillId="0" borderId="0" xfId="0" applyFont="1"/>
    <xf numFmtId="0" fontId="3" fillId="0" borderId="0" xfId="0" applyFont="1"/>
    <xf numFmtId="0" fontId="3" fillId="0" borderId="4" xfId="0" applyFont="1" applyBorder="1"/>
    <xf numFmtId="165" fontId="0" fillId="0" borderId="1" xfId="4" applyNumberFormat="1" applyFont="1" applyBorder="1"/>
    <xf numFmtId="165" fontId="2" fillId="0" borderId="1" xfId="4" applyNumberFormat="1" applyFont="1" applyBorder="1"/>
    <xf numFmtId="165" fontId="4" fillId="0" borderId="1" xfId="4" applyNumberFormat="1" applyFont="1" applyBorder="1"/>
    <xf numFmtId="165" fontId="4" fillId="0" borderId="0" xfId="0" applyNumberFormat="1" applyFont="1"/>
    <xf numFmtId="0" fontId="4" fillId="2" borderId="0" xfId="0" applyFont="1" applyFill="1" applyAlignment="1">
      <alignment horizontal="center"/>
    </xf>
    <xf numFmtId="0" fontId="26" fillId="0" borderId="0" xfId="0" applyFont="1"/>
    <xf numFmtId="0" fontId="26" fillId="0" borderId="0" xfId="0" applyFont="1" applyAlignment="1">
      <alignment horizontal="centerContinuous"/>
    </xf>
    <xf numFmtId="0" fontId="26" fillId="0" borderId="0" xfId="0" quotePrefix="1" applyFont="1"/>
    <xf numFmtId="0" fontId="27" fillId="0" borderId="0" xfId="0" applyFont="1" applyAlignment="1">
      <alignment horizontal="right"/>
    </xf>
    <xf numFmtId="0" fontId="26" fillId="0" borderId="4" xfId="0" applyFont="1" applyBorder="1"/>
    <xf numFmtId="0" fontId="26" fillId="4" borderId="0" xfId="0" applyFont="1" applyFill="1"/>
    <xf numFmtId="0" fontId="26" fillId="0" borderId="5" xfId="0" applyFont="1" applyBorder="1"/>
    <xf numFmtId="0" fontId="26" fillId="0" borderId="6" xfId="0" applyFont="1" applyBorder="1"/>
    <xf numFmtId="0" fontId="26" fillId="0" borderId="7" xfId="0" applyFont="1" applyBorder="1"/>
    <xf numFmtId="0" fontId="26" fillId="0" borderId="8" xfId="0" applyFont="1" applyBorder="1"/>
    <xf numFmtId="0" fontId="26" fillId="0" borderId="9" xfId="0" applyFont="1" applyBorder="1"/>
    <xf numFmtId="0" fontId="28" fillId="0" borderId="5" xfId="0" applyFont="1" applyBorder="1"/>
    <xf numFmtId="0" fontId="29" fillId="0" borderId="0" xfId="0" applyFont="1" applyAlignment="1">
      <alignment horizontal="centerContinuous"/>
    </xf>
    <xf numFmtId="0" fontId="29" fillId="0" borderId="10" xfId="0" applyFont="1" applyBorder="1" applyAlignment="1">
      <alignment horizontal="centerContinuous"/>
    </xf>
    <xf numFmtId="0" fontId="28" fillId="0" borderId="0" xfId="0" applyFont="1"/>
    <xf numFmtId="0" fontId="29" fillId="0" borderId="9" xfId="0" applyFont="1" applyBorder="1" applyAlignment="1">
      <alignment horizontal="centerContinuous"/>
    </xf>
    <xf numFmtId="0" fontId="29" fillId="0" borderId="0" xfId="0" applyFont="1"/>
    <xf numFmtId="0" fontId="29" fillId="0" borderId="10" xfId="0" applyFont="1" applyBorder="1"/>
    <xf numFmtId="0" fontId="29" fillId="0" borderId="0" xfId="0" quotePrefix="1" applyFont="1" applyAlignment="1">
      <alignment horizontal="left"/>
    </xf>
    <xf numFmtId="0" fontId="26" fillId="0" borderId="5" xfId="0" applyFont="1" applyBorder="1" applyAlignment="1">
      <alignment horizontal="center"/>
    </xf>
    <xf numFmtId="0" fontId="27" fillId="0" borderId="0" xfId="0" applyFont="1"/>
    <xf numFmtId="165" fontId="27" fillId="0" borderId="10" xfId="5" quotePrefix="1" applyNumberFormat="1" applyFont="1" applyBorder="1"/>
    <xf numFmtId="165" fontId="27" fillId="5" borderId="10" xfId="5" quotePrefix="1" applyNumberFormat="1" applyFont="1" applyFill="1" applyBorder="1"/>
    <xf numFmtId="43" fontId="26" fillId="0" borderId="0" xfId="1" applyFont="1"/>
    <xf numFmtId="164" fontId="26" fillId="0" borderId="0" xfId="0" applyNumberFormat="1" applyFont="1"/>
    <xf numFmtId="0" fontId="26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right"/>
    </xf>
    <xf numFmtId="165" fontId="29" fillId="0" borderId="10" xfId="5" applyNumberFormat="1" applyFont="1" applyBorder="1"/>
    <xf numFmtId="0" fontId="26" fillId="0" borderId="10" xfId="0" applyFont="1" applyBorder="1"/>
    <xf numFmtId="0" fontId="26" fillId="0" borderId="0" xfId="0" quotePrefix="1" applyFont="1" applyAlignment="1">
      <alignment horizontal="left"/>
    </xf>
    <xf numFmtId="0" fontId="26" fillId="0" borderId="10" xfId="0" quotePrefix="1" applyFont="1" applyBorder="1" applyAlignment="1">
      <alignment horizontal="left"/>
    </xf>
    <xf numFmtId="0" fontId="27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top"/>
    </xf>
    <xf numFmtId="0" fontId="26" fillId="0" borderId="0" xfId="0" applyFont="1" applyAlignment="1">
      <alignment vertical="top"/>
    </xf>
    <xf numFmtId="165" fontId="27" fillId="0" borderId="10" xfId="5" quotePrefix="1" applyNumberFormat="1" applyFont="1" applyBorder="1" applyAlignment="1">
      <alignment vertical="top"/>
    </xf>
    <xf numFmtId="0" fontId="26" fillId="0" borderId="11" xfId="0" applyFont="1" applyBorder="1" applyAlignment="1">
      <alignment horizontal="center"/>
    </xf>
    <xf numFmtId="0" fontId="26" fillId="0" borderId="4" xfId="0" quotePrefix="1" applyFont="1" applyBorder="1" applyAlignment="1">
      <alignment horizontal="left"/>
    </xf>
    <xf numFmtId="0" fontId="26" fillId="0" borderId="3" xfId="0" quotePrefix="1" applyFont="1" applyBorder="1" applyAlignment="1">
      <alignment horizontal="left"/>
    </xf>
    <xf numFmtId="0" fontId="26" fillId="4" borderId="4" xfId="0" applyFont="1" applyFill="1" applyBorder="1"/>
    <xf numFmtId="0" fontId="26" fillId="0" borderId="3" xfId="0" applyFont="1" applyBorder="1"/>
    <xf numFmtId="0" fontId="26" fillId="0" borderId="11" xfId="0" applyFont="1" applyBorder="1"/>
    <xf numFmtId="165" fontId="26" fillId="0" borderId="0" xfId="0" applyNumberFormat="1" applyFont="1"/>
    <xf numFmtId="166" fontId="26" fillId="0" borderId="0" xfId="0" applyNumberFormat="1" applyFont="1"/>
    <xf numFmtId="0" fontId="26" fillId="0" borderId="12" xfId="0" applyFont="1" applyBorder="1"/>
    <xf numFmtId="0" fontId="26" fillId="0" borderId="13" xfId="0" applyFont="1" applyBorder="1"/>
    <xf numFmtId="0" fontId="28" fillId="0" borderId="12" xfId="0" applyFont="1" applyBorder="1"/>
    <xf numFmtId="0" fontId="29" fillId="0" borderId="13" xfId="0" applyFont="1" applyBorder="1" applyAlignment="1">
      <alignment horizontal="centerContinuous"/>
    </xf>
    <xf numFmtId="165" fontId="27" fillId="0" borderId="13" xfId="0" applyNumberFormat="1" applyFont="1" applyBorder="1"/>
    <xf numFmtId="0" fontId="26" fillId="0" borderId="12" xfId="0" applyFont="1" applyBorder="1" applyAlignment="1">
      <alignment horizontal="left"/>
    </xf>
    <xf numFmtId="165" fontId="26" fillId="0" borderId="13" xfId="0" applyNumberFormat="1" applyFont="1" applyBorder="1"/>
    <xf numFmtId="0" fontId="26" fillId="0" borderId="14" xfId="0" applyFont="1" applyBorder="1" applyAlignment="1">
      <alignment horizontal="left"/>
    </xf>
    <xf numFmtId="165" fontId="26" fillId="0" borderId="15" xfId="0" applyNumberFormat="1" applyFont="1" applyBorder="1"/>
    <xf numFmtId="0" fontId="28" fillId="0" borderId="12" xfId="0" applyFont="1" applyBorder="1" applyAlignment="1">
      <alignment horizontal="left"/>
    </xf>
    <xf numFmtId="165" fontId="28" fillId="0" borderId="13" xfId="0" applyNumberFormat="1" applyFont="1" applyBorder="1"/>
    <xf numFmtId="0" fontId="26" fillId="0" borderId="12" xfId="0" applyFont="1" applyBorder="1" applyAlignment="1">
      <alignment horizontal="center"/>
    </xf>
    <xf numFmtId="0" fontId="28" fillId="0" borderId="12" xfId="0" applyFont="1" applyBorder="1" applyAlignment="1">
      <alignment horizontal="center"/>
    </xf>
    <xf numFmtId="0" fontId="29" fillId="0" borderId="13" xfId="0" applyFont="1" applyBorder="1" applyAlignment="1">
      <alignment horizontal="right"/>
    </xf>
    <xf numFmtId="41" fontId="29" fillId="0" borderId="13" xfId="2" applyFont="1" applyBorder="1" applyAlignment="1"/>
    <xf numFmtId="0" fontId="29" fillId="0" borderId="13" xfId="0" applyFont="1" applyBorder="1"/>
    <xf numFmtId="165" fontId="28" fillId="0" borderId="0" xfId="1" applyNumberFormat="1" applyFont="1"/>
    <xf numFmtId="165" fontId="29" fillId="0" borderId="13" xfId="0" applyNumberFormat="1" applyFont="1" applyBorder="1" applyAlignment="1">
      <alignment horizontal="right"/>
    </xf>
    <xf numFmtId="0" fontId="26" fillId="0" borderId="13" xfId="0" quotePrefix="1" applyFont="1" applyBorder="1" applyAlignment="1">
      <alignment horizontal="left"/>
    </xf>
    <xf numFmtId="0" fontId="26" fillId="0" borderId="14" xfId="0" applyFont="1" applyBorder="1" applyAlignment="1">
      <alignment horizontal="center"/>
    </xf>
    <xf numFmtId="0" fontId="26" fillId="0" borderId="15" xfId="0" quotePrefix="1" applyFont="1" applyBorder="1" applyAlignment="1">
      <alignment horizontal="left"/>
    </xf>
    <xf numFmtId="0" fontId="26" fillId="0" borderId="16" xfId="0" applyFont="1" applyBorder="1"/>
    <xf numFmtId="0" fontId="26" fillId="0" borderId="17" xfId="0" applyFont="1" applyBorder="1"/>
    <xf numFmtId="0" fontId="26" fillId="0" borderId="18" xfId="0" applyFont="1" applyBorder="1"/>
    <xf numFmtId="167" fontId="26" fillId="0" borderId="0" xfId="0" applyNumberFormat="1" applyFont="1"/>
    <xf numFmtId="165" fontId="28" fillId="0" borderId="13" xfId="1" applyNumberFormat="1" applyFont="1" applyBorder="1"/>
    <xf numFmtId="165" fontId="26" fillId="0" borderId="0" xfId="1" applyNumberFormat="1" applyFont="1"/>
    <xf numFmtId="9" fontId="0" fillId="0" borderId="0" xfId="10" applyFont="1"/>
    <xf numFmtId="165" fontId="2" fillId="0" borderId="4" xfId="0" applyNumberFormat="1" applyFont="1" applyBorder="1"/>
    <xf numFmtId="165" fontId="2" fillId="10" borderId="1" xfId="1" applyNumberFormat="1" applyFont="1" applyFill="1" applyBorder="1" applyAlignment="1">
      <alignment horizontal="center"/>
    </xf>
    <xf numFmtId="165" fontId="2" fillId="9" borderId="1" xfId="4" applyNumberFormat="1" applyFont="1" applyFill="1" applyBorder="1"/>
    <xf numFmtId="170" fontId="26" fillId="0" borderId="0" xfId="0" applyNumberFormat="1" applyFont="1"/>
    <xf numFmtId="9" fontId="26" fillId="0" borderId="0" xfId="10" applyFont="1"/>
    <xf numFmtId="0" fontId="4" fillId="9" borderId="1" xfId="0" applyFont="1" applyFill="1" applyBorder="1" applyAlignment="1">
      <alignment horizontal="center" vertical="center" wrapText="1"/>
    </xf>
    <xf numFmtId="165" fontId="4" fillId="0" borderId="1" xfId="4" applyNumberFormat="1" applyFont="1" applyFill="1" applyBorder="1"/>
    <xf numFmtId="165" fontId="0" fillId="0" borderId="1" xfId="0" applyNumberFormat="1" applyBorder="1" applyAlignment="1">
      <alignment horizontal="left"/>
    </xf>
    <xf numFmtId="0" fontId="0" fillId="0" borderId="0" xfId="0" applyAlignment="1">
      <alignment horizontal="center" vertical="center"/>
    </xf>
    <xf numFmtId="15" fontId="0" fillId="0" borderId="0" xfId="0" applyNumberFormat="1"/>
    <xf numFmtId="0" fontId="2" fillId="0" borderId="1" xfId="8" applyBorder="1" applyAlignment="1">
      <alignment horizontal="center" vertical="center"/>
    </xf>
    <xf numFmtId="0" fontId="11" fillId="0" borderId="1" xfId="9" applyNumberFormat="1" applyFont="1" applyBorder="1" applyAlignment="1">
      <alignment horizontal="center" vertical="center" wrapText="1"/>
    </xf>
    <xf numFmtId="0" fontId="2" fillId="0" borderId="1" xfId="8" applyBorder="1" applyAlignment="1">
      <alignment horizontal="left" vertical="center"/>
    </xf>
    <xf numFmtId="41" fontId="2" fillId="0" borderId="0" xfId="2" applyFont="1" applyBorder="1"/>
    <xf numFmtId="0" fontId="0" fillId="0" borderId="1" xfId="0" applyBorder="1" applyAlignment="1">
      <alignment horizontal="center" vertical="center"/>
    </xf>
    <xf numFmtId="0" fontId="2" fillId="0" borderId="0" xfId="8" applyAlignment="1">
      <alignment horizontal="left" vertical="center"/>
    </xf>
    <xf numFmtId="0" fontId="16" fillId="0" borderId="1" xfId="8" applyFont="1" applyBorder="1" applyAlignment="1">
      <alignment horizontal="center" vertical="center"/>
    </xf>
    <xf numFmtId="0" fontId="17" fillId="0" borderId="1" xfId="9" applyNumberFormat="1" applyFont="1" applyBorder="1" applyAlignment="1">
      <alignment horizontal="center" vertical="center" wrapText="1"/>
    </xf>
    <xf numFmtId="0" fontId="16" fillId="11" borderId="1" xfId="8" applyFont="1" applyFill="1" applyBorder="1" applyAlignment="1">
      <alignment horizontal="center" vertical="center"/>
    </xf>
    <xf numFmtId="1" fontId="15" fillId="12" borderId="1" xfId="9" applyNumberFormat="1" applyFont="1" applyFill="1" applyBorder="1" applyAlignment="1">
      <alignment horizontal="center" vertical="center" wrapText="1"/>
    </xf>
    <xf numFmtId="0" fontId="15" fillId="12" borderId="1" xfId="9" applyNumberFormat="1" applyFont="1" applyFill="1" applyBorder="1" applyAlignment="1">
      <alignment horizontal="center" vertical="center" wrapText="1"/>
    </xf>
    <xf numFmtId="168" fontId="15" fillId="12" borderId="1" xfId="9" applyFont="1" applyFill="1" applyBorder="1" applyAlignment="1">
      <alignment horizontal="center" vertical="center" wrapText="1"/>
    </xf>
    <xf numFmtId="165" fontId="16" fillId="0" borderId="0" xfId="1" applyNumberFormat="1" applyFont="1" applyAlignment="1">
      <alignment horizontal="center"/>
    </xf>
    <xf numFmtId="0" fontId="16" fillId="0" borderId="0" xfId="0" applyFont="1" applyAlignment="1">
      <alignment horizontal="center"/>
    </xf>
    <xf numFmtId="168" fontId="17" fillId="0" borderId="1" xfId="9" applyFont="1" applyBorder="1" applyAlignment="1">
      <alignment horizontal="center" vertical="center" wrapText="1"/>
    </xf>
    <xf numFmtId="168" fontId="17" fillId="11" borderId="1" xfId="9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165" fontId="16" fillId="0" borderId="1" xfId="1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71" fontId="16" fillId="0" borderId="1" xfId="7" applyNumberFormat="1" applyFont="1" applyBorder="1" applyAlignment="1">
      <alignment horizontal="center" vertical="center"/>
    </xf>
    <xf numFmtId="165" fontId="16" fillId="0" borderId="1" xfId="1" quotePrefix="1" applyNumberFormat="1" applyFont="1" applyBorder="1" applyAlignment="1">
      <alignment horizontal="left" vertical="center"/>
    </xf>
    <xf numFmtId="171" fontId="16" fillId="0" borderId="1" xfId="7" applyNumberFormat="1" applyFont="1" applyBorder="1" applyAlignment="1">
      <alignment horizontal="center" vertical="center" wrapText="1"/>
    </xf>
    <xf numFmtId="0" fontId="16" fillId="0" borderId="1" xfId="8" applyFont="1" applyBorder="1" applyAlignment="1">
      <alignment horizontal="center" vertical="center" wrapText="1"/>
    </xf>
    <xf numFmtId="0" fontId="16" fillId="11" borderId="1" xfId="8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165" fontId="0" fillId="0" borderId="1" xfId="6" applyNumberFormat="1" applyFont="1" applyBorder="1"/>
    <xf numFmtId="165" fontId="2" fillId="0" borderId="1" xfId="6" applyNumberFormat="1" applyFont="1" applyBorder="1"/>
    <xf numFmtId="165" fontId="4" fillId="0" borderId="1" xfId="6" applyNumberFormat="1" applyFont="1" applyBorder="1"/>
    <xf numFmtId="165" fontId="0" fillId="0" borderId="0" xfId="6" applyNumberFormat="1" applyFont="1"/>
    <xf numFmtId="41" fontId="2" fillId="0" borderId="1" xfId="3" applyFont="1" applyFill="1" applyBorder="1"/>
    <xf numFmtId="41" fontId="2" fillId="0" borderId="1" xfId="3" applyFont="1" applyBorder="1"/>
    <xf numFmtId="165" fontId="0" fillId="0" borderId="0" xfId="6" applyNumberFormat="1" applyFont="1" applyFill="1"/>
    <xf numFmtId="165" fontId="0" fillId="0" borderId="1" xfId="4" applyNumberFormat="1" applyFont="1" applyFill="1" applyBorder="1"/>
    <xf numFmtId="165" fontId="4" fillId="2" borderId="0" xfId="0" applyNumberFormat="1" applyFont="1" applyFill="1"/>
    <xf numFmtId="165" fontId="2" fillId="0" borderId="1" xfId="6" applyNumberFormat="1" applyFont="1" applyBorder="1" applyAlignment="1">
      <alignment horizontal="left"/>
    </xf>
    <xf numFmtId="165" fontId="2" fillId="9" borderId="1" xfId="6" applyNumberFormat="1" applyFont="1" applyFill="1" applyBorder="1"/>
    <xf numFmtId="165" fontId="2" fillId="0" borderId="1" xfId="6" applyNumberFormat="1" applyFont="1" applyFill="1" applyBorder="1"/>
    <xf numFmtId="0" fontId="4" fillId="0" borderId="1" xfId="0" applyFont="1" applyBorder="1" applyAlignment="1">
      <alignment horizontal="center" vertical="center"/>
    </xf>
    <xf numFmtId="165" fontId="30" fillId="13" borderId="1" xfId="1" applyNumberFormat="1" applyFont="1" applyFill="1" applyBorder="1" applyAlignment="1">
      <alignment horizontal="center" vertical="center" wrapText="1"/>
    </xf>
    <xf numFmtId="165" fontId="30" fillId="14" borderId="1" xfId="1" applyNumberFormat="1" applyFont="1" applyFill="1" applyBorder="1" applyAlignment="1">
      <alignment horizontal="center" vertical="center" wrapText="1"/>
    </xf>
    <xf numFmtId="165" fontId="30" fillId="14" borderId="1" xfId="1" applyNumberFormat="1" applyFont="1" applyFill="1" applyBorder="1" applyAlignment="1">
      <alignment horizontal="center" vertical="center"/>
    </xf>
    <xf numFmtId="165" fontId="30" fillId="13" borderId="1" xfId="1" applyNumberFormat="1" applyFont="1" applyFill="1" applyBorder="1" applyAlignment="1">
      <alignment horizontal="center" vertical="center"/>
    </xf>
    <xf numFmtId="165" fontId="31" fillId="14" borderId="1" xfId="1" applyNumberFormat="1" applyFont="1" applyFill="1" applyBorder="1"/>
    <xf numFmtId="165" fontId="32" fillId="14" borderId="1" xfId="1" applyNumberFormat="1" applyFont="1" applyFill="1" applyBorder="1"/>
    <xf numFmtId="165" fontId="31" fillId="13" borderId="1" xfId="1" applyNumberFormat="1" applyFont="1" applyFill="1" applyBorder="1"/>
    <xf numFmtId="165" fontId="31" fillId="13" borderId="1" xfId="1" applyNumberFormat="1" applyFont="1" applyFill="1" applyBorder="1" applyAlignment="1">
      <alignment horizontal="center" vertical="center"/>
    </xf>
    <xf numFmtId="0" fontId="30" fillId="13" borderId="1" xfId="0" applyFont="1" applyFill="1" applyBorder="1" applyAlignment="1">
      <alignment wrapText="1"/>
    </xf>
    <xf numFmtId="0" fontId="30" fillId="14" borderId="1" xfId="0" applyFont="1" applyFill="1" applyBorder="1"/>
    <xf numFmtId="0" fontId="31" fillId="14" borderId="1" xfId="0" applyFont="1" applyFill="1" applyBorder="1"/>
    <xf numFmtId="0" fontId="32" fillId="14" borderId="1" xfId="0" applyFont="1" applyFill="1" applyBorder="1"/>
    <xf numFmtId="165" fontId="31" fillId="14" borderId="1" xfId="1" applyNumberFormat="1" applyFont="1" applyFill="1" applyBorder="1" applyAlignment="1">
      <alignment horizontal="center" vertical="center"/>
    </xf>
    <xf numFmtId="0" fontId="30" fillId="14" borderId="1" xfId="0" applyFont="1" applyFill="1" applyBorder="1" applyAlignment="1">
      <alignment horizontal="left" wrapText="1"/>
    </xf>
    <xf numFmtId="0" fontId="31" fillId="13" borderId="1" xfId="0" applyFont="1" applyFill="1" applyBorder="1"/>
    <xf numFmtId="165" fontId="31" fillId="0" borderId="1" xfId="1" applyNumberFormat="1" applyFont="1" applyFill="1" applyBorder="1"/>
    <xf numFmtId="0" fontId="0" fillId="14" borderId="0" xfId="0" applyFill="1"/>
    <xf numFmtId="14" fontId="0" fillId="14" borderId="0" xfId="0" applyNumberFormat="1" applyFill="1"/>
    <xf numFmtId="0" fontId="30" fillId="13" borderId="1" xfId="0" applyFont="1" applyFill="1" applyBorder="1" applyAlignment="1">
      <alignment horizontal="left" wrapText="1"/>
    </xf>
    <xf numFmtId="0" fontId="30" fillId="13" borderId="1" xfId="0" applyFont="1" applyFill="1" applyBorder="1" applyAlignment="1">
      <alignment horizontal="left"/>
    </xf>
    <xf numFmtId="0" fontId="30" fillId="14" borderId="1" xfId="0" applyFont="1" applyFill="1" applyBorder="1" applyAlignment="1">
      <alignment horizontal="left"/>
    </xf>
    <xf numFmtId="0" fontId="31" fillId="14" borderId="1" xfId="0" applyFont="1" applyFill="1" applyBorder="1" applyAlignment="1">
      <alignment horizontal="left"/>
    </xf>
    <xf numFmtId="0" fontId="31" fillId="13" borderId="1" xfId="0" applyFont="1" applyFill="1" applyBorder="1" applyAlignment="1">
      <alignment horizontal="left"/>
    </xf>
    <xf numFmtId="14" fontId="0" fillId="13" borderId="0" xfId="0" applyNumberFormat="1" applyFill="1"/>
    <xf numFmtId="0" fontId="0" fillId="13" borderId="0" xfId="0" applyFill="1"/>
    <xf numFmtId="0" fontId="31" fillId="14" borderId="19" xfId="0" applyFont="1" applyFill="1" applyBorder="1"/>
    <xf numFmtId="10" fontId="0" fillId="0" borderId="1" xfId="0" applyNumberFormat="1" applyBorder="1"/>
    <xf numFmtId="165" fontId="0" fillId="0" borderId="1" xfId="1" applyNumberFormat="1" applyFont="1" applyBorder="1" applyAlignment="1"/>
    <xf numFmtId="0" fontId="4" fillId="9" borderId="1" xfId="0" applyFont="1" applyFill="1" applyBorder="1" applyAlignment="1">
      <alignment vertical="center" wrapText="1"/>
    </xf>
    <xf numFmtId="9" fontId="0" fillId="0" borderId="1" xfId="10" applyFont="1" applyBorder="1" applyAlignment="1"/>
    <xf numFmtId="165" fontId="0" fillId="0" borderId="0" xfId="1" applyNumberFormat="1" applyFont="1" applyAlignment="1"/>
    <xf numFmtId="0" fontId="31" fillId="0" borderId="0" xfId="0" applyFont="1"/>
    <xf numFmtId="0" fontId="31" fillId="13" borderId="19" xfId="0" applyFont="1" applyFill="1" applyBorder="1"/>
    <xf numFmtId="0" fontId="31" fillId="14" borderId="1" xfId="0" quotePrefix="1" applyFont="1" applyFill="1" applyBorder="1"/>
    <xf numFmtId="0" fontId="31" fillId="13" borderId="1" xfId="0" quotePrefix="1" applyFont="1" applyFill="1" applyBorder="1"/>
    <xf numFmtId="0" fontId="32" fillId="14" borderId="1" xfId="0" quotePrefix="1" applyFont="1" applyFill="1" applyBorder="1"/>
    <xf numFmtId="0" fontId="32" fillId="13" borderId="1" xfId="0" quotePrefix="1" applyFont="1" applyFill="1" applyBorder="1"/>
    <xf numFmtId="0" fontId="33" fillId="0" borderId="0" xfId="0" applyFont="1"/>
    <xf numFmtId="0" fontId="33" fillId="13" borderId="0" xfId="0" applyFont="1" applyFill="1"/>
    <xf numFmtId="165" fontId="33" fillId="0" borderId="0" xfId="1" applyNumberFormat="1" applyFont="1" applyFill="1" applyAlignment="1"/>
    <xf numFmtId="0" fontId="33" fillId="9" borderId="0" xfId="0" applyFont="1" applyFill="1"/>
    <xf numFmtId="0" fontId="33" fillId="14" borderId="0" xfId="0" applyFont="1" applyFill="1"/>
    <xf numFmtId="0" fontId="33" fillId="10" borderId="0" xfId="0" applyFont="1" applyFill="1"/>
    <xf numFmtId="0" fontId="34" fillId="15" borderId="1" xfId="0" applyFont="1" applyFill="1" applyBorder="1" applyAlignment="1">
      <alignment horizontal="center" vertical="center"/>
    </xf>
    <xf numFmtId="0" fontId="34" fillId="15" borderId="20" xfId="0" applyFont="1" applyFill="1" applyBorder="1" applyAlignment="1">
      <alignment horizontal="center" vertical="center"/>
    </xf>
    <xf numFmtId="0" fontId="34" fillId="15" borderId="21" xfId="0" applyFont="1" applyFill="1" applyBorder="1" applyAlignment="1">
      <alignment horizontal="center" vertical="center"/>
    </xf>
    <xf numFmtId="165" fontId="34" fillId="15" borderId="1" xfId="1" applyNumberFormat="1" applyFont="1" applyFill="1" applyBorder="1" applyAlignment="1">
      <alignment horizontal="center" vertical="center"/>
    </xf>
    <xf numFmtId="15" fontId="31" fillId="14" borderId="1" xfId="8" applyNumberFormat="1" applyFont="1" applyFill="1" applyBorder="1" applyAlignment="1">
      <alignment vertical="top" wrapText="1"/>
    </xf>
    <xf numFmtId="0" fontId="33" fillId="14" borderId="1" xfId="0" applyFont="1" applyFill="1" applyBorder="1"/>
    <xf numFmtId="0" fontId="31" fillId="14" borderId="1" xfId="0" applyFont="1" applyFill="1" applyBorder="1" applyAlignment="1">
      <alignment wrapText="1"/>
    </xf>
    <xf numFmtId="0" fontId="33" fillId="14" borderId="21" xfId="0" applyFont="1" applyFill="1" applyBorder="1"/>
    <xf numFmtId="165" fontId="31" fillId="14" borderId="1" xfId="1" applyNumberFormat="1" applyFont="1" applyFill="1" applyBorder="1" applyAlignment="1">
      <alignment vertical="center"/>
    </xf>
    <xf numFmtId="165" fontId="33" fillId="14" borderId="1" xfId="1" applyNumberFormat="1" applyFont="1" applyFill="1" applyBorder="1" applyAlignment="1"/>
    <xf numFmtId="165" fontId="31" fillId="14" borderId="1" xfId="1" applyNumberFormat="1" applyFont="1" applyFill="1" applyBorder="1" applyAlignment="1"/>
    <xf numFmtId="15" fontId="31" fillId="13" borderId="1" xfId="8" applyNumberFormat="1" applyFont="1" applyFill="1" applyBorder="1" applyAlignment="1">
      <alignment vertical="top" wrapText="1"/>
    </xf>
    <xf numFmtId="0" fontId="33" fillId="13" borderId="1" xfId="0" applyFont="1" applyFill="1" applyBorder="1"/>
    <xf numFmtId="165" fontId="33" fillId="13" borderId="1" xfId="1" applyNumberFormat="1" applyFont="1" applyFill="1" applyBorder="1" applyAlignment="1"/>
    <xf numFmtId="0" fontId="33" fillId="14" borderId="19" xfId="0" applyFont="1" applyFill="1" applyBorder="1"/>
    <xf numFmtId="0" fontId="33" fillId="14" borderId="20" xfId="0" applyFont="1" applyFill="1" applyBorder="1"/>
    <xf numFmtId="0" fontId="31" fillId="13" borderId="1" xfId="0" applyFont="1" applyFill="1" applyBorder="1" applyAlignment="1">
      <alignment wrapText="1"/>
    </xf>
    <xf numFmtId="0" fontId="33" fillId="13" borderId="21" xfId="0" applyFont="1" applyFill="1" applyBorder="1"/>
    <xf numFmtId="165" fontId="31" fillId="13" borderId="1" xfId="1" applyNumberFormat="1" applyFont="1" applyFill="1" applyBorder="1" applyAlignment="1">
      <alignment horizontal="center" vertical="center" wrapText="1"/>
    </xf>
    <xf numFmtId="165" fontId="31" fillId="14" borderId="1" xfId="1" applyNumberFormat="1" applyFont="1" applyFill="1" applyBorder="1" applyAlignment="1">
      <alignment horizontal="center" vertical="center" wrapText="1"/>
    </xf>
    <xf numFmtId="15" fontId="32" fillId="13" borderId="1" xfId="8" applyNumberFormat="1" applyFont="1" applyFill="1" applyBorder="1" applyAlignment="1">
      <alignment vertical="top" wrapText="1"/>
    </xf>
    <xf numFmtId="0" fontId="32" fillId="13" borderId="1" xfId="0" applyFont="1" applyFill="1" applyBorder="1"/>
    <xf numFmtId="0" fontId="32" fillId="13" borderId="1" xfId="0" applyFont="1" applyFill="1" applyBorder="1" applyAlignment="1">
      <alignment wrapText="1"/>
    </xf>
    <xf numFmtId="0" fontId="32" fillId="13" borderId="21" xfId="0" applyFont="1" applyFill="1" applyBorder="1"/>
    <xf numFmtId="165" fontId="32" fillId="13" borderId="1" xfId="1" applyNumberFormat="1" applyFont="1" applyFill="1" applyBorder="1" applyAlignment="1">
      <alignment horizontal="center" vertical="center" wrapText="1"/>
    </xf>
    <xf numFmtId="165" fontId="32" fillId="13" borderId="1" xfId="1" applyNumberFormat="1" applyFont="1" applyFill="1" applyBorder="1" applyAlignment="1">
      <alignment horizontal="center" vertical="center"/>
    </xf>
    <xf numFmtId="165" fontId="32" fillId="13" borderId="1" xfId="1" applyNumberFormat="1" applyFont="1" applyFill="1" applyBorder="1" applyAlignment="1"/>
    <xf numFmtId="15" fontId="32" fillId="14" borderId="1" xfId="8" applyNumberFormat="1" applyFont="1" applyFill="1" applyBorder="1" applyAlignment="1">
      <alignment vertical="top" wrapText="1"/>
    </xf>
    <xf numFmtId="0" fontId="32" fillId="14" borderId="21" xfId="0" applyFont="1" applyFill="1" applyBorder="1"/>
    <xf numFmtId="165" fontId="32" fillId="14" borderId="1" xfId="1" applyNumberFormat="1" applyFont="1" applyFill="1" applyBorder="1" applyAlignment="1"/>
    <xf numFmtId="0" fontId="33" fillId="13" borderId="19" xfId="0" applyFont="1" applyFill="1" applyBorder="1"/>
    <xf numFmtId="0" fontId="31" fillId="13" borderId="1" xfId="0" applyFont="1" applyFill="1" applyBorder="1" applyAlignment="1">
      <alignment horizontal="left" wrapText="1"/>
    </xf>
    <xf numFmtId="0" fontId="31" fillId="14" borderId="1" xfId="0" applyFont="1" applyFill="1" applyBorder="1" applyAlignment="1">
      <alignment horizontal="left" wrapText="1"/>
    </xf>
    <xf numFmtId="0" fontId="31" fillId="14" borderId="20" xfId="0" applyFont="1" applyFill="1" applyBorder="1" applyAlignment="1">
      <alignment horizontal="left" wrapText="1"/>
    </xf>
    <xf numFmtId="0" fontId="32" fillId="13" borderId="1" xfId="0" applyFont="1" applyFill="1" applyBorder="1" applyAlignment="1">
      <alignment horizontal="left" wrapText="1"/>
    </xf>
    <xf numFmtId="15" fontId="31" fillId="16" borderId="1" xfId="8" applyNumberFormat="1" applyFont="1" applyFill="1" applyBorder="1" applyAlignment="1">
      <alignment vertical="top" wrapText="1"/>
    </xf>
    <xf numFmtId="0" fontId="33" fillId="16" borderId="1" xfId="0" applyFont="1" applyFill="1" applyBorder="1"/>
    <xf numFmtId="0" fontId="33" fillId="16" borderId="21" xfId="0" applyFont="1" applyFill="1" applyBorder="1"/>
    <xf numFmtId="165" fontId="31" fillId="16" borderId="1" xfId="1" applyNumberFormat="1" applyFont="1" applyFill="1" applyBorder="1" applyAlignment="1">
      <alignment horizontal="center" vertical="center" wrapText="1"/>
    </xf>
    <xf numFmtId="165" fontId="33" fillId="16" borderId="1" xfId="1" applyNumberFormat="1" applyFont="1" applyFill="1" applyBorder="1" applyAlignment="1"/>
    <xf numFmtId="168" fontId="33" fillId="10" borderId="1" xfId="0" applyNumberFormat="1" applyFont="1" applyFill="1" applyBorder="1"/>
    <xf numFmtId="0" fontId="33" fillId="10" borderId="1" xfId="0" applyFont="1" applyFill="1" applyBorder="1"/>
    <xf numFmtId="0" fontId="33" fillId="10" borderId="20" xfId="0" applyFont="1" applyFill="1" applyBorder="1"/>
    <xf numFmtId="0" fontId="33" fillId="10" borderId="21" xfId="0" applyFont="1" applyFill="1" applyBorder="1"/>
    <xf numFmtId="165" fontId="31" fillId="10" borderId="1" xfId="1" applyNumberFormat="1" applyFont="1" applyFill="1" applyBorder="1" applyAlignment="1"/>
    <xf numFmtId="0" fontId="35" fillId="10" borderId="19" xfId="0" applyFont="1" applyFill="1" applyBorder="1"/>
    <xf numFmtId="0" fontId="33" fillId="10" borderId="19" xfId="0" applyFont="1" applyFill="1" applyBorder="1"/>
    <xf numFmtId="165" fontId="33" fillId="0" borderId="0" xfId="0" applyNumberFormat="1" applyFont="1"/>
    <xf numFmtId="168" fontId="33" fillId="0" borderId="1" xfId="0" applyNumberFormat="1" applyFont="1" applyBorder="1"/>
    <xf numFmtId="0" fontId="33" fillId="0" borderId="1" xfId="0" applyFont="1" applyBorder="1"/>
    <xf numFmtId="0" fontId="33" fillId="0" borderId="19" xfId="0" applyFont="1" applyBorder="1"/>
    <xf numFmtId="0" fontId="33" fillId="0" borderId="21" xfId="0" applyFont="1" applyBorder="1"/>
    <xf numFmtId="165" fontId="31" fillId="0" borderId="1" xfId="1" applyNumberFormat="1" applyFont="1" applyFill="1" applyBorder="1" applyAlignment="1"/>
    <xf numFmtId="0" fontId="33" fillId="0" borderId="20" xfId="0" applyFont="1" applyBorder="1"/>
    <xf numFmtId="165" fontId="33" fillId="0" borderId="1" xfId="1" applyNumberFormat="1" applyFont="1" applyFill="1" applyBorder="1" applyAlignment="1"/>
    <xf numFmtId="43" fontId="20" fillId="17" borderId="1" xfId="1" applyFont="1" applyFill="1" applyBorder="1"/>
    <xf numFmtId="43" fontId="2" fillId="17" borderId="1" xfId="1" applyFont="1" applyFill="1" applyBorder="1"/>
    <xf numFmtId="43" fontId="2" fillId="0" borderId="1" xfId="1" applyFont="1" applyFill="1" applyBorder="1"/>
    <xf numFmtId="43" fontId="0" fillId="0" borderId="1" xfId="1" applyFont="1" applyFill="1" applyBorder="1"/>
    <xf numFmtId="43" fontId="4" fillId="0" borderId="1" xfId="1" applyFont="1" applyFill="1" applyBorder="1"/>
    <xf numFmtId="43" fontId="2" fillId="0" borderId="1" xfId="1" applyFont="1" applyFill="1" applyBorder="1" applyAlignment="1">
      <alignment horizontal="center"/>
    </xf>
    <xf numFmtId="15" fontId="31" fillId="18" borderId="1" xfId="8" applyNumberFormat="1" applyFont="1" applyFill="1" applyBorder="1" applyAlignment="1">
      <alignment vertical="top" wrapText="1"/>
    </xf>
    <xf numFmtId="0" fontId="33" fillId="18" borderId="1" xfId="0" applyFont="1" applyFill="1" applyBorder="1"/>
    <xf numFmtId="0" fontId="31" fillId="18" borderId="1" xfId="0" applyFont="1" applyFill="1" applyBorder="1" applyAlignment="1">
      <alignment horizontal="left" wrapText="1"/>
    </xf>
    <xf numFmtId="0" fontId="33" fillId="18" borderId="21" xfId="0" applyFont="1" applyFill="1" applyBorder="1"/>
    <xf numFmtId="165" fontId="31" fillId="18" borderId="1" xfId="1" applyNumberFormat="1" applyFont="1" applyFill="1" applyBorder="1" applyAlignment="1">
      <alignment horizontal="center" vertical="center"/>
    </xf>
    <xf numFmtId="165" fontId="33" fillId="18" borderId="1" xfId="1" applyNumberFormat="1" applyFont="1" applyFill="1" applyBorder="1" applyAlignment="1"/>
    <xf numFmtId="0" fontId="31" fillId="13" borderId="21" xfId="0" applyFont="1" applyFill="1" applyBorder="1"/>
    <xf numFmtId="165" fontId="31" fillId="13" borderId="1" xfId="1" applyNumberFormat="1" applyFont="1" applyFill="1" applyBorder="1" applyAlignment="1"/>
    <xf numFmtId="165" fontId="9" fillId="0" borderId="0" xfId="0" applyNumberFormat="1" applyFont="1" applyAlignment="1">
      <alignment horizontal="center"/>
    </xf>
    <xf numFmtId="0" fontId="30" fillId="16" borderId="1" xfId="0" applyFont="1" applyFill="1" applyBorder="1" applyAlignment="1">
      <alignment horizontal="left" wrapText="1"/>
    </xf>
    <xf numFmtId="165" fontId="30" fillId="16" borderId="1" xfId="1" applyNumberFormat="1" applyFont="1" applyFill="1" applyBorder="1" applyAlignment="1">
      <alignment horizontal="center" vertical="center" wrapText="1"/>
    </xf>
    <xf numFmtId="165" fontId="30" fillId="16" borderId="1" xfId="1" applyNumberFormat="1" applyFont="1" applyFill="1" applyBorder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165" fontId="31" fillId="9" borderId="1" xfId="1" applyNumberFormat="1" applyFont="1" applyFill="1" applyBorder="1" applyAlignment="1">
      <alignment horizontal="center" vertical="center" wrapText="1"/>
    </xf>
    <xf numFmtId="165" fontId="32" fillId="9" borderId="1" xfId="1" applyNumberFormat="1" applyFont="1" applyFill="1" applyBorder="1" applyAlignment="1">
      <alignment horizontal="center" vertical="center" wrapText="1"/>
    </xf>
    <xf numFmtId="165" fontId="2" fillId="0" borderId="0" xfId="1" applyNumberFormat="1" applyFont="1" applyFill="1" applyBorder="1" applyAlignment="1">
      <alignment horizontal="center"/>
    </xf>
    <xf numFmtId="165" fontId="2" fillId="19" borderId="1" xfId="1" applyNumberFormat="1" applyFont="1" applyFill="1" applyBorder="1" applyAlignment="1">
      <alignment horizontal="center"/>
    </xf>
    <xf numFmtId="165" fontId="2" fillId="19" borderId="0" xfId="0" applyNumberFormat="1" applyFont="1" applyFill="1" applyAlignment="1">
      <alignment horizontal="center"/>
    </xf>
    <xf numFmtId="43" fontId="0" fillId="19" borderId="0" xfId="0" applyNumberFormat="1" applyFill="1"/>
    <xf numFmtId="0" fontId="0" fillId="19" borderId="0" xfId="0" applyFill="1"/>
    <xf numFmtId="165" fontId="2" fillId="19" borderId="0" xfId="0" applyNumberFormat="1" applyFont="1" applyFill="1"/>
    <xf numFmtId="165" fontId="0" fillId="19" borderId="0" xfId="0" applyNumberFormat="1" applyFill="1"/>
    <xf numFmtId="165" fontId="31" fillId="19" borderId="1" xfId="0" quotePrefix="1" applyNumberFormat="1" applyFont="1" applyFill="1" applyBorder="1"/>
    <xf numFmtId="165" fontId="21" fillId="19" borderId="0" xfId="1" applyNumberFormat="1" applyFont="1" applyFill="1"/>
    <xf numFmtId="165" fontId="34" fillId="0" borderId="0" xfId="1" applyNumberFormat="1" applyFont="1" applyFill="1" applyAlignment="1"/>
    <xf numFmtId="168" fontId="36" fillId="0" borderId="1" xfId="9" applyFont="1" applyBorder="1" applyAlignment="1">
      <alignment horizontal="left" vertical="center" wrapText="1"/>
    </xf>
    <xf numFmtId="43" fontId="0" fillId="0" borderId="1" xfId="1" applyFont="1" applyBorder="1"/>
    <xf numFmtId="10" fontId="10" fillId="5" borderId="1" xfId="2" applyNumberFormat="1" applyFont="1" applyFill="1" applyBorder="1"/>
    <xf numFmtId="41" fontId="10" fillId="5" borderId="1" xfId="2" applyFont="1" applyFill="1" applyBorder="1"/>
    <xf numFmtId="165" fontId="0" fillId="0" borderId="0" xfId="1" applyNumberFormat="1" applyFont="1" applyBorder="1"/>
    <xf numFmtId="43" fontId="22" fillId="10" borderId="0" xfId="1" applyFont="1" applyFill="1"/>
    <xf numFmtId="43" fontId="0" fillId="10" borderId="0" xfId="0" applyNumberFormat="1" applyFill="1"/>
    <xf numFmtId="0" fontId="0" fillId="10" borderId="0" xfId="0" applyFill="1"/>
    <xf numFmtId="41" fontId="0" fillId="0" borderId="1" xfId="0" applyNumberFormat="1" applyBorder="1"/>
    <xf numFmtId="41" fontId="0" fillId="10" borderId="1" xfId="0" applyNumberFormat="1" applyFill="1" applyBorder="1"/>
    <xf numFmtId="41" fontId="10" fillId="10" borderId="1" xfId="2" applyFont="1" applyFill="1" applyBorder="1"/>
    <xf numFmtId="172" fontId="23" fillId="8" borderId="3" xfId="0" applyNumberFormat="1" applyFont="1" applyFill="1" applyBorder="1" applyAlignment="1">
      <alignment vertical="center" wrapText="1"/>
    </xf>
    <xf numFmtId="168" fontId="36" fillId="0" borderId="1" xfId="9" applyFont="1" applyBorder="1" applyAlignment="1">
      <alignment horizontal="center" vertical="center" wrapText="1"/>
    </xf>
    <xf numFmtId="172" fontId="0" fillId="10" borderId="1" xfId="0" applyNumberFormat="1" applyFill="1" applyBorder="1" applyAlignment="1">
      <alignment horizontal="center" vertical="center"/>
    </xf>
    <xf numFmtId="165" fontId="4" fillId="2" borderId="7" xfId="0" applyNumberFormat="1" applyFont="1" applyFill="1" applyBorder="1" applyAlignment="1">
      <alignment horizontal="center"/>
    </xf>
    <xf numFmtId="165" fontId="4" fillId="2" borderId="0" xfId="0" applyNumberFormat="1" applyFont="1" applyFill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6" fillId="3" borderId="24" xfId="0" applyFont="1" applyFill="1" applyBorder="1" applyAlignment="1">
      <alignment horizontal="center" vertical="center"/>
    </xf>
    <xf numFmtId="0" fontId="26" fillId="3" borderId="25" xfId="0" applyFont="1" applyFill="1" applyBorder="1" applyAlignment="1">
      <alignment horizontal="center" vertical="center"/>
    </xf>
    <xf numFmtId="0" fontId="26" fillId="3" borderId="26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0" fontId="26" fillId="3" borderId="13" xfId="0" applyFont="1" applyFill="1" applyBorder="1" applyAlignment="1">
      <alignment horizontal="center" vertical="center"/>
    </xf>
    <xf numFmtId="0" fontId="26" fillId="3" borderId="14" xfId="0" applyFont="1" applyFill="1" applyBorder="1" applyAlignment="1">
      <alignment horizontal="center" vertical="center"/>
    </xf>
    <xf numFmtId="0" fontId="26" fillId="3" borderId="4" xfId="0" applyFont="1" applyFill="1" applyBorder="1" applyAlignment="1">
      <alignment horizontal="center" vertical="center"/>
    </xf>
    <xf numFmtId="0" fontId="26" fillId="3" borderId="15" xfId="0" applyFont="1" applyFill="1" applyBorder="1" applyAlignment="1">
      <alignment horizontal="center" vertical="center"/>
    </xf>
    <xf numFmtId="0" fontId="26" fillId="3" borderId="6" xfId="0" applyFont="1" applyFill="1" applyBorder="1" applyAlignment="1">
      <alignment horizontal="center" vertical="center"/>
    </xf>
    <xf numFmtId="0" fontId="26" fillId="3" borderId="10" xfId="0" applyFont="1" applyFill="1" applyBorder="1" applyAlignment="1">
      <alignment horizontal="center" vertical="center"/>
    </xf>
    <xf numFmtId="0" fontId="26" fillId="3" borderId="3" xfId="0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26" fillId="0" borderId="0" xfId="0" quotePrefix="1" applyFont="1" applyAlignment="1">
      <alignment horizontal="center"/>
    </xf>
    <xf numFmtId="0" fontId="38" fillId="0" borderId="0" xfId="0" applyFont="1" applyAlignment="1">
      <alignment horizontal="center"/>
    </xf>
    <xf numFmtId="0" fontId="26" fillId="0" borderId="12" xfId="0" applyFont="1" applyBorder="1" applyAlignment="1">
      <alignment horizontal="left"/>
    </xf>
    <xf numFmtId="0" fontId="26" fillId="0" borderId="0" xfId="0" applyFont="1" applyAlignment="1">
      <alignment horizontal="left"/>
    </xf>
    <xf numFmtId="0" fontId="26" fillId="0" borderId="5" xfId="0" applyFont="1" applyBorder="1" applyAlignment="1">
      <alignment horizontal="left"/>
    </xf>
    <xf numFmtId="0" fontId="26" fillId="3" borderId="22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6" fillId="3" borderId="5" xfId="0" applyFont="1" applyFill="1" applyBorder="1" applyAlignment="1">
      <alignment horizontal="center" vertical="center"/>
    </xf>
    <xf numFmtId="0" fontId="26" fillId="3" borderId="9" xfId="0" applyFont="1" applyFill="1" applyBorder="1" applyAlignment="1">
      <alignment horizontal="center" vertical="center"/>
    </xf>
    <xf numFmtId="0" fontId="26" fillId="3" borderId="11" xfId="0" applyFont="1" applyFill="1" applyBorder="1" applyAlignment="1">
      <alignment horizontal="center" vertical="center"/>
    </xf>
    <xf numFmtId="0" fontId="26" fillId="3" borderId="23" xfId="0" applyFont="1" applyFill="1" applyBorder="1" applyAlignment="1">
      <alignment horizontal="center" vertical="center"/>
    </xf>
    <xf numFmtId="0" fontId="23" fillId="8" borderId="6" xfId="0" applyFont="1" applyFill="1" applyBorder="1" applyAlignment="1">
      <alignment horizontal="center" vertical="center" wrapText="1"/>
    </xf>
    <xf numFmtId="0" fontId="23" fillId="8" borderId="10" xfId="0" applyFont="1" applyFill="1" applyBorder="1" applyAlignment="1">
      <alignment horizontal="center" vertical="center" wrapText="1"/>
    </xf>
    <xf numFmtId="0" fontId="23" fillId="8" borderId="3" xfId="0" applyFont="1" applyFill="1" applyBorder="1" applyAlignment="1">
      <alignment horizontal="center" vertical="center" wrapText="1"/>
    </xf>
    <xf numFmtId="0" fontId="23" fillId="10" borderId="6" xfId="0" applyFont="1" applyFill="1" applyBorder="1" applyAlignment="1">
      <alignment horizontal="center" vertical="center" wrapText="1"/>
    </xf>
    <xf numFmtId="0" fontId="23" fillId="10" borderId="10" xfId="0" applyFont="1" applyFill="1" applyBorder="1" applyAlignment="1">
      <alignment horizontal="center" vertical="center" wrapText="1"/>
    </xf>
    <xf numFmtId="0" fontId="23" fillId="10" borderId="3" xfId="0" applyFont="1" applyFill="1" applyBorder="1" applyAlignment="1">
      <alignment horizontal="center" vertical="center" wrapText="1"/>
    </xf>
    <xf numFmtId="1" fontId="12" fillId="12" borderId="1" xfId="9" applyNumberFormat="1" applyFont="1" applyFill="1" applyBorder="1" applyAlignment="1">
      <alignment horizontal="center" vertical="center" wrapText="1"/>
    </xf>
    <xf numFmtId="0" fontId="12" fillId="12" borderId="1" xfId="9" applyNumberFormat="1" applyFont="1" applyFill="1" applyBorder="1" applyAlignment="1">
      <alignment horizontal="center" vertical="center" wrapText="1"/>
    </xf>
    <xf numFmtId="168" fontId="12" fillId="12" borderId="1" xfId="9" applyFont="1" applyFill="1" applyBorder="1" applyAlignment="1">
      <alignment horizontal="center" vertical="center" wrapText="1"/>
    </xf>
    <xf numFmtId="165" fontId="23" fillId="8" borderId="1" xfId="1" applyNumberFormat="1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</cellXfs>
  <cellStyles count="11">
    <cellStyle name="Comma" xfId="1" builtinId="3"/>
    <cellStyle name="Comma [0]" xfId="2" builtinId="6"/>
    <cellStyle name="Comma [0] 2" xfId="3" xr:uid="{F897CE2A-B69E-4556-A82B-037B241E753E}"/>
    <cellStyle name="Comma 2" xfId="4" xr:uid="{33A3A856-7AF2-4BD2-A8DA-D1A432D9E07F}"/>
    <cellStyle name="Comma 3" xfId="5" xr:uid="{52978432-F0E3-44A0-B88F-684BCDF24674}"/>
    <cellStyle name="Comma 4" xfId="6" xr:uid="{8D946547-5A17-4962-8D20-1D2AB96FDA78}"/>
    <cellStyle name="Currency" xfId="7" builtinId="4"/>
    <cellStyle name="Normal" xfId="0" builtinId="0"/>
    <cellStyle name="Normal 2" xfId="8" xr:uid="{51E64C2F-5302-416F-8CA5-43E115EB5989}"/>
    <cellStyle name="Normal_Sheet1" xfId="9" xr:uid="{FE2D405E-0217-443F-8444-787DC658E60D}"/>
    <cellStyle name="Percent" xfId="10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845820</xdr:colOff>
      <xdr:row>457</xdr:row>
      <xdr:rowOff>7620</xdr:rowOff>
    </xdr:from>
    <xdr:to>
      <xdr:col>29</xdr:col>
      <xdr:colOff>60960</xdr:colOff>
      <xdr:row>463</xdr:row>
      <xdr:rowOff>76200</xdr:rowOff>
    </xdr:to>
    <xdr:pic>
      <xdr:nvPicPr>
        <xdr:cNvPr id="21713" name="Picture 1">
          <a:extLst>
            <a:ext uri="{FF2B5EF4-FFF2-40B4-BE49-F238E27FC236}">
              <a16:creationId xmlns:a16="http://schemas.microsoft.com/office/drawing/2014/main" id="{1F7502AB-F92B-5F65-8BBB-0328A891B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09580" y="77343000"/>
          <a:ext cx="5585460" cy="1074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68580</xdr:colOff>
      <xdr:row>39</xdr:row>
      <xdr:rowOff>15240</xdr:rowOff>
    </xdr:from>
    <xdr:to>
      <xdr:col>5</xdr:col>
      <xdr:colOff>1440180</xdr:colOff>
      <xdr:row>51</xdr:row>
      <xdr:rowOff>15240</xdr:rowOff>
    </xdr:to>
    <xdr:pic>
      <xdr:nvPicPr>
        <xdr:cNvPr id="22737" name="Picture 1">
          <a:extLst>
            <a:ext uri="{FF2B5EF4-FFF2-40B4-BE49-F238E27FC236}">
              <a16:creationId xmlns:a16="http://schemas.microsoft.com/office/drawing/2014/main" id="{614A148B-F179-B79E-FCF6-6B3FD47FA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3840" y="6583680"/>
          <a:ext cx="6073140" cy="2011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68580</xdr:colOff>
      <xdr:row>34</xdr:row>
      <xdr:rowOff>167640</xdr:rowOff>
    </xdr:from>
    <xdr:to>
      <xdr:col>12</xdr:col>
      <xdr:colOff>1691640</xdr:colOff>
      <xdr:row>38</xdr:row>
      <xdr:rowOff>114300</xdr:rowOff>
    </xdr:to>
    <xdr:pic>
      <xdr:nvPicPr>
        <xdr:cNvPr id="9590" name="Picture 1">
          <a:extLst>
            <a:ext uri="{FF2B5EF4-FFF2-40B4-BE49-F238E27FC236}">
              <a16:creationId xmlns:a16="http://schemas.microsoft.com/office/drawing/2014/main" id="{178C4B0A-F83C-B9F1-94FA-3D71B7089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0140" y="5989320"/>
          <a:ext cx="7033260" cy="617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bambang.senoadi/AppData/Local/Microsoft/Windows/INetCache/Content.Outlook/YGCAMLMC/KOPERASI%202021.xls" TargetMode="External"/><Relationship Id="rId1" Type="http://schemas.openxmlformats.org/officeDocument/2006/relationships/externalLinkPath" Target="/Users/bambang.senoadi/AppData/Local/Microsoft/Windows/INetCache/Content.Outlook/YGCAMLMC/KOPERASI%202021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bambang.senoadi/AppData/Local/Microsoft/Windows/INetCache/Content.Outlook/YGCAMLMC/Kas%20Kecil%20+%20Besar%202023.xlsx" TargetMode="External"/><Relationship Id="rId1" Type="http://schemas.openxmlformats.org/officeDocument/2006/relationships/externalLinkPath" Target="/Users/bambang.senoadi/AppData/Local/Microsoft/Windows/INetCache/Content.Outlook/YGCAMLMC/Kas%20Kecil%20+%20Besar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Kas"/>
      <sheetName val="Bank"/>
      <sheetName val="Piutang Pengadaan"/>
      <sheetName val="Toko"/>
      <sheetName val="Jurnal"/>
      <sheetName val="Notes"/>
      <sheetName val="Simpanan KAryawan"/>
      <sheetName val="Neraca Saldo"/>
      <sheetName val="Neraca "/>
      <sheetName val="SHU"/>
      <sheetName val="Distribusi SH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6">
          <cell r="B6" t="str">
            <v>Kode Akun</v>
          </cell>
          <cell r="C6" t="str">
            <v>Keterangan</v>
          </cell>
        </row>
        <row r="7">
          <cell r="B7">
            <v>1</v>
          </cell>
          <cell r="C7" t="str">
            <v>Harta</v>
          </cell>
        </row>
        <row r="8">
          <cell r="B8">
            <v>111</v>
          </cell>
          <cell r="C8" t="str">
            <v>Bank</v>
          </cell>
        </row>
        <row r="9">
          <cell r="B9">
            <v>112</v>
          </cell>
          <cell r="C9" t="str">
            <v>Kas</v>
          </cell>
        </row>
        <row r="10">
          <cell r="B10">
            <v>121</v>
          </cell>
          <cell r="C10" t="str">
            <v>Piutang Anggota</v>
          </cell>
        </row>
        <row r="11">
          <cell r="B11">
            <v>122</v>
          </cell>
          <cell r="C11" t="str">
            <v>Piutang Jasa</v>
          </cell>
        </row>
        <row r="12">
          <cell r="B12">
            <v>123</v>
          </cell>
          <cell r="C12" t="str">
            <v>Piutang Toko</v>
          </cell>
        </row>
        <row r="13">
          <cell r="B13">
            <v>124</v>
          </cell>
          <cell r="C13" t="str">
            <v>Piutang USP</v>
          </cell>
        </row>
        <row r="14">
          <cell r="B14">
            <v>125</v>
          </cell>
          <cell r="C14" t="str">
            <v>Piutang Collins</v>
          </cell>
        </row>
        <row r="15">
          <cell r="B15">
            <v>126</v>
          </cell>
          <cell r="C15" t="str">
            <v>Piutang Pengadaan</v>
          </cell>
        </row>
        <row r="16">
          <cell r="B16">
            <v>131</v>
          </cell>
          <cell r="C16" t="str">
            <v>Nilai Perolehan</v>
          </cell>
        </row>
        <row r="17">
          <cell r="B17">
            <v>132</v>
          </cell>
          <cell r="C17" t="str">
            <v>Akumulasi Penyusutan</v>
          </cell>
        </row>
        <row r="18">
          <cell r="B18">
            <v>141</v>
          </cell>
          <cell r="C18" t="str">
            <v>Inventory</v>
          </cell>
        </row>
        <row r="21">
          <cell r="B21">
            <v>211</v>
          </cell>
          <cell r="C21" t="str">
            <v>Utang</v>
          </cell>
        </row>
        <row r="22">
          <cell r="B22">
            <v>212</v>
          </cell>
          <cell r="C22" t="str">
            <v>Simpanan Karyawan</v>
          </cell>
        </row>
        <row r="23">
          <cell r="B23">
            <v>213</v>
          </cell>
          <cell r="C23" t="str">
            <v>Hutang Lain-lain</v>
          </cell>
        </row>
        <row r="24">
          <cell r="B24">
            <v>221</v>
          </cell>
          <cell r="C24" t="str">
            <v>Dana Sosial</v>
          </cell>
        </row>
        <row r="25">
          <cell r="B25">
            <v>222</v>
          </cell>
          <cell r="C25" t="str">
            <v>Hutang SPN</v>
          </cell>
        </row>
        <row r="26">
          <cell r="B26">
            <v>231</v>
          </cell>
          <cell r="C26" t="str">
            <v>Hutang SHU</v>
          </cell>
        </row>
        <row r="27">
          <cell r="B27">
            <v>232</v>
          </cell>
          <cell r="C27" t="str">
            <v>Hutang Pajak</v>
          </cell>
        </row>
        <row r="29">
          <cell r="B29">
            <v>311</v>
          </cell>
          <cell r="C29" t="str">
            <v>Modal</v>
          </cell>
        </row>
        <row r="30">
          <cell r="B30">
            <v>312</v>
          </cell>
          <cell r="C30" t="str">
            <v>Modal Awal</v>
          </cell>
        </row>
        <row r="31">
          <cell r="B31">
            <v>313</v>
          </cell>
          <cell r="C31" t="str">
            <v>(Laba)/Rugi ditahan</v>
          </cell>
        </row>
        <row r="32">
          <cell r="B32">
            <v>314</v>
          </cell>
          <cell r="C32" t="str">
            <v>SHU yang dibagikan</v>
          </cell>
        </row>
        <row r="33">
          <cell r="B33">
            <v>315</v>
          </cell>
          <cell r="C33" t="str">
            <v>Laba/(Rugi) Periode Berjalan</v>
          </cell>
        </row>
        <row r="35">
          <cell r="B35">
            <v>4</v>
          </cell>
          <cell r="C35" t="str">
            <v>Pendapatan</v>
          </cell>
        </row>
        <row r="36">
          <cell r="B36">
            <v>411</v>
          </cell>
          <cell r="C36" t="str">
            <v>Pendapatan Toko</v>
          </cell>
        </row>
        <row r="37">
          <cell r="B37">
            <v>412</v>
          </cell>
          <cell r="C37" t="str">
            <v>Pendapatan Jasa Pinjaman</v>
          </cell>
        </row>
        <row r="38">
          <cell r="B38">
            <v>413</v>
          </cell>
          <cell r="C38" t="str">
            <v>Pendapatan Jasa Bank</v>
          </cell>
        </row>
        <row r="39">
          <cell r="B39">
            <v>414</v>
          </cell>
          <cell r="C39" t="str">
            <v>Pendapatan Jasa Pengadaan</v>
          </cell>
        </row>
        <row r="40">
          <cell r="B40">
            <v>415</v>
          </cell>
          <cell r="C40" t="str">
            <v>Pendapatan Lain-lain</v>
          </cell>
        </row>
        <row r="42">
          <cell r="B42">
            <v>511</v>
          </cell>
          <cell r="C42" t="str">
            <v>Beban Pokok Penjualan</v>
          </cell>
        </row>
        <row r="43">
          <cell r="B43">
            <v>512</v>
          </cell>
          <cell r="C43" t="str">
            <v>Beban Jasa</v>
          </cell>
        </row>
        <row r="44">
          <cell r="B44">
            <v>513</v>
          </cell>
          <cell r="C44" t="str">
            <v>Beban Pengurus dan Anggota</v>
          </cell>
        </row>
        <row r="45">
          <cell r="B45">
            <v>514</v>
          </cell>
          <cell r="C45" t="str">
            <v>Beban Lain-lain</v>
          </cell>
        </row>
        <row r="46">
          <cell r="B46">
            <v>515</v>
          </cell>
          <cell r="C46" t="str">
            <v>Beban Gaji</v>
          </cell>
        </row>
        <row r="47">
          <cell r="B47">
            <v>516</v>
          </cell>
          <cell r="C47" t="str">
            <v>Beban ATK</v>
          </cell>
        </row>
        <row r="48">
          <cell r="B48">
            <v>517</v>
          </cell>
          <cell r="C48" t="str">
            <v>Beban Transport</v>
          </cell>
        </row>
        <row r="49">
          <cell r="B49">
            <v>518</v>
          </cell>
          <cell r="C49" t="str">
            <v>Beban Training</v>
          </cell>
        </row>
        <row r="50">
          <cell r="B50">
            <v>519</v>
          </cell>
          <cell r="C50" t="str">
            <v>Beban Legal</v>
          </cell>
        </row>
        <row r="51">
          <cell r="B51">
            <v>520</v>
          </cell>
          <cell r="C51" t="str">
            <v>Beban Perlengkapan</v>
          </cell>
        </row>
        <row r="52">
          <cell r="B52">
            <v>521</v>
          </cell>
          <cell r="C52" t="str">
            <v>Beban Biaya Bank</v>
          </cell>
        </row>
        <row r="53">
          <cell r="B53">
            <v>522</v>
          </cell>
          <cell r="C53" t="str">
            <v>Beban Pajak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hart of Account"/>
      <sheetName val="Kas"/>
      <sheetName val="BANK"/>
      <sheetName val="List Kode"/>
      <sheetName val="Cash Opname"/>
      <sheetName val="KAS USP"/>
      <sheetName val="Daftar Anggota Keluar"/>
      <sheetName val="Pengambilan Simpanan "/>
    </sheetNames>
    <sheetDataSet>
      <sheetData sheetId="0" refreshError="1"/>
      <sheetData sheetId="1" refreshError="1">
        <row r="262">
          <cell r="G262">
            <v>19643913</v>
          </cell>
        </row>
      </sheetData>
      <sheetData sheetId="2" refreshError="1">
        <row r="915">
          <cell r="G915">
            <v>60287423.444444656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536AB-7377-44C4-883B-7F4DEC1DB6F4}">
  <dimension ref="A5:AF468"/>
  <sheetViews>
    <sheetView topLeftCell="A311" zoomScale="85" zoomScaleNormal="85" workbookViewId="0">
      <selection activeCell="H334" sqref="H334"/>
    </sheetView>
  </sheetViews>
  <sheetFormatPr defaultRowHeight="12.75" x14ac:dyDescent="0.2"/>
  <cols>
    <col min="1" max="1" width="14.42578125" customWidth="1"/>
    <col min="2" max="2" width="28.7109375" bestFit="1" customWidth="1"/>
    <col min="3" max="3" width="15.140625" bestFit="1" customWidth="1"/>
    <col min="4" max="4" width="37.7109375" bestFit="1" customWidth="1"/>
    <col min="5" max="5" width="14.28515625" customWidth="1"/>
    <col min="6" max="6" width="11.85546875" customWidth="1"/>
    <col min="7" max="7" width="14.7109375" customWidth="1"/>
    <col min="8" max="8" width="11.28515625" customWidth="1"/>
    <col min="9" max="10" width="11.85546875" customWidth="1"/>
    <col min="11" max="11" width="13.85546875" customWidth="1"/>
    <col min="12" max="12" width="11.85546875" customWidth="1"/>
    <col min="13" max="13" width="14.140625" customWidth="1"/>
    <col min="14" max="14" width="11.85546875" customWidth="1"/>
    <col min="15" max="15" width="15.140625" customWidth="1"/>
    <col min="16" max="16" width="11.85546875" customWidth="1"/>
    <col min="17" max="18" width="12.85546875" customWidth="1"/>
    <col min="19" max="19" width="13.28515625" customWidth="1"/>
    <col min="20" max="20" width="11.85546875" customWidth="1"/>
    <col min="21" max="24" width="12.85546875" customWidth="1"/>
    <col min="25" max="26" width="14" customWidth="1"/>
    <col min="27" max="27" width="12.28515625" bestFit="1" customWidth="1"/>
    <col min="28" max="28" width="13.5703125" customWidth="1"/>
    <col min="29" max="29" width="13.28515625" bestFit="1" customWidth="1"/>
    <col min="30" max="30" width="16.42578125" customWidth="1"/>
    <col min="31" max="31" width="16.28515625" customWidth="1"/>
    <col min="32" max="32" width="12.85546875" bestFit="1" customWidth="1"/>
    <col min="34" max="34" width="12.85546875" bestFit="1" customWidth="1"/>
  </cols>
  <sheetData>
    <row r="5" spans="1:32" ht="20.25" x14ac:dyDescent="0.3">
      <c r="A5" s="49" t="s">
        <v>76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</row>
    <row r="6" spans="1:32" ht="15.75" x14ac:dyDescent="0.25">
      <c r="A6" s="50" t="s">
        <v>519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</row>
    <row r="7" spans="1:32" ht="15.75" x14ac:dyDescent="0.25">
      <c r="A7" s="51" t="s">
        <v>111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</row>
    <row r="8" spans="1:32" x14ac:dyDescent="0.2">
      <c r="A8" s="335" t="s">
        <v>112</v>
      </c>
      <c r="B8" s="335" t="s">
        <v>2</v>
      </c>
      <c r="C8" s="335" t="s">
        <v>518</v>
      </c>
      <c r="D8" s="335" t="s">
        <v>517</v>
      </c>
      <c r="E8" s="338" t="s">
        <v>4</v>
      </c>
      <c r="F8" s="339"/>
      <c r="G8" s="339"/>
      <c r="H8" s="339"/>
      <c r="I8" s="339"/>
      <c r="J8" s="339"/>
      <c r="K8" s="339"/>
      <c r="L8" s="339"/>
      <c r="M8" s="339"/>
      <c r="N8" s="339"/>
      <c r="O8" s="339"/>
      <c r="P8" s="339"/>
      <c r="Q8" s="339"/>
      <c r="R8" s="339"/>
      <c r="S8" s="339"/>
      <c r="T8" s="339"/>
      <c r="U8" s="339"/>
      <c r="V8" s="339"/>
      <c r="W8" s="339"/>
      <c r="X8" s="339"/>
      <c r="Y8" s="339"/>
      <c r="Z8" s="339"/>
      <c r="AA8" s="339"/>
      <c r="AB8" s="340"/>
      <c r="AC8" s="331" t="s">
        <v>3</v>
      </c>
      <c r="AD8" s="332"/>
    </row>
    <row r="9" spans="1:32" x14ac:dyDescent="0.2">
      <c r="A9" s="336"/>
      <c r="B9" s="336"/>
      <c r="C9" s="336"/>
      <c r="D9" s="336"/>
      <c r="E9" s="329" t="s">
        <v>5</v>
      </c>
      <c r="F9" s="330"/>
      <c r="G9" s="329" t="s">
        <v>6</v>
      </c>
      <c r="H9" s="330"/>
      <c r="I9" s="329" t="s">
        <v>7</v>
      </c>
      <c r="J9" s="330"/>
      <c r="K9" s="329" t="s">
        <v>8</v>
      </c>
      <c r="L9" s="330"/>
      <c r="M9" s="329" t="s">
        <v>9</v>
      </c>
      <c r="N9" s="330"/>
      <c r="O9" s="329" t="s">
        <v>10</v>
      </c>
      <c r="P9" s="330"/>
      <c r="Q9" s="329" t="s">
        <v>11</v>
      </c>
      <c r="R9" s="330"/>
      <c r="S9" s="329" t="s">
        <v>12</v>
      </c>
      <c r="T9" s="330"/>
      <c r="U9" s="329" t="s">
        <v>13</v>
      </c>
      <c r="V9" s="330"/>
      <c r="W9" s="329" t="s">
        <v>14</v>
      </c>
      <c r="X9" s="330"/>
      <c r="Y9" s="329" t="s">
        <v>15</v>
      </c>
      <c r="Z9" s="330"/>
      <c r="AA9" s="341" t="s">
        <v>16</v>
      </c>
      <c r="AB9" s="341"/>
      <c r="AC9" s="333"/>
      <c r="AD9" s="334"/>
    </row>
    <row r="10" spans="1:32" x14ac:dyDescent="0.2">
      <c r="A10" s="337"/>
      <c r="B10" s="337"/>
      <c r="C10" s="337"/>
      <c r="D10" s="337"/>
      <c r="E10" s="11" t="s">
        <v>58</v>
      </c>
      <c r="F10" s="11" t="s">
        <v>517</v>
      </c>
      <c r="G10" s="11" t="s">
        <v>58</v>
      </c>
      <c r="H10" s="11" t="s">
        <v>517</v>
      </c>
      <c r="I10" s="11" t="s">
        <v>58</v>
      </c>
      <c r="J10" s="11" t="s">
        <v>517</v>
      </c>
      <c r="K10" s="11" t="s">
        <v>58</v>
      </c>
      <c r="L10" s="11" t="s">
        <v>517</v>
      </c>
      <c r="M10" s="11" t="s">
        <v>58</v>
      </c>
      <c r="N10" s="11" t="s">
        <v>517</v>
      </c>
      <c r="O10" s="11" t="s">
        <v>58</v>
      </c>
      <c r="P10" s="11" t="s">
        <v>517</v>
      </c>
      <c r="Q10" s="11" t="s">
        <v>58</v>
      </c>
      <c r="R10" s="11" t="s">
        <v>517</v>
      </c>
      <c r="S10" s="11" t="s">
        <v>58</v>
      </c>
      <c r="T10" s="11" t="s">
        <v>517</v>
      </c>
      <c r="U10" s="11" t="s">
        <v>58</v>
      </c>
      <c r="V10" s="11" t="s">
        <v>517</v>
      </c>
      <c r="W10" s="11" t="s">
        <v>58</v>
      </c>
      <c r="X10" s="11" t="s">
        <v>517</v>
      </c>
      <c r="Y10" s="11" t="s">
        <v>58</v>
      </c>
      <c r="Z10" s="11" t="s">
        <v>517</v>
      </c>
      <c r="AA10" s="11" t="s">
        <v>58</v>
      </c>
      <c r="AB10" s="11" t="s">
        <v>517</v>
      </c>
      <c r="AC10" s="11" t="s">
        <v>58</v>
      </c>
      <c r="AD10" s="11" t="s">
        <v>517</v>
      </c>
    </row>
    <row r="11" spans="1:32" x14ac:dyDescent="0.2">
      <c r="A11" s="4"/>
      <c r="B11" s="5" t="s">
        <v>512</v>
      </c>
      <c r="C11" s="171">
        <v>2600000</v>
      </c>
      <c r="D11" s="171">
        <v>388000</v>
      </c>
      <c r="E11" s="172"/>
      <c r="F11" s="172"/>
      <c r="G11" s="172"/>
      <c r="H11" s="172"/>
      <c r="I11" s="173"/>
      <c r="J11" s="173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>
        <v>433333.33333333331</v>
      </c>
      <c r="V11" s="172">
        <v>64666.666666666664</v>
      </c>
      <c r="W11" s="172">
        <v>433333.33333333331</v>
      </c>
      <c r="X11" s="172">
        <v>64666.666666666664</v>
      </c>
      <c r="Y11" s="172">
        <v>433333.33333333331</v>
      </c>
      <c r="Z11" s="172">
        <v>64666.666666666664</v>
      </c>
      <c r="AA11" s="172">
        <v>433333.33333333331</v>
      </c>
      <c r="AB11" s="172">
        <v>64666.666666666664</v>
      </c>
      <c r="AC11" s="173">
        <f t="shared" ref="AC11:AD17" si="0">+C11-E11-G11-I11-K11-M11-O11-Q11-S11-U11-W11-Y11-AA11</f>
        <v>866666.66666666674</v>
      </c>
      <c r="AD11" s="173">
        <f t="shared" si="0"/>
        <v>129333.33333333334</v>
      </c>
      <c r="AE11" s="2"/>
      <c r="AF11" s="2"/>
    </row>
    <row r="12" spans="1:32" x14ac:dyDescent="0.2">
      <c r="A12" s="4"/>
      <c r="B12" s="5" t="s">
        <v>513</v>
      </c>
      <c r="C12" s="171">
        <v>1900000</v>
      </c>
      <c r="D12" s="171">
        <v>290000</v>
      </c>
      <c r="E12" s="172"/>
      <c r="F12" s="172"/>
      <c r="G12" s="172"/>
      <c r="H12" s="172"/>
      <c r="I12" s="173"/>
      <c r="J12" s="173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>
        <v>316666.66666666669</v>
      </c>
      <c r="X12" s="172">
        <v>48333.333333333336</v>
      </c>
      <c r="Y12" s="172">
        <f>1266666.66666667+316667</f>
        <v>1583333.66666667</v>
      </c>
      <c r="Z12" s="172">
        <f>193333.333333333+48333</f>
        <v>241666.33333333299</v>
      </c>
      <c r="AA12" s="172"/>
      <c r="AB12" s="172"/>
      <c r="AC12" s="173">
        <f t="shared" si="0"/>
        <v>-0.33333333674818277</v>
      </c>
      <c r="AD12" s="173">
        <f t="shared" si="0"/>
        <v>0.33333333366317675</v>
      </c>
    </row>
    <row r="13" spans="1:32" x14ac:dyDescent="0.2">
      <c r="A13" s="4"/>
      <c r="B13" s="5" t="s">
        <v>514</v>
      </c>
      <c r="C13" s="171">
        <v>400000</v>
      </c>
      <c r="D13" s="171">
        <v>38000</v>
      </c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>
        <v>400000</v>
      </c>
      <c r="V13" s="172">
        <v>38000</v>
      </c>
      <c r="W13" s="172"/>
      <c r="X13" s="172"/>
      <c r="Y13" s="172"/>
      <c r="Z13" s="172"/>
      <c r="AA13" s="173"/>
      <c r="AB13" s="173"/>
      <c r="AC13" s="173">
        <f t="shared" si="0"/>
        <v>0</v>
      </c>
      <c r="AD13" s="173">
        <f t="shared" si="0"/>
        <v>0</v>
      </c>
    </row>
    <row r="14" spans="1:32" x14ac:dyDescent="0.2">
      <c r="A14" s="4"/>
      <c r="B14" s="5"/>
      <c r="C14" s="171"/>
      <c r="D14" s="171"/>
      <c r="E14" s="172"/>
      <c r="F14" s="172"/>
      <c r="G14" s="172"/>
      <c r="H14" s="172"/>
      <c r="I14" s="173"/>
      <c r="J14" s="173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3"/>
      <c r="Z14" s="173"/>
      <c r="AA14" s="172"/>
      <c r="AB14" s="172"/>
      <c r="AC14" s="173">
        <f t="shared" si="0"/>
        <v>0</v>
      </c>
      <c r="AD14" s="173">
        <f t="shared" si="0"/>
        <v>0</v>
      </c>
    </row>
    <row r="15" spans="1:32" x14ac:dyDescent="0.2">
      <c r="A15" s="4"/>
      <c r="B15" s="5"/>
      <c r="C15" s="171"/>
      <c r="D15" s="171"/>
      <c r="E15" s="172"/>
      <c r="F15" s="172"/>
      <c r="G15" s="172"/>
      <c r="H15" s="172"/>
      <c r="I15" s="173"/>
      <c r="J15" s="173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3"/>
      <c r="AB15" s="173"/>
      <c r="AC15" s="173">
        <f t="shared" si="0"/>
        <v>0</v>
      </c>
      <c r="AD15" s="173">
        <f t="shared" si="0"/>
        <v>0</v>
      </c>
    </row>
    <row r="16" spans="1:32" x14ac:dyDescent="0.2">
      <c r="A16" s="4"/>
      <c r="B16" s="5"/>
      <c r="C16" s="171"/>
      <c r="D16" s="171">
        <f>+C16*0.1</f>
        <v>0</v>
      </c>
      <c r="E16" s="172"/>
      <c r="F16" s="172"/>
      <c r="G16" s="172"/>
      <c r="H16" s="172"/>
      <c r="I16" s="173"/>
      <c r="J16" s="173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72"/>
      <c r="AA16" s="173"/>
      <c r="AB16" s="173"/>
      <c r="AC16" s="173">
        <f t="shared" si="0"/>
        <v>0</v>
      </c>
      <c r="AD16" s="173">
        <f t="shared" si="0"/>
        <v>0</v>
      </c>
    </row>
    <row r="17" spans="1:32" x14ac:dyDescent="0.2">
      <c r="A17" s="4"/>
      <c r="B17" s="5"/>
      <c r="C17" s="171"/>
      <c r="D17" s="171">
        <f>+C17*0.1</f>
        <v>0</v>
      </c>
      <c r="E17" s="172"/>
      <c r="F17" s="172"/>
      <c r="G17" s="172"/>
      <c r="H17" s="172"/>
      <c r="I17" s="173"/>
      <c r="J17" s="173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  <c r="AA17" s="173"/>
      <c r="AB17" s="173"/>
      <c r="AC17" s="173">
        <f t="shared" si="0"/>
        <v>0</v>
      </c>
      <c r="AD17" s="173">
        <f t="shared" si="0"/>
        <v>0</v>
      </c>
    </row>
    <row r="18" spans="1:32" x14ac:dyDescent="0.2">
      <c r="A18" s="329" t="s">
        <v>17</v>
      </c>
      <c r="B18" s="330"/>
      <c r="C18" s="12">
        <f>SUM(C11:C17)</f>
        <v>4900000</v>
      </c>
      <c r="D18" s="12">
        <f>SUM(D11:D17)</f>
        <v>716000</v>
      </c>
      <c r="E18" s="12">
        <f t="shared" ref="E18:AD18" si="1">SUM(E11:E17)</f>
        <v>0</v>
      </c>
      <c r="F18" s="12">
        <f t="shared" si="1"/>
        <v>0</v>
      </c>
      <c r="G18" s="12">
        <f t="shared" si="1"/>
        <v>0</v>
      </c>
      <c r="H18" s="12">
        <f t="shared" si="1"/>
        <v>0</v>
      </c>
      <c r="I18" s="12">
        <f t="shared" si="1"/>
        <v>0</v>
      </c>
      <c r="J18" s="12">
        <f t="shared" si="1"/>
        <v>0</v>
      </c>
      <c r="K18" s="12">
        <f t="shared" si="1"/>
        <v>0</v>
      </c>
      <c r="L18" s="12">
        <f t="shared" si="1"/>
        <v>0</v>
      </c>
      <c r="M18" s="12">
        <f t="shared" si="1"/>
        <v>0</v>
      </c>
      <c r="N18" s="12">
        <f t="shared" si="1"/>
        <v>0</v>
      </c>
      <c r="O18" s="12">
        <f t="shared" si="1"/>
        <v>0</v>
      </c>
      <c r="P18" s="12">
        <f t="shared" si="1"/>
        <v>0</v>
      </c>
      <c r="Q18" s="12">
        <f t="shared" si="1"/>
        <v>0</v>
      </c>
      <c r="R18" s="12">
        <f t="shared" si="1"/>
        <v>0</v>
      </c>
      <c r="S18" s="12">
        <f t="shared" si="1"/>
        <v>0</v>
      </c>
      <c r="T18" s="12">
        <f t="shared" si="1"/>
        <v>0</v>
      </c>
      <c r="U18" s="12">
        <f t="shared" si="1"/>
        <v>833333.33333333326</v>
      </c>
      <c r="V18" s="12">
        <f t="shared" si="1"/>
        <v>102666.66666666666</v>
      </c>
      <c r="W18" s="12">
        <f t="shared" si="1"/>
        <v>750000</v>
      </c>
      <c r="X18" s="12">
        <f t="shared" si="1"/>
        <v>113000</v>
      </c>
      <c r="Y18" s="12">
        <f t="shared" si="1"/>
        <v>2016667.0000000033</v>
      </c>
      <c r="Z18" s="12">
        <f t="shared" si="1"/>
        <v>306332.99999999965</v>
      </c>
      <c r="AA18" s="12">
        <f t="shared" si="1"/>
        <v>433333.33333333331</v>
      </c>
      <c r="AB18" s="12">
        <f t="shared" si="1"/>
        <v>64666.666666666664</v>
      </c>
      <c r="AC18" s="12">
        <f t="shared" si="1"/>
        <v>866666.33333333</v>
      </c>
      <c r="AD18" s="12">
        <f t="shared" si="1"/>
        <v>129333.66666666701</v>
      </c>
    </row>
    <row r="19" spans="1:32" x14ac:dyDescent="0.2">
      <c r="AC19" s="2">
        <f>+E18+G18+I18+K18+M18+O18+Q18+S18+U18+W18+Y18+AA18</f>
        <v>4033333.6666666702</v>
      </c>
      <c r="AD19" s="2">
        <f>+F18+H18+J18+L18+N18+P18+R18+T18+V18+X18+Z18+AB18</f>
        <v>586666.33333333291</v>
      </c>
    </row>
    <row r="20" spans="1:32" x14ac:dyDescent="0.2">
      <c r="C20" s="174">
        <f>+C18/1.1</f>
        <v>4454545.4545454541</v>
      </c>
      <c r="D20" s="174"/>
      <c r="AA20" s="13" t="s">
        <v>547</v>
      </c>
      <c r="AB20" s="174">
        <v>14395000</v>
      </c>
    </row>
    <row r="21" spans="1:32" x14ac:dyDescent="0.2">
      <c r="AA21" s="13" t="s">
        <v>548</v>
      </c>
      <c r="AB21" s="2">
        <f>AC18</f>
        <v>866666.33333333</v>
      </c>
    </row>
    <row r="22" spans="1:32" ht="20.25" x14ac:dyDescent="0.3">
      <c r="A22" s="49" t="s">
        <v>76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</row>
    <row r="23" spans="1:32" ht="15.75" x14ac:dyDescent="0.25">
      <c r="A23" s="50" t="s">
        <v>519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</row>
    <row r="24" spans="1:32" ht="15.75" x14ac:dyDescent="0.25">
      <c r="A24" s="51" t="s">
        <v>520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</row>
    <row r="25" spans="1:32" x14ac:dyDescent="0.2">
      <c r="A25" s="335" t="s">
        <v>112</v>
      </c>
      <c r="B25" s="335" t="s">
        <v>2</v>
      </c>
      <c r="C25" s="335" t="s">
        <v>518</v>
      </c>
      <c r="D25" s="335" t="s">
        <v>517</v>
      </c>
      <c r="E25" s="338" t="s">
        <v>4</v>
      </c>
      <c r="F25" s="339"/>
      <c r="G25" s="339"/>
      <c r="H25" s="339"/>
      <c r="I25" s="339"/>
      <c r="J25" s="339"/>
      <c r="K25" s="339"/>
      <c r="L25" s="339"/>
      <c r="M25" s="339"/>
      <c r="N25" s="339"/>
      <c r="O25" s="339"/>
      <c r="P25" s="339"/>
      <c r="Q25" s="339"/>
      <c r="R25" s="339"/>
      <c r="S25" s="339"/>
      <c r="T25" s="339"/>
      <c r="U25" s="339"/>
      <c r="V25" s="339"/>
      <c r="W25" s="339"/>
      <c r="X25" s="339"/>
      <c r="Y25" s="339"/>
      <c r="Z25" s="339"/>
      <c r="AA25" s="339"/>
      <c r="AB25" s="340"/>
      <c r="AC25" s="331" t="s">
        <v>3</v>
      </c>
      <c r="AD25" s="332"/>
    </row>
    <row r="26" spans="1:32" x14ac:dyDescent="0.2">
      <c r="A26" s="336"/>
      <c r="B26" s="336"/>
      <c r="C26" s="336"/>
      <c r="D26" s="336"/>
      <c r="E26" s="329" t="s">
        <v>5</v>
      </c>
      <c r="F26" s="330"/>
      <c r="G26" s="329" t="s">
        <v>6</v>
      </c>
      <c r="H26" s="330"/>
      <c r="I26" s="329" t="s">
        <v>7</v>
      </c>
      <c r="J26" s="330"/>
      <c r="K26" s="329" t="s">
        <v>8</v>
      </c>
      <c r="L26" s="330"/>
      <c r="M26" s="329" t="s">
        <v>9</v>
      </c>
      <c r="N26" s="330"/>
      <c r="O26" s="329" t="s">
        <v>10</v>
      </c>
      <c r="P26" s="330"/>
      <c r="Q26" s="329" t="s">
        <v>11</v>
      </c>
      <c r="R26" s="330"/>
      <c r="S26" s="329" t="s">
        <v>12</v>
      </c>
      <c r="T26" s="330"/>
      <c r="U26" s="329" t="s">
        <v>13</v>
      </c>
      <c r="V26" s="330"/>
      <c r="W26" s="329" t="s">
        <v>14</v>
      </c>
      <c r="X26" s="330"/>
      <c r="Y26" s="329" t="s">
        <v>15</v>
      </c>
      <c r="Z26" s="330"/>
      <c r="AA26" s="341" t="s">
        <v>16</v>
      </c>
      <c r="AB26" s="341"/>
      <c r="AC26" s="333"/>
      <c r="AD26" s="334"/>
    </row>
    <row r="27" spans="1:32" x14ac:dyDescent="0.2">
      <c r="A27" s="337"/>
      <c r="B27" s="337"/>
      <c r="C27" s="337"/>
      <c r="D27" s="337"/>
      <c r="E27" s="11" t="s">
        <v>58</v>
      </c>
      <c r="F27" s="11" t="s">
        <v>56</v>
      </c>
      <c r="G27" s="11" t="s">
        <v>58</v>
      </c>
      <c r="H27" s="11" t="s">
        <v>56</v>
      </c>
      <c r="I27" s="11" t="s">
        <v>58</v>
      </c>
      <c r="J27" s="11" t="s">
        <v>56</v>
      </c>
      <c r="K27" s="11" t="s">
        <v>58</v>
      </c>
      <c r="L27" s="11" t="s">
        <v>56</v>
      </c>
      <c r="M27" s="11" t="s">
        <v>58</v>
      </c>
      <c r="N27" s="11" t="s">
        <v>56</v>
      </c>
      <c r="O27" s="11" t="s">
        <v>58</v>
      </c>
      <c r="P27" s="11" t="s">
        <v>56</v>
      </c>
      <c r="Q27" s="11" t="s">
        <v>58</v>
      </c>
      <c r="R27" s="11" t="s">
        <v>56</v>
      </c>
      <c r="S27" s="11" t="s">
        <v>58</v>
      </c>
      <c r="T27" s="11" t="s">
        <v>56</v>
      </c>
      <c r="U27" s="11" t="s">
        <v>58</v>
      </c>
      <c r="V27" s="11" t="s">
        <v>56</v>
      </c>
      <c r="W27" s="11" t="s">
        <v>58</v>
      </c>
      <c r="X27" s="11" t="s">
        <v>56</v>
      </c>
      <c r="Y27" s="11" t="s">
        <v>58</v>
      </c>
      <c r="Z27" s="11" t="s">
        <v>56</v>
      </c>
      <c r="AA27" s="11" t="s">
        <v>58</v>
      </c>
      <c r="AB27" s="11" t="s">
        <v>56</v>
      </c>
      <c r="AC27" s="11" t="s">
        <v>58</v>
      </c>
      <c r="AD27" s="11" t="s">
        <v>56</v>
      </c>
    </row>
    <row r="28" spans="1:32" x14ac:dyDescent="0.2">
      <c r="A28" s="4">
        <v>34000118</v>
      </c>
      <c r="B28" s="5" t="s">
        <v>512</v>
      </c>
      <c r="C28" s="52">
        <f>AC11</f>
        <v>866666.66666666674</v>
      </c>
      <c r="D28" s="52">
        <f>AD11</f>
        <v>129333.33333333334</v>
      </c>
      <c r="E28" s="53">
        <v>433333.33333333331</v>
      </c>
      <c r="F28" s="53">
        <v>64666.666666666664</v>
      </c>
      <c r="G28" s="53">
        <v>433333.33333333331</v>
      </c>
      <c r="H28" s="53">
        <v>64666.666666666664</v>
      </c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4"/>
      <c r="Z28" s="54"/>
      <c r="AA28" s="53"/>
      <c r="AB28" s="53"/>
      <c r="AC28" s="54">
        <f t="shared" ref="AC28:AD43" si="2">+C28-E28-G28-I28-K28-M28-O28-Q28-S28-U28-W28-Y28-AA28</f>
        <v>1.1641532182693481E-10</v>
      </c>
      <c r="AD28" s="54">
        <f t="shared" si="2"/>
        <v>1.4551915228366852E-11</v>
      </c>
      <c r="AE28" s="2">
        <f>F28+H28+J28+L28+N28+P28+R28+T28+V28+X28+Z28+AB28</f>
        <v>129333.33333333333</v>
      </c>
      <c r="AF28" s="2"/>
    </row>
    <row r="29" spans="1:32" x14ac:dyDescent="0.2">
      <c r="A29" s="4">
        <v>34000229</v>
      </c>
      <c r="B29" s="5" t="s">
        <v>515</v>
      </c>
      <c r="C29" s="52">
        <v>1999999</v>
      </c>
      <c r="D29" s="52">
        <v>281000</v>
      </c>
      <c r="E29" s="53"/>
      <c r="F29" s="53"/>
      <c r="G29" s="53"/>
      <c r="H29" s="53"/>
      <c r="I29" s="53">
        <v>166667</v>
      </c>
      <c r="J29" s="53">
        <v>23333</v>
      </c>
      <c r="K29" s="53">
        <v>166667</v>
      </c>
      <c r="L29" s="53">
        <v>23333</v>
      </c>
      <c r="M29" s="53">
        <v>166667</v>
      </c>
      <c r="N29" s="53">
        <v>23333</v>
      </c>
      <c r="O29" s="53">
        <v>166667</v>
      </c>
      <c r="P29" s="53">
        <v>23333</v>
      </c>
      <c r="Q29" s="53">
        <v>166667</v>
      </c>
      <c r="R29" s="53">
        <v>23333</v>
      </c>
      <c r="S29" s="53">
        <v>166667</v>
      </c>
      <c r="T29" s="53">
        <v>23333</v>
      </c>
      <c r="U29" s="53">
        <v>166667</v>
      </c>
      <c r="V29" s="53">
        <v>23333</v>
      </c>
      <c r="W29" s="53">
        <v>166667</v>
      </c>
      <c r="X29" s="53">
        <v>23333</v>
      </c>
      <c r="Y29" s="53">
        <v>166667</v>
      </c>
      <c r="Z29" s="53">
        <v>23333</v>
      </c>
      <c r="AA29" s="53">
        <v>166667</v>
      </c>
      <c r="AB29" s="53">
        <v>23333</v>
      </c>
      <c r="AC29" s="54">
        <f t="shared" si="2"/>
        <v>333329</v>
      </c>
      <c r="AD29" s="54">
        <f t="shared" si="2"/>
        <v>47670</v>
      </c>
      <c r="AE29" s="2">
        <f t="shared" ref="AE29:AE60" si="3">F29+H29+J29+L29+N29+P29+R29+T29+V29+X29+Z29+AB29</f>
        <v>233330</v>
      </c>
    </row>
    <row r="30" spans="1:32" x14ac:dyDescent="0.2">
      <c r="A30" s="4">
        <v>34000379</v>
      </c>
      <c r="B30" s="5" t="s">
        <v>516</v>
      </c>
      <c r="C30" s="52">
        <v>5000000</v>
      </c>
      <c r="D30" s="52">
        <v>670000</v>
      </c>
      <c r="E30" s="53"/>
      <c r="F30" s="53"/>
      <c r="G30" s="53"/>
      <c r="H30" s="53"/>
      <c r="I30" s="53">
        <v>416666.66666666669</v>
      </c>
      <c r="J30" s="53">
        <v>55833.333333333336</v>
      </c>
      <c r="K30" s="53">
        <v>416666.66666666669</v>
      </c>
      <c r="L30" s="53">
        <v>55833.333333333336</v>
      </c>
      <c r="M30" s="53">
        <v>416666.66666666669</v>
      </c>
      <c r="N30" s="53">
        <v>55833.333333333336</v>
      </c>
      <c r="O30" s="53">
        <v>416666.66666666669</v>
      </c>
      <c r="P30" s="53">
        <v>55833.333333333336</v>
      </c>
      <c r="Q30" s="53">
        <v>416666.66666666669</v>
      </c>
      <c r="R30" s="53">
        <v>55833.333333333336</v>
      </c>
      <c r="S30" s="53">
        <v>416666.66666666669</v>
      </c>
      <c r="T30" s="53">
        <v>55833.333333333336</v>
      </c>
      <c r="U30" s="53">
        <v>416666.66666666669</v>
      </c>
      <c r="V30" s="53">
        <v>55833.333333333336</v>
      </c>
      <c r="W30" s="53">
        <v>416666.66666666669</v>
      </c>
      <c r="X30" s="53">
        <v>55833.333333333336</v>
      </c>
      <c r="Y30" s="53">
        <v>416666.66666666669</v>
      </c>
      <c r="Z30" s="53">
        <v>55833.333333333336</v>
      </c>
      <c r="AA30" s="53">
        <v>416666.66666666669</v>
      </c>
      <c r="AB30" s="53">
        <v>55833.333333333336</v>
      </c>
      <c r="AC30" s="54">
        <f t="shared" si="2"/>
        <v>833333.33333333349</v>
      </c>
      <c r="AD30" s="54">
        <f t="shared" si="2"/>
        <v>111666.66666666666</v>
      </c>
      <c r="AE30" s="2">
        <f t="shared" si="3"/>
        <v>558333.33333333326</v>
      </c>
    </row>
    <row r="31" spans="1:32" x14ac:dyDescent="0.2">
      <c r="A31" s="4">
        <v>34000118</v>
      </c>
      <c r="B31" s="5" t="s">
        <v>512</v>
      </c>
      <c r="C31" s="52">
        <v>2500000</v>
      </c>
      <c r="D31" s="52">
        <v>380000</v>
      </c>
      <c r="E31" s="53"/>
      <c r="F31" s="53"/>
      <c r="G31" s="53"/>
      <c r="H31" s="53"/>
      <c r="I31" s="53">
        <v>416666.66666666669</v>
      </c>
      <c r="J31" s="53">
        <v>63333.333333333336</v>
      </c>
      <c r="K31" s="53">
        <v>416666.66666666669</v>
      </c>
      <c r="L31" s="53">
        <v>63333.333333333336</v>
      </c>
      <c r="M31" s="53">
        <v>416666.66666666669</v>
      </c>
      <c r="N31" s="53">
        <v>63333.333333333336</v>
      </c>
      <c r="O31" s="53">
        <v>416666.66666666669</v>
      </c>
      <c r="P31" s="53">
        <v>63333.333333333336</v>
      </c>
      <c r="Q31" s="53">
        <v>416666.66666666669</v>
      </c>
      <c r="R31" s="53">
        <v>63333.333333333336</v>
      </c>
      <c r="S31" s="53">
        <v>416666.66666666669</v>
      </c>
      <c r="T31" s="53">
        <v>63333.333333333336</v>
      </c>
      <c r="U31" s="53"/>
      <c r="V31" s="53"/>
      <c r="W31" s="53"/>
      <c r="X31" s="53"/>
      <c r="Y31" s="53"/>
      <c r="Z31" s="53"/>
      <c r="AA31" s="54"/>
      <c r="AB31" s="54"/>
      <c r="AC31" s="54">
        <f t="shared" si="2"/>
        <v>-3.4924596548080444E-10</v>
      </c>
      <c r="AD31" s="54">
        <f t="shared" si="2"/>
        <v>-1.4551915228366852E-11</v>
      </c>
      <c r="AE31" s="2">
        <f t="shared" si="3"/>
        <v>380000</v>
      </c>
    </row>
    <row r="32" spans="1:32" x14ac:dyDescent="0.2">
      <c r="A32" s="4">
        <v>34000351</v>
      </c>
      <c r="B32" s="5" t="s">
        <v>524</v>
      </c>
      <c r="C32" s="52">
        <v>2298000</v>
      </c>
      <c r="D32" s="52">
        <v>352000</v>
      </c>
      <c r="E32" s="53"/>
      <c r="F32" s="53"/>
      <c r="G32" s="53"/>
      <c r="H32" s="53"/>
      <c r="I32" s="53">
        <v>229800</v>
      </c>
      <c r="J32" s="53">
        <v>35200</v>
      </c>
      <c r="K32" s="53">
        <v>229800</v>
      </c>
      <c r="L32" s="53">
        <v>35200</v>
      </c>
      <c r="M32" s="53">
        <v>229800</v>
      </c>
      <c r="N32" s="53">
        <v>35200</v>
      </c>
      <c r="O32" s="53">
        <v>229800</v>
      </c>
      <c r="P32" s="53">
        <v>35200</v>
      </c>
      <c r="Q32" s="53">
        <v>229800</v>
      </c>
      <c r="R32" s="53">
        <v>35200</v>
      </c>
      <c r="S32" s="53">
        <v>229800</v>
      </c>
      <c r="T32" s="53">
        <v>35200</v>
      </c>
      <c r="U32" s="53">
        <v>229800</v>
      </c>
      <c r="V32" s="53">
        <v>35200</v>
      </c>
      <c r="W32" s="53">
        <v>229800</v>
      </c>
      <c r="X32" s="53">
        <v>35200</v>
      </c>
      <c r="Y32" s="53">
        <v>229800</v>
      </c>
      <c r="Z32" s="53">
        <v>35200</v>
      </c>
      <c r="AA32" s="53">
        <v>229800</v>
      </c>
      <c r="AB32" s="53">
        <v>35200</v>
      </c>
      <c r="AC32" s="54">
        <f t="shared" si="2"/>
        <v>0</v>
      </c>
      <c r="AD32" s="54">
        <f t="shared" si="2"/>
        <v>0</v>
      </c>
      <c r="AE32" s="2">
        <f t="shared" si="3"/>
        <v>352000</v>
      </c>
    </row>
    <row r="33" spans="1:31" x14ac:dyDescent="0.2">
      <c r="A33" s="4">
        <v>34000203</v>
      </c>
      <c r="B33" s="5" t="s">
        <v>525</v>
      </c>
      <c r="C33" s="52">
        <v>3000000</v>
      </c>
      <c r="D33" s="52">
        <v>396000</v>
      </c>
      <c r="E33" s="53"/>
      <c r="F33" s="53"/>
      <c r="G33" s="53"/>
      <c r="H33" s="53"/>
      <c r="I33" s="54"/>
      <c r="J33" s="54"/>
      <c r="K33" s="53">
        <v>250000</v>
      </c>
      <c r="L33" s="53">
        <v>33000</v>
      </c>
      <c r="M33" s="53">
        <v>250000</v>
      </c>
      <c r="N33" s="53">
        <v>33000</v>
      </c>
      <c r="O33" s="53">
        <v>250000</v>
      </c>
      <c r="P33" s="53">
        <v>33000</v>
      </c>
      <c r="Q33" s="53">
        <v>250000</v>
      </c>
      <c r="R33" s="53">
        <v>33000</v>
      </c>
      <c r="S33" s="53">
        <v>250000</v>
      </c>
      <c r="T33" s="53">
        <v>33000</v>
      </c>
      <c r="U33" s="53">
        <v>250000</v>
      </c>
      <c r="V33" s="53">
        <v>33000</v>
      </c>
      <c r="W33" s="53">
        <v>250000</v>
      </c>
      <c r="X33" s="53">
        <v>33000</v>
      </c>
      <c r="Y33" s="53">
        <v>250000</v>
      </c>
      <c r="Z33" s="53">
        <v>33000</v>
      </c>
      <c r="AA33" s="53">
        <v>250000</v>
      </c>
      <c r="AB33" s="53">
        <v>33000</v>
      </c>
      <c r="AC33" s="54">
        <f t="shared" si="2"/>
        <v>750000</v>
      </c>
      <c r="AD33" s="54">
        <f t="shared" si="2"/>
        <v>99000</v>
      </c>
      <c r="AE33" s="2">
        <f t="shared" si="3"/>
        <v>297000</v>
      </c>
    </row>
    <row r="34" spans="1:31" x14ac:dyDescent="0.2">
      <c r="A34" s="4">
        <v>34000514</v>
      </c>
      <c r="B34" s="5" t="s">
        <v>526</v>
      </c>
      <c r="C34" s="52">
        <v>3499000</v>
      </c>
      <c r="D34" s="52">
        <v>401000</v>
      </c>
      <c r="E34" s="53"/>
      <c r="F34" s="53"/>
      <c r="G34" s="53"/>
      <c r="H34" s="53"/>
      <c r="I34" s="54"/>
      <c r="J34" s="54"/>
      <c r="K34" s="53">
        <v>291583.33333333331</v>
      </c>
      <c r="L34" s="53">
        <v>33416.666666666664</v>
      </c>
      <c r="M34" s="53">
        <v>291583.33333333331</v>
      </c>
      <c r="N34" s="53">
        <v>33416.666666666664</v>
      </c>
      <c r="O34" s="53">
        <v>291583.33333333331</v>
      </c>
      <c r="P34" s="53">
        <v>33416.666666666664</v>
      </c>
      <c r="Q34" s="53">
        <v>291583.33333333331</v>
      </c>
      <c r="R34" s="53">
        <v>33416.666666666664</v>
      </c>
      <c r="S34" s="53">
        <v>291583.33333333331</v>
      </c>
      <c r="T34" s="53">
        <v>33416.666666666664</v>
      </c>
      <c r="U34" s="53">
        <v>291583.33333333331</v>
      </c>
      <c r="V34" s="53">
        <v>33416.666666666664</v>
      </c>
      <c r="W34" s="53">
        <v>291583.33333333331</v>
      </c>
      <c r="X34" s="53">
        <v>33416.666666666664</v>
      </c>
      <c r="Y34" s="53">
        <v>291583.33333333331</v>
      </c>
      <c r="Z34" s="53">
        <v>33416.666666666664</v>
      </c>
      <c r="AA34" s="53">
        <v>291583.33333333331</v>
      </c>
      <c r="AB34" s="53">
        <v>33416.666666666664</v>
      </c>
      <c r="AC34" s="54">
        <f t="shared" si="2"/>
        <v>874749.99999999977</v>
      </c>
      <c r="AD34" s="54">
        <f t="shared" si="2"/>
        <v>100249.99999999997</v>
      </c>
      <c r="AE34" s="2">
        <f t="shared" si="3"/>
        <v>300750</v>
      </c>
    </row>
    <row r="35" spans="1:31" x14ac:dyDescent="0.2">
      <c r="A35" s="4">
        <v>34000354</v>
      </c>
      <c r="B35" s="5" t="s">
        <v>514</v>
      </c>
      <c r="C35" s="52">
        <v>3630000</v>
      </c>
      <c r="D35" s="52">
        <v>390000</v>
      </c>
      <c r="E35" s="53"/>
      <c r="F35" s="53"/>
      <c r="G35" s="53"/>
      <c r="H35" s="53"/>
      <c r="I35" s="54"/>
      <c r="J35" s="54"/>
      <c r="K35" s="53">
        <v>302500</v>
      </c>
      <c r="L35" s="53">
        <v>32500</v>
      </c>
      <c r="M35" s="53">
        <v>302500</v>
      </c>
      <c r="N35" s="53">
        <v>32500</v>
      </c>
      <c r="O35" s="53">
        <v>302500</v>
      </c>
      <c r="P35" s="53">
        <v>32500</v>
      </c>
      <c r="Q35" s="53">
        <v>302500</v>
      </c>
      <c r="R35" s="53">
        <v>32500</v>
      </c>
      <c r="S35" s="53">
        <v>302500</v>
      </c>
      <c r="T35" s="53">
        <v>32500</v>
      </c>
      <c r="U35" s="53">
        <v>302500</v>
      </c>
      <c r="V35" s="53">
        <v>32500</v>
      </c>
      <c r="W35" s="53">
        <v>302500</v>
      </c>
      <c r="X35" s="53">
        <v>32500</v>
      </c>
      <c r="Y35" s="53">
        <v>302500</v>
      </c>
      <c r="Z35" s="53">
        <v>32500</v>
      </c>
      <c r="AA35" s="53">
        <v>302500</v>
      </c>
      <c r="AB35" s="53">
        <v>32500</v>
      </c>
      <c r="AC35" s="54">
        <f t="shared" si="2"/>
        <v>907500</v>
      </c>
      <c r="AD35" s="54">
        <f t="shared" si="2"/>
        <v>97500</v>
      </c>
      <c r="AE35" s="2">
        <f t="shared" si="3"/>
        <v>292500</v>
      </c>
    </row>
    <row r="36" spans="1:31" x14ac:dyDescent="0.2">
      <c r="A36" s="4">
        <v>34000643</v>
      </c>
      <c r="B36" s="5" t="s">
        <v>527</v>
      </c>
      <c r="C36" s="52">
        <v>2299000</v>
      </c>
      <c r="D36" s="52">
        <v>341000</v>
      </c>
      <c r="E36" s="53"/>
      <c r="F36" s="53"/>
      <c r="G36" s="53"/>
      <c r="H36" s="53"/>
      <c r="I36" s="54"/>
      <c r="J36" s="54"/>
      <c r="K36" s="53">
        <v>191583.33333333334</v>
      </c>
      <c r="L36" s="53">
        <v>28416.666666666668</v>
      </c>
      <c r="M36" s="53">
        <v>191583.33333333334</v>
      </c>
      <c r="N36" s="53">
        <v>28416.666666666668</v>
      </c>
      <c r="O36" s="53">
        <v>191583.33333333334</v>
      </c>
      <c r="P36" s="53">
        <v>28416.666666666668</v>
      </c>
      <c r="Q36" s="53">
        <v>191583.33333333334</v>
      </c>
      <c r="R36" s="53">
        <v>28416.666666666668</v>
      </c>
      <c r="S36" s="53">
        <v>191583.33333333334</v>
      </c>
      <c r="T36" s="53">
        <v>28416.666666666668</v>
      </c>
      <c r="U36" s="53">
        <v>191583.33333333334</v>
      </c>
      <c r="V36" s="53">
        <v>28416.666666666668</v>
      </c>
      <c r="W36" s="53">
        <v>191583.33333333334</v>
      </c>
      <c r="X36" s="53">
        <v>28416.666666666668</v>
      </c>
      <c r="Y36" s="53">
        <v>191583.33333333334</v>
      </c>
      <c r="Z36" s="53">
        <v>28416.666666666668</v>
      </c>
      <c r="AA36" s="53">
        <v>191583.33333333334</v>
      </c>
      <c r="AB36" s="53">
        <v>28416.666666666668</v>
      </c>
      <c r="AC36" s="54">
        <f t="shared" si="2"/>
        <v>574750.00000000012</v>
      </c>
      <c r="AD36" s="54">
        <f t="shared" si="2"/>
        <v>85250</v>
      </c>
      <c r="AE36" s="2">
        <f t="shared" si="3"/>
        <v>255749.99999999997</v>
      </c>
    </row>
    <row r="37" spans="1:31" x14ac:dyDescent="0.2">
      <c r="A37" s="4">
        <v>34000397</v>
      </c>
      <c r="B37" s="5" t="s">
        <v>528</v>
      </c>
      <c r="C37" s="52">
        <v>3000000</v>
      </c>
      <c r="D37" s="52">
        <v>420000</v>
      </c>
      <c r="E37" s="53"/>
      <c r="F37" s="53"/>
      <c r="G37" s="53"/>
      <c r="H37" s="53"/>
      <c r="I37" s="54"/>
      <c r="J37" s="54"/>
      <c r="K37" s="53">
        <v>250000</v>
      </c>
      <c r="L37" s="53">
        <v>35000</v>
      </c>
      <c r="M37" s="53">
        <v>250000</v>
      </c>
      <c r="N37" s="53">
        <v>35000</v>
      </c>
      <c r="O37" s="53">
        <v>250000</v>
      </c>
      <c r="P37" s="53">
        <v>35000</v>
      </c>
      <c r="Q37" s="53">
        <v>250000</v>
      </c>
      <c r="R37" s="53">
        <v>35000</v>
      </c>
      <c r="S37" s="53">
        <v>250000</v>
      </c>
      <c r="T37" s="53">
        <v>35000</v>
      </c>
      <c r="U37" s="53">
        <v>250000</v>
      </c>
      <c r="V37" s="53">
        <v>35000</v>
      </c>
      <c r="W37" s="53">
        <v>250000</v>
      </c>
      <c r="X37" s="53">
        <v>35000</v>
      </c>
      <c r="Y37" s="53">
        <v>250000</v>
      </c>
      <c r="Z37" s="53">
        <v>35000</v>
      </c>
      <c r="AA37" s="53">
        <v>250000</v>
      </c>
      <c r="AB37" s="53">
        <v>35000</v>
      </c>
      <c r="AC37" s="54">
        <f t="shared" si="2"/>
        <v>750000</v>
      </c>
      <c r="AD37" s="54">
        <f t="shared" si="2"/>
        <v>105000</v>
      </c>
      <c r="AE37" s="2">
        <f t="shared" si="3"/>
        <v>315000</v>
      </c>
    </row>
    <row r="38" spans="1:31" x14ac:dyDescent="0.2">
      <c r="A38" s="4">
        <v>34000415</v>
      </c>
      <c r="B38" s="5" t="s">
        <v>529</v>
      </c>
      <c r="C38" s="52">
        <v>8000000</v>
      </c>
      <c r="D38" s="52">
        <v>940000</v>
      </c>
      <c r="E38" s="53"/>
      <c r="F38" s="53"/>
      <c r="G38" s="53"/>
      <c r="H38" s="53"/>
      <c r="I38" s="54"/>
      <c r="J38" s="54"/>
      <c r="K38" s="53">
        <v>666666.66666666663</v>
      </c>
      <c r="L38" s="53">
        <v>78333.333333333328</v>
      </c>
      <c r="M38" s="53">
        <v>666666.66666666663</v>
      </c>
      <c r="N38" s="53">
        <v>78333.333333333328</v>
      </c>
      <c r="O38" s="53">
        <v>666666.66666666663</v>
      </c>
      <c r="P38" s="53">
        <v>78333.333333333328</v>
      </c>
      <c r="Q38" s="53">
        <v>666666.66666666663</v>
      </c>
      <c r="R38" s="53">
        <v>78333.333333333328</v>
      </c>
      <c r="S38" s="53">
        <v>666666.66666666663</v>
      </c>
      <c r="T38" s="53">
        <v>78333.333333333328</v>
      </c>
      <c r="U38" s="53">
        <v>666666.66666666663</v>
      </c>
      <c r="V38" s="53">
        <v>78333.333333333328</v>
      </c>
      <c r="W38" s="53">
        <v>666666.66666666663</v>
      </c>
      <c r="X38" s="53">
        <v>78333.333333333328</v>
      </c>
      <c r="Y38" s="53">
        <v>666666.66666666663</v>
      </c>
      <c r="Z38" s="53">
        <v>78333.333333333328</v>
      </c>
      <c r="AA38" s="53">
        <v>666666.66666666663</v>
      </c>
      <c r="AB38" s="53">
        <v>78333.333333333328</v>
      </c>
      <c r="AC38" s="54">
        <f t="shared" si="2"/>
        <v>1999999.9999999991</v>
      </c>
      <c r="AD38" s="54">
        <f t="shared" si="2"/>
        <v>234999.99999999988</v>
      </c>
      <c r="AE38" s="2">
        <f t="shared" si="3"/>
        <v>705000</v>
      </c>
    </row>
    <row r="39" spans="1:31" x14ac:dyDescent="0.2">
      <c r="A39" s="4">
        <v>34000363</v>
      </c>
      <c r="B39" s="5" t="s">
        <v>530</v>
      </c>
      <c r="C39" s="52">
        <v>2325000</v>
      </c>
      <c r="D39" s="52">
        <v>225000</v>
      </c>
      <c r="E39" s="53"/>
      <c r="F39" s="53"/>
      <c r="G39" s="53"/>
      <c r="H39" s="53"/>
      <c r="I39" s="54"/>
      <c r="J39" s="54"/>
      <c r="K39" s="53">
        <v>232500</v>
      </c>
      <c r="L39" s="53">
        <v>22500</v>
      </c>
      <c r="M39" s="53">
        <v>232500</v>
      </c>
      <c r="N39" s="53">
        <v>22500</v>
      </c>
      <c r="O39" s="53">
        <v>232500</v>
      </c>
      <c r="P39" s="53">
        <v>22500</v>
      </c>
      <c r="Q39" s="53">
        <v>232500</v>
      </c>
      <c r="R39" s="53">
        <v>22500</v>
      </c>
      <c r="S39" s="53">
        <v>232500</v>
      </c>
      <c r="T39" s="53">
        <v>22500</v>
      </c>
      <c r="U39" s="53">
        <v>232500</v>
      </c>
      <c r="V39" s="53">
        <v>22500</v>
      </c>
      <c r="W39" s="53">
        <v>232500</v>
      </c>
      <c r="X39" s="53">
        <v>22500</v>
      </c>
      <c r="Y39" s="53">
        <v>232500</v>
      </c>
      <c r="Z39" s="53">
        <v>22500</v>
      </c>
      <c r="AA39" s="53">
        <v>232500</v>
      </c>
      <c r="AB39" s="53">
        <v>22500</v>
      </c>
      <c r="AC39" s="54">
        <f t="shared" si="2"/>
        <v>232500</v>
      </c>
      <c r="AD39" s="54">
        <f t="shared" si="2"/>
        <v>22500</v>
      </c>
      <c r="AE39" s="2">
        <f t="shared" si="3"/>
        <v>202500</v>
      </c>
    </row>
    <row r="40" spans="1:31" x14ac:dyDescent="0.2">
      <c r="A40" s="4">
        <v>34000534</v>
      </c>
      <c r="B40" s="5" t="s">
        <v>531</v>
      </c>
      <c r="C40" s="52">
        <v>3799000</v>
      </c>
      <c r="D40" s="52">
        <v>341000</v>
      </c>
      <c r="E40" s="53"/>
      <c r="F40" s="53"/>
      <c r="G40" s="53"/>
      <c r="H40" s="53"/>
      <c r="I40" s="54"/>
      <c r="J40" s="54"/>
      <c r="K40" s="53">
        <v>316583.33333333331</v>
      </c>
      <c r="L40" s="53">
        <v>28416.666666666668</v>
      </c>
      <c r="M40" s="53">
        <v>316583.33333333331</v>
      </c>
      <c r="N40" s="53">
        <v>28416.666666666668</v>
      </c>
      <c r="O40" s="53">
        <v>316583.33333333331</v>
      </c>
      <c r="P40" s="53">
        <v>28416.666666666668</v>
      </c>
      <c r="Q40" s="53">
        <v>316583.33333333331</v>
      </c>
      <c r="R40" s="53">
        <v>28416.666666666668</v>
      </c>
      <c r="S40" s="53">
        <v>316583.33333333331</v>
      </c>
      <c r="T40" s="53">
        <v>28416.666666666668</v>
      </c>
      <c r="U40" s="53">
        <v>316583.33333333331</v>
      </c>
      <c r="V40" s="53">
        <v>28416.666666666668</v>
      </c>
      <c r="W40" s="53">
        <v>316583.33333333331</v>
      </c>
      <c r="X40" s="53">
        <v>28416.666666666668</v>
      </c>
      <c r="Y40" s="53">
        <v>316583.33333333331</v>
      </c>
      <c r="Z40" s="53">
        <v>28416.666666666668</v>
      </c>
      <c r="AA40" s="53">
        <v>316583.33333333331</v>
      </c>
      <c r="AB40" s="53">
        <v>28416.666666666668</v>
      </c>
      <c r="AC40" s="54">
        <f t="shared" si="2"/>
        <v>949749.99999999953</v>
      </c>
      <c r="AD40" s="54">
        <f t="shared" si="2"/>
        <v>85250</v>
      </c>
      <c r="AE40" s="2">
        <f t="shared" si="3"/>
        <v>255749.99999999997</v>
      </c>
    </row>
    <row r="41" spans="1:31" x14ac:dyDescent="0.2">
      <c r="A41" s="4">
        <v>34000758</v>
      </c>
      <c r="B41" s="5" t="s">
        <v>474</v>
      </c>
      <c r="C41" s="52">
        <v>3299000</v>
      </c>
      <c r="D41" s="52">
        <v>351000</v>
      </c>
      <c r="E41" s="53"/>
      <c r="F41" s="53"/>
      <c r="G41" s="53"/>
      <c r="H41" s="53"/>
      <c r="I41" s="54"/>
      <c r="J41" s="54"/>
      <c r="K41" s="53"/>
      <c r="L41" s="53"/>
      <c r="M41" s="53">
        <v>329900</v>
      </c>
      <c r="N41" s="53">
        <v>35100</v>
      </c>
      <c r="O41" s="53">
        <v>329900</v>
      </c>
      <c r="P41" s="53">
        <v>35100</v>
      </c>
      <c r="Q41" s="53">
        <v>329900</v>
      </c>
      <c r="R41" s="53">
        <v>35100</v>
      </c>
      <c r="S41" s="53">
        <v>329900</v>
      </c>
      <c r="T41" s="53">
        <v>35100</v>
      </c>
      <c r="U41" s="53">
        <v>329900</v>
      </c>
      <c r="V41" s="53">
        <v>35100</v>
      </c>
      <c r="W41" s="53">
        <v>329900</v>
      </c>
      <c r="X41" s="53">
        <v>35100</v>
      </c>
      <c r="Y41" s="53">
        <v>329900</v>
      </c>
      <c r="Z41" s="53">
        <v>35100</v>
      </c>
      <c r="AA41" s="53">
        <v>329900</v>
      </c>
      <c r="AB41" s="53">
        <v>35100</v>
      </c>
      <c r="AC41" s="54">
        <f t="shared" si="2"/>
        <v>659800</v>
      </c>
      <c r="AD41" s="54">
        <f t="shared" si="2"/>
        <v>70200</v>
      </c>
      <c r="AE41" s="2">
        <f t="shared" si="3"/>
        <v>280800</v>
      </c>
    </row>
    <row r="42" spans="1:31" x14ac:dyDescent="0.2">
      <c r="A42" s="4">
        <v>34000215</v>
      </c>
      <c r="B42" s="5" t="s">
        <v>110</v>
      </c>
      <c r="C42" s="52">
        <v>5600000</v>
      </c>
      <c r="D42" s="52">
        <v>400000</v>
      </c>
      <c r="E42" s="53"/>
      <c r="F42" s="53"/>
      <c r="G42" s="53"/>
      <c r="H42" s="53"/>
      <c r="I42" s="54"/>
      <c r="J42" s="54"/>
      <c r="K42" s="53"/>
      <c r="L42" s="53"/>
      <c r="M42" s="53">
        <v>466666.66666666669</v>
      </c>
      <c r="N42" s="53">
        <v>33333.333333333336</v>
      </c>
      <c r="O42" s="53">
        <v>466666.66666666669</v>
      </c>
      <c r="P42" s="53">
        <v>33333.333333333336</v>
      </c>
      <c r="Q42" s="53">
        <v>466666.66666666669</v>
      </c>
      <c r="R42" s="53">
        <v>33333.333333333336</v>
      </c>
      <c r="S42" s="53">
        <v>466666.66666666669</v>
      </c>
      <c r="T42" s="53">
        <v>33333.333333333336</v>
      </c>
      <c r="U42" s="53">
        <v>466666.66666666669</v>
      </c>
      <c r="V42" s="53">
        <v>33333.333333333336</v>
      </c>
      <c r="W42" s="53">
        <v>466666.66666666669</v>
      </c>
      <c r="X42" s="53">
        <v>33333.333333333336</v>
      </c>
      <c r="Y42" s="53">
        <v>466666.66666666669</v>
      </c>
      <c r="Z42" s="53">
        <v>33333.333333333336</v>
      </c>
      <c r="AA42" s="53">
        <v>466666.66666666669</v>
      </c>
      <c r="AB42" s="53">
        <v>33333.333333333336</v>
      </c>
      <c r="AC42" s="54">
        <f t="shared" si="2"/>
        <v>1866666.6666666663</v>
      </c>
      <c r="AD42" s="54">
        <f t="shared" si="2"/>
        <v>133333.33333333337</v>
      </c>
      <c r="AE42" s="2">
        <f t="shared" si="3"/>
        <v>266666.66666666669</v>
      </c>
    </row>
    <row r="43" spans="1:31" x14ac:dyDescent="0.2">
      <c r="A43" s="4">
        <v>34000462</v>
      </c>
      <c r="B43" s="5" t="s">
        <v>532</v>
      </c>
      <c r="C43" s="52">
        <v>3999000</v>
      </c>
      <c r="D43" s="52">
        <v>441000</v>
      </c>
      <c r="E43" s="53"/>
      <c r="F43" s="53"/>
      <c r="G43" s="53"/>
      <c r="H43" s="53"/>
      <c r="I43" s="54"/>
      <c r="J43" s="54"/>
      <c r="K43" s="53"/>
      <c r="L43" s="53"/>
      <c r="M43" s="53"/>
      <c r="N43" s="53"/>
      <c r="O43" s="53"/>
      <c r="P43" s="53"/>
      <c r="Q43" s="53"/>
      <c r="R43" s="53"/>
      <c r="S43" s="53">
        <v>333250</v>
      </c>
      <c r="T43" s="53">
        <v>36750</v>
      </c>
      <c r="U43" s="53">
        <v>333250</v>
      </c>
      <c r="V43" s="53">
        <v>36750</v>
      </c>
      <c r="W43" s="53">
        <v>333250</v>
      </c>
      <c r="X43" s="53">
        <v>36750</v>
      </c>
      <c r="Y43" s="53">
        <v>333250</v>
      </c>
      <c r="Z43" s="53">
        <v>36750</v>
      </c>
      <c r="AA43" s="53">
        <v>333250</v>
      </c>
      <c r="AB43" s="53">
        <v>36750</v>
      </c>
      <c r="AC43" s="54">
        <f t="shared" si="2"/>
        <v>2332750</v>
      </c>
      <c r="AD43" s="54">
        <f t="shared" si="2"/>
        <v>257250</v>
      </c>
      <c r="AE43" s="2">
        <f t="shared" si="3"/>
        <v>183750</v>
      </c>
    </row>
    <row r="44" spans="1:31" x14ac:dyDescent="0.2">
      <c r="A44" s="4">
        <v>34000012</v>
      </c>
      <c r="B44" s="5" t="s">
        <v>533</v>
      </c>
      <c r="C44" s="52">
        <v>1000000</v>
      </c>
      <c r="D44" s="52">
        <v>125000</v>
      </c>
      <c r="E44" s="53"/>
      <c r="F44" s="53"/>
      <c r="G44" s="53"/>
      <c r="H44" s="53"/>
      <c r="I44" s="54"/>
      <c r="J44" s="54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>
        <v>111111.11111111111</v>
      </c>
      <c r="V44" s="53">
        <v>13888.888888888889</v>
      </c>
      <c r="W44" s="53">
        <v>111111.11111111111</v>
      </c>
      <c r="X44" s="53">
        <v>13888.888888888889</v>
      </c>
      <c r="Y44" s="53">
        <v>111111.11111111111</v>
      </c>
      <c r="Z44" s="53">
        <v>13888.888888888889</v>
      </c>
      <c r="AA44" s="53">
        <v>111111.11111111111</v>
      </c>
      <c r="AB44" s="53">
        <v>13888.888888888889</v>
      </c>
      <c r="AC44" s="54">
        <f t="shared" ref="AC44:AD60" si="4">+C44-E44-G44-I44-K44-M44-O44-Q44-S44-U44-W44-Y44-AA44</f>
        <v>555555.5555555555</v>
      </c>
      <c r="AD44" s="54">
        <f t="shared" si="4"/>
        <v>69444.444444444438</v>
      </c>
      <c r="AE44" s="2">
        <f t="shared" si="3"/>
        <v>55555.555555555555</v>
      </c>
    </row>
    <row r="45" spans="1:31" x14ac:dyDescent="0.2">
      <c r="A45" s="4">
        <v>34000119</v>
      </c>
      <c r="B45" s="5" t="s">
        <v>300</v>
      </c>
      <c r="C45" s="52">
        <v>3199000</v>
      </c>
      <c r="D45" s="52">
        <v>401000</v>
      </c>
      <c r="E45" s="53"/>
      <c r="F45" s="53"/>
      <c r="G45" s="53"/>
      <c r="H45" s="53"/>
      <c r="I45" s="54"/>
      <c r="J45" s="54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>
        <v>319900</v>
      </c>
      <c r="V45" s="53">
        <v>40100</v>
      </c>
      <c r="W45" s="53">
        <v>319900</v>
      </c>
      <c r="X45" s="53">
        <v>40100</v>
      </c>
      <c r="Y45" s="53">
        <v>319900</v>
      </c>
      <c r="Z45" s="53">
        <v>40100</v>
      </c>
      <c r="AA45" s="53">
        <v>319900</v>
      </c>
      <c r="AB45" s="53">
        <v>40100</v>
      </c>
      <c r="AC45" s="54">
        <f t="shared" si="4"/>
        <v>1919400</v>
      </c>
      <c r="AD45" s="54">
        <f t="shared" si="4"/>
        <v>240600</v>
      </c>
      <c r="AE45" s="2">
        <f t="shared" si="3"/>
        <v>160400</v>
      </c>
    </row>
    <row r="46" spans="1:31" x14ac:dyDescent="0.2">
      <c r="A46" s="4">
        <v>34000469</v>
      </c>
      <c r="B46" s="5" t="s">
        <v>534</v>
      </c>
      <c r="C46" s="52">
        <v>3199000</v>
      </c>
      <c r="D46" s="52">
        <v>401000</v>
      </c>
      <c r="E46" s="53"/>
      <c r="F46" s="53"/>
      <c r="G46" s="53"/>
      <c r="H46" s="53"/>
      <c r="I46" s="54"/>
      <c r="J46" s="54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>
        <v>319900</v>
      </c>
      <c r="V46" s="53">
        <v>40100</v>
      </c>
      <c r="W46" s="53">
        <v>319900</v>
      </c>
      <c r="X46" s="53">
        <v>40100</v>
      </c>
      <c r="Y46" s="53">
        <v>319900</v>
      </c>
      <c r="Z46" s="53">
        <v>40100</v>
      </c>
      <c r="AA46" s="53">
        <v>319900</v>
      </c>
      <c r="AB46" s="53">
        <v>40100</v>
      </c>
      <c r="AC46" s="54">
        <f t="shared" si="4"/>
        <v>1919400</v>
      </c>
      <c r="AD46" s="54">
        <f t="shared" si="4"/>
        <v>240600</v>
      </c>
      <c r="AE46" s="2">
        <f t="shared" si="3"/>
        <v>160400</v>
      </c>
    </row>
    <row r="47" spans="1:31" x14ac:dyDescent="0.2">
      <c r="A47" s="4">
        <v>34000394</v>
      </c>
      <c r="B47" s="5" t="s">
        <v>535</v>
      </c>
      <c r="C47" s="52">
        <v>3199000</v>
      </c>
      <c r="D47" s="52">
        <v>401000</v>
      </c>
      <c r="E47" s="53"/>
      <c r="F47" s="53"/>
      <c r="G47" s="53"/>
      <c r="H47" s="53"/>
      <c r="I47" s="54"/>
      <c r="J47" s="54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>
        <v>319900</v>
      </c>
      <c r="V47" s="53">
        <v>40100</v>
      </c>
      <c r="W47" s="53">
        <v>319900</v>
      </c>
      <c r="X47" s="53">
        <v>40100</v>
      </c>
      <c r="Y47" s="53">
        <v>319900</v>
      </c>
      <c r="Z47" s="53">
        <v>40100</v>
      </c>
      <c r="AA47" s="53">
        <v>319900</v>
      </c>
      <c r="AB47" s="53">
        <v>40100</v>
      </c>
      <c r="AC47" s="54">
        <f t="shared" si="4"/>
        <v>1919400</v>
      </c>
      <c r="AD47" s="54">
        <f t="shared" si="4"/>
        <v>240600</v>
      </c>
      <c r="AE47" s="2">
        <f t="shared" si="3"/>
        <v>160400</v>
      </c>
    </row>
    <row r="48" spans="1:31" x14ac:dyDescent="0.2">
      <c r="A48" s="4">
        <v>34000257</v>
      </c>
      <c r="B48" s="5" t="s">
        <v>133</v>
      </c>
      <c r="C48" s="52">
        <v>4999000</v>
      </c>
      <c r="D48" s="52">
        <v>641000</v>
      </c>
      <c r="E48" s="53"/>
      <c r="F48" s="53"/>
      <c r="G48" s="53"/>
      <c r="H48" s="53"/>
      <c r="I48" s="54"/>
      <c r="J48" s="54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>
        <v>416583.33333333331</v>
      </c>
      <c r="V48" s="53">
        <v>53416.666666666664</v>
      </c>
      <c r="W48" s="53">
        <v>416583.33333333331</v>
      </c>
      <c r="X48" s="53">
        <v>53416.666666666664</v>
      </c>
      <c r="Y48" s="53">
        <v>416583.33333333331</v>
      </c>
      <c r="Z48" s="53">
        <v>53416.666666666664</v>
      </c>
      <c r="AA48" s="53">
        <v>416583.33333333331</v>
      </c>
      <c r="AB48" s="53">
        <v>53416.666666666664</v>
      </c>
      <c r="AC48" s="54">
        <f t="shared" si="4"/>
        <v>3332666.6666666665</v>
      </c>
      <c r="AD48" s="54">
        <f t="shared" si="4"/>
        <v>427333.33333333337</v>
      </c>
      <c r="AE48" s="2">
        <f t="shared" si="3"/>
        <v>213666.66666666666</v>
      </c>
    </row>
    <row r="49" spans="1:31" x14ac:dyDescent="0.2">
      <c r="A49" s="4">
        <v>34000405</v>
      </c>
      <c r="B49" s="5" t="s">
        <v>178</v>
      </c>
      <c r="C49" s="52">
        <v>2000000</v>
      </c>
      <c r="D49" s="52">
        <v>280000</v>
      </c>
      <c r="E49" s="53"/>
      <c r="F49" s="53"/>
      <c r="G49" s="53"/>
      <c r="H49" s="53"/>
      <c r="I49" s="54"/>
      <c r="J49" s="54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>
        <v>166666.66666666666</v>
      </c>
      <c r="V49" s="53">
        <v>23333.333333333332</v>
      </c>
      <c r="W49" s="53">
        <v>166666.66666666666</v>
      </c>
      <c r="X49" s="53">
        <v>23333.333333333332</v>
      </c>
      <c r="Y49" s="53">
        <v>166666.66666666666</v>
      </c>
      <c r="Z49" s="53">
        <v>23333.333333333332</v>
      </c>
      <c r="AA49" s="53">
        <v>166666.66666666666</v>
      </c>
      <c r="AB49" s="53">
        <v>23333.333333333332</v>
      </c>
      <c r="AC49" s="54">
        <f t="shared" si="4"/>
        <v>1333333.333333333</v>
      </c>
      <c r="AD49" s="54">
        <f t="shared" si="4"/>
        <v>186666.66666666663</v>
      </c>
      <c r="AE49" s="2">
        <f t="shared" si="3"/>
        <v>93333.333333333328</v>
      </c>
    </row>
    <row r="50" spans="1:31" x14ac:dyDescent="0.2">
      <c r="A50" s="4">
        <v>34000670</v>
      </c>
      <c r="B50" s="5" t="s">
        <v>536</v>
      </c>
      <c r="C50" s="52">
        <v>3999000</v>
      </c>
      <c r="D50" s="52">
        <v>401000</v>
      </c>
      <c r="E50" s="53"/>
      <c r="F50" s="53"/>
      <c r="G50" s="53"/>
      <c r="H50" s="53"/>
      <c r="I50" s="54"/>
      <c r="J50" s="54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>
        <v>399900</v>
      </c>
      <c r="V50" s="53">
        <v>40100</v>
      </c>
      <c r="W50" s="53">
        <v>399900</v>
      </c>
      <c r="X50" s="53">
        <v>40100</v>
      </c>
      <c r="Y50" s="53">
        <v>399900</v>
      </c>
      <c r="Z50" s="53">
        <v>40100</v>
      </c>
      <c r="AA50" s="53">
        <v>399900</v>
      </c>
      <c r="AB50" s="53">
        <v>40100</v>
      </c>
      <c r="AC50" s="54">
        <f t="shared" si="4"/>
        <v>2399400</v>
      </c>
      <c r="AD50" s="54">
        <f t="shared" si="4"/>
        <v>240600</v>
      </c>
      <c r="AE50" s="2">
        <f t="shared" si="3"/>
        <v>160400</v>
      </c>
    </row>
    <row r="51" spans="1:31" x14ac:dyDescent="0.2">
      <c r="A51" s="4">
        <v>34000771</v>
      </c>
      <c r="B51" s="5" t="s">
        <v>228</v>
      </c>
      <c r="C51" s="52">
        <v>2999000</v>
      </c>
      <c r="D51" s="52">
        <v>331000</v>
      </c>
      <c r="E51" s="53"/>
      <c r="F51" s="53"/>
      <c r="G51" s="53"/>
      <c r="H51" s="53"/>
      <c r="I51" s="54"/>
      <c r="J51" s="54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>
        <v>499833.33333333331</v>
      </c>
      <c r="X51" s="53">
        <v>55166.666666666664</v>
      </c>
      <c r="Y51" s="53">
        <v>499833.33333333331</v>
      </c>
      <c r="Z51" s="53">
        <v>55166.666666666664</v>
      </c>
      <c r="AA51" s="53">
        <v>499833.33333333331</v>
      </c>
      <c r="AB51" s="53">
        <v>55166.666666666664</v>
      </c>
      <c r="AC51" s="54">
        <f t="shared" si="4"/>
        <v>1499500</v>
      </c>
      <c r="AD51" s="54">
        <f t="shared" si="4"/>
        <v>165500</v>
      </c>
      <c r="AE51" s="2">
        <f t="shared" si="3"/>
        <v>165500</v>
      </c>
    </row>
    <row r="52" spans="1:31" x14ac:dyDescent="0.2">
      <c r="A52" s="4">
        <v>34000277</v>
      </c>
      <c r="B52" s="5" t="s">
        <v>238</v>
      </c>
      <c r="C52" s="52">
        <v>1999000</v>
      </c>
      <c r="D52" s="52">
        <v>226000</v>
      </c>
      <c r="E52" s="53"/>
      <c r="F52" s="53"/>
      <c r="G52" s="53"/>
      <c r="H52" s="53"/>
      <c r="I52" s="54"/>
      <c r="J52" s="54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>
        <v>399800</v>
      </c>
      <c r="X52" s="53">
        <v>45200</v>
      </c>
      <c r="Y52" s="53">
        <v>399800</v>
      </c>
      <c r="Z52" s="53">
        <v>45200</v>
      </c>
      <c r="AA52" s="53">
        <v>399800</v>
      </c>
      <c r="AB52" s="53">
        <v>45200</v>
      </c>
      <c r="AC52" s="54">
        <f t="shared" si="4"/>
        <v>799600</v>
      </c>
      <c r="AD52" s="54">
        <f t="shared" si="4"/>
        <v>90400</v>
      </c>
      <c r="AE52" s="2">
        <f t="shared" si="3"/>
        <v>135600</v>
      </c>
    </row>
    <row r="53" spans="1:31" x14ac:dyDescent="0.2">
      <c r="A53" s="4">
        <v>34000446</v>
      </c>
      <c r="B53" s="5" t="s">
        <v>240</v>
      </c>
      <c r="C53" s="52">
        <v>3000000</v>
      </c>
      <c r="D53" s="52">
        <v>300000</v>
      </c>
      <c r="E53" s="53"/>
      <c r="F53" s="53"/>
      <c r="G53" s="53"/>
      <c r="H53" s="53"/>
      <c r="I53" s="54"/>
      <c r="J53" s="54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>
        <v>300000</v>
      </c>
      <c r="X53" s="53">
        <v>30000</v>
      </c>
      <c r="Y53" s="53">
        <v>300000</v>
      </c>
      <c r="Z53" s="53">
        <v>30000</v>
      </c>
      <c r="AA53" s="53">
        <v>300000</v>
      </c>
      <c r="AB53" s="53">
        <v>30000</v>
      </c>
      <c r="AC53" s="54">
        <f t="shared" si="4"/>
        <v>2100000</v>
      </c>
      <c r="AD53" s="54">
        <f t="shared" si="4"/>
        <v>210000</v>
      </c>
      <c r="AE53" s="2">
        <f t="shared" si="3"/>
        <v>90000</v>
      </c>
    </row>
    <row r="54" spans="1:31" x14ac:dyDescent="0.2">
      <c r="A54" s="4">
        <v>34000012</v>
      </c>
      <c r="B54" s="5" t="s">
        <v>533</v>
      </c>
      <c r="C54" s="52">
        <v>750000</v>
      </c>
      <c r="D54" s="52">
        <v>75000</v>
      </c>
      <c r="E54" s="53"/>
      <c r="F54" s="53"/>
      <c r="G54" s="53"/>
      <c r="H54" s="53"/>
      <c r="I54" s="54"/>
      <c r="J54" s="54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>
        <v>250000</v>
      </c>
      <c r="Z54" s="53">
        <v>25000</v>
      </c>
      <c r="AA54" s="53">
        <v>500000</v>
      </c>
      <c r="AB54" s="53">
        <v>50000</v>
      </c>
      <c r="AC54" s="54">
        <f t="shared" si="4"/>
        <v>0</v>
      </c>
      <c r="AD54" s="54">
        <f t="shared" si="4"/>
        <v>0</v>
      </c>
      <c r="AE54" s="2">
        <f t="shared" si="3"/>
        <v>75000</v>
      </c>
    </row>
    <row r="55" spans="1:31" x14ac:dyDescent="0.2">
      <c r="A55" s="4">
        <v>34000453</v>
      </c>
      <c r="B55" s="5" t="s">
        <v>537</v>
      </c>
      <c r="C55" s="52">
        <v>6265750</v>
      </c>
      <c r="D55" s="52">
        <v>634250</v>
      </c>
      <c r="E55" s="53"/>
      <c r="F55" s="53"/>
      <c r="G55" s="53"/>
      <c r="H55" s="53"/>
      <c r="I55" s="54"/>
      <c r="J55" s="54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>
        <v>522145.83333333331</v>
      </c>
      <c r="Z55" s="53">
        <v>52854.166666666664</v>
      </c>
      <c r="AA55" s="53">
        <v>522145.83333333331</v>
      </c>
      <c r="AB55" s="53">
        <v>52854.166666666664</v>
      </c>
      <c r="AC55" s="54">
        <f t="shared" si="4"/>
        <v>5221458.333333334</v>
      </c>
      <c r="AD55" s="54">
        <f t="shared" si="4"/>
        <v>528541.66666666674</v>
      </c>
      <c r="AE55" s="2">
        <f t="shared" si="3"/>
        <v>105708.33333333333</v>
      </c>
    </row>
    <row r="56" spans="1:31" x14ac:dyDescent="0.2">
      <c r="A56" s="4">
        <v>34000388</v>
      </c>
      <c r="B56" s="5" t="s">
        <v>538</v>
      </c>
      <c r="C56" s="52">
        <v>5500000</v>
      </c>
      <c r="D56" s="52">
        <v>550000</v>
      </c>
      <c r="E56" s="53"/>
      <c r="F56" s="53"/>
      <c r="G56" s="53"/>
      <c r="H56" s="53"/>
      <c r="I56" s="54"/>
      <c r="J56" s="54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4"/>
      <c r="Z56" s="54"/>
      <c r="AA56" s="53">
        <v>550000</v>
      </c>
      <c r="AB56" s="53">
        <v>55000</v>
      </c>
      <c r="AC56" s="54">
        <f t="shared" si="4"/>
        <v>4950000</v>
      </c>
      <c r="AD56" s="54">
        <f t="shared" si="4"/>
        <v>495000</v>
      </c>
      <c r="AE56" s="2">
        <f t="shared" si="3"/>
        <v>55000</v>
      </c>
    </row>
    <row r="57" spans="1:31" x14ac:dyDescent="0.2">
      <c r="A57" s="4">
        <v>34000012</v>
      </c>
      <c r="B57" s="5" t="s">
        <v>533</v>
      </c>
      <c r="C57" s="52">
        <v>2000000</v>
      </c>
      <c r="D57" s="52">
        <v>220000</v>
      </c>
      <c r="E57" s="53"/>
      <c r="F57" s="53"/>
      <c r="G57" s="53"/>
      <c r="H57" s="53"/>
      <c r="I57" s="54"/>
      <c r="J57" s="54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4"/>
      <c r="Z57" s="54"/>
      <c r="AA57" s="53">
        <v>166666.66666666666</v>
      </c>
      <c r="AB57" s="53">
        <v>18333.333333333332</v>
      </c>
      <c r="AC57" s="54">
        <f t="shared" si="4"/>
        <v>1833333.3333333333</v>
      </c>
      <c r="AD57" s="54">
        <f t="shared" si="4"/>
        <v>201666.66666666666</v>
      </c>
      <c r="AE57" s="2">
        <f t="shared" si="3"/>
        <v>18333.333333333332</v>
      </c>
    </row>
    <row r="58" spans="1:31" x14ac:dyDescent="0.2">
      <c r="A58" s="4">
        <v>34000518</v>
      </c>
      <c r="B58" s="5" t="s">
        <v>539</v>
      </c>
      <c r="C58" s="52">
        <v>7000000</v>
      </c>
      <c r="D58" s="52">
        <v>704000</v>
      </c>
      <c r="E58" s="53"/>
      <c r="F58" s="53"/>
      <c r="G58" s="53"/>
      <c r="H58" s="53"/>
      <c r="I58" s="54"/>
      <c r="J58" s="54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4"/>
      <c r="Z58" s="54"/>
      <c r="AA58" s="53">
        <v>583333.33333333337</v>
      </c>
      <c r="AB58" s="53">
        <v>58666.666666666664</v>
      </c>
      <c r="AC58" s="54">
        <f t="shared" si="4"/>
        <v>6416666.666666667</v>
      </c>
      <c r="AD58" s="54">
        <f t="shared" si="4"/>
        <v>645333.33333333337</v>
      </c>
      <c r="AE58" s="2">
        <f t="shared" si="3"/>
        <v>58666.666666666664</v>
      </c>
    </row>
    <row r="59" spans="1:31" x14ac:dyDescent="0.2">
      <c r="A59" s="4">
        <v>34000354</v>
      </c>
      <c r="B59" s="5" t="s">
        <v>514</v>
      </c>
      <c r="C59" s="52">
        <v>4200000</v>
      </c>
      <c r="D59" s="52">
        <v>420000</v>
      </c>
      <c r="E59" s="53"/>
      <c r="F59" s="53"/>
      <c r="G59" s="53"/>
      <c r="H59" s="53"/>
      <c r="I59" s="54"/>
      <c r="J59" s="54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4"/>
      <c r="Z59" s="54"/>
      <c r="AA59" s="53"/>
      <c r="AB59" s="53"/>
      <c r="AC59" s="54">
        <f t="shared" si="4"/>
        <v>4200000</v>
      </c>
      <c r="AD59" s="54">
        <f t="shared" si="4"/>
        <v>420000</v>
      </c>
      <c r="AE59" s="2">
        <f t="shared" si="3"/>
        <v>0</v>
      </c>
    </row>
    <row r="60" spans="1:31" x14ac:dyDescent="0.2">
      <c r="A60" s="4">
        <v>34000379</v>
      </c>
      <c r="B60" s="5" t="s">
        <v>516</v>
      </c>
      <c r="C60" s="52">
        <v>10000000</v>
      </c>
      <c r="D60" s="52">
        <v>1130000</v>
      </c>
      <c r="E60" s="53"/>
      <c r="F60" s="53"/>
      <c r="G60" s="53"/>
      <c r="H60" s="53"/>
      <c r="I60" s="54"/>
      <c r="J60" s="54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4"/>
      <c r="Z60" s="54"/>
      <c r="AA60" s="53"/>
      <c r="AB60" s="53"/>
      <c r="AC60" s="54">
        <f t="shared" si="4"/>
        <v>10000000</v>
      </c>
      <c r="AD60" s="54">
        <f t="shared" si="4"/>
        <v>1130000</v>
      </c>
      <c r="AE60" s="2">
        <f t="shared" si="3"/>
        <v>0</v>
      </c>
    </row>
    <row r="61" spans="1:31" x14ac:dyDescent="0.2">
      <c r="A61" s="4"/>
      <c r="B61" s="5"/>
      <c r="C61" s="52"/>
      <c r="D61" s="52"/>
      <c r="E61" s="53"/>
      <c r="F61" s="53"/>
      <c r="G61" s="53"/>
      <c r="H61" s="53"/>
      <c r="I61" s="54"/>
      <c r="J61" s="54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4"/>
      <c r="AB61" s="54"/>
      <c r="AC61" s="54">
        <f>+C61-E61-G61-I61-K61-M61-O61-Q61-S61-U61-W61-Y61-AA61</f>
        <v>0</v>
      </c>
      <c r="AD61" s="54">
        <f>+D61-F61-H61-J61-L61-N61-P61-R61-T61-V61-X61-Z61-AB61</f>
        <v>0</v>
      </c>
    </row>
    <row r="62" spans="1:31" x14ac:dyDescent="0.2">
      <c r="A62" s="329" t="s">
        <v>17</v>
      </c>
      <c r="B62" s="330"/>
      <c r="C62" s="12">
        <f t="shared" ref="C62:AD62" si="5">SUM(C28:C61)</f>
        <v>120423415.66666667</v>
      </c>
      <c r="D62" s="12">
        <f t="shared" si="5"/>
        <v>13698583.333333334</v>
      </c>
      <c r="E62" s="12">
        <f t="shared" si="5"/>
        <v>433333.33333333331</v>
      </c>
      <c r="F62" s="12">
        <f t="shared" si="5"/>
        <v>64666.666666666664</v>
      </c>
      <c r="G62" s="12">
        <f t="shared" si="5"/>
        <v>433333.33333333331</v>
      </c>
      <c r="H62" s="12">
        <f t="shared" si="5"/>
        <v>64666.666666666664</v>
      </c>
      <c r="I62" s="12">
        <f t="shared" si="5"/>
        <v>1229800.3333333335</v>
      </c>
      <c r="J62" s="12">
        <f t="shared" si="5"/>
        <v>177699.66666666669</v>
      </c>
      <c r="K62" s="12">
        <f t="shared" si="5"/>
        <v>3731217</v>
      </c>
      <c r="L62" s="12">
        <f t="shared" si="5"/>
        <v>469283.00000000006</v>
      </c>
      <c r="M62" s="12">
        <f t="shared" si="5"/>
        <v>4527783.666666667</v>
      </c>
      <c r="N62" s="12">
        <f t="shared" si="5"/>
        <v>537716.33333333337</v>
      </c>
      <c r="O62" s="12">
        <f t="shared" si="5"/>
        <v>4527783.666666667</v>
      </c>
      <c r="P62" s="12">
        <f t="shared" si="5"/>
        <v>537716.33333333337</v>
      </c>
      <c r="Q62" s="12">
        <f t="shared" si="5"/>
        <v>4527783.666666667</v>
      </c>
      <c r="R62" s="12">
        <f t="shared" si="5"/>
        <v>537716.33333333337</v>
      </c>
      <c r="S62" s="12">
        <f t="shared" si="5"/>
        <v>4861033.666666667</v>
      </c>
      <c r="T62" s="12">
        <f t="shared" si="5"/>
        <v>574466.33333333337</v>
      </c>
      <c r="U62" s="12">
        <f t="shared" si="5"/>
        <v>6498328.111111111</v>
      </c>
      <c r="V62" s="12">
        <f t="shared" si="5"/>
        <v>762171.88888888888</v>
      </c>
      <c r="W62" s="12">
        <f t="shared" si="5"/>
        <v>7697961.444444444</v>
      </c>
      <c r="X62" s="12">
        <f t="shared" si="5"/>
        <v>892538.5555555555</v>
      </c>
      <c r="Y62" s="12">
        <f t="shared" si="5"/>
        <v>8470107.277777778</v>
      </c>
      <c r="Z62" s="12">
        <f t="shared" si="5"/>
        <v>970392.72222222213</v>
      </c>
      <c r="AA62" s="12">
        <f t="shared" si="5"/>
        <v>10020107.277777778</v>
      </c>
      <c r="AB62" s="12">
        <f t="shared" si="5"/>
        <v>1127392.722222222</v>
      </c>
      <c r="AC62" s="12">
        <f t="shared" si="5"/>
        <v>63464842.888888888</v>
      </c>
      <c r="AD62" s="12">
        <f t="shared" si="5"/>
        <v>6982156.111111111</v>
      </c>
    </row>
    <row r="64" spans="1:31" x14ac:dyDescent="0.2">
      <c r="D64" s="13" t="s">
        <v>540</v>
      </c>
      <c r="G64" s="2">
        <f>E62+G62+I62+K62+M62+O62+Q62+S62+U62+W62+Y62+AA62</f>
        <v>56958572.777777776</v>
      </c>
    </row>
    <row r="65" spans="1:32" x14ac:dyDescent="0.2">
      <c r="D65" s="13" t="s">
        <v>541</v>
      </c>
      <c r="G65" s="2">
        <f>F62+H62+J62+L62+N62+P62+R62+T62+V62+X62+Z62+AB62</f>
        <v>6716427.222222222</v>
      </c>
      <c r="AA65" s="13" t="s">
        <v>547</v>
      </c>
      <c r="AB65" s="174">
        <v>6733585</v>
      </c>
    </row>
    <row r="66" spans="1:32" x14ac:dyDescent="0.2">
      <c r="AA66" s="13" t="s">
        <v>548</v>
      </c>
      <c r="AB66" s="2">
        <f>AC62</f>
        <v>63464842.888888888</v>
      </c>
    </row>
    <row r="68" spans="1:32" x14ac:dyDescent="0.2">
      <c r="D68" s="13" t="s">
        <v>545</v>
      </c>
      <c r="E68" s="174">
        <v>6733585</v>
      </c>
    </row>
    <row r="69" spans="1:32" x14ac:dyDescent="0.2">
      <c r="D69" s="13" t="s">
        <v>546</v>
      </c>
      <c r="E69" s="2">
        <f>AC62</f>
        <v>63464842.888888888</v>
      </c>
    </row>
    <row r="70" spans="1:32" x14ac:dyDescent="0.2">
      <c r="E70" s="2">
        <f>G65</f>
        <v>6716427.222222222</v>
      </c>
    </row>
    <row r="73" spans="1:32" ht="20.25" x14ac:dyDescent="0.3">
      <c r="A73" s="49" t="s">
        <v>76</v>
      </c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</row>
    <row r="74" spans="1:32" ht="15.75" x14ac:dyDescent="0.25">
      <c r="A74" s="50" t="s">
        <v>519</v>
      </c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</row>
    <row r="75" spans="1:32" ht="15.75" x14ac:dyDescent="0.25">
      <c r="A75" s="51" t="s">
        <v>613</v>
      </c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</row>
    <row r="76" spans="1:32" x14ac:dyDescent="0.2">
      <c r="A76" s="335" t="s">
        <v>112</v>
      </c>
      <c r="B76" s="335" t="s">
        <v>2</v>
      </c>
      <c r="C76" s="335" t="s">
        <v>518</v>
      </c>
      <c r="D76" s="335" t="s">
        <v>517</v>
      </c>
      <c r="E76" s="338" t="s">
        <v>4</v>
      </c>
      <c r="F76" s="339"/>
      <c r="G76" s="339"/>
      <c r="H76" s="339"/>
      <c r="I76" s="339"/>
      <c r="J76" s="339"/>
      <c r="K76" s="339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  <c r="AA76" s="339"/>
      <c r="AB76" s="340"/>
      <c r="AC76" s="331" t="s">
        <v>3</v>
      </c>
      <c r="AD76" s="332"/>
    </row>
    <row r="77" spans="1:32" x14ac:dyDescent="0.2">
      <c r="A77" s="336"/>
      <c r="B77" s="336"/>
      <c r="C77" s="336"/>
      <c r="D77" s="336"/>
      <c r="E77" s="329" t="s">
        <v>5</v>
      </c>
      <c r="F77" s="330"/>
      <c r="G77" s="329" t="s">
        <v>6</v>
      </c>
      <c r="H77" s="330"/>
      <c r="I77" s="329" t="s">
        <v>7</v>
      </c>
      <c r="J77" s="330"/>
      <c r="K77" s="329" t="s">
        <v>8</v>
      </c>
      <c r="L77" s="330"/>
      <c r="M77" s="329" t="s">
        <v>9</v>
      </c>
      <c r="N77" s="330"/>
      <c r="O77" s="329" t="s">
        <v>10</v>
      </c>
      <c r="P77" s="330"/>
      <c r="Q77" s="329" t="s">
        <v>11</v>
      </c>
      <c r="R77" s="330"/>
      <c r="S77" s="329" t="s">
        <v>12</v>
      </c>
      <c r="T77" s="330"/>
      <c r="U77" s="329" t="s">
        <v>13</v>
      </c>
      <c r="V77" s="330"/>
      <c r="W77" s="329" t="s">
        <v>14</v>
      </c>
      <c r="X77" s="330"/>
      <c r="Y77" s="329" t="s">
        <v>15</v>
      </c>
      <c r="Z77" s="330"/>
      <c r="AA77" s="341" t="s">
        <v>16</v>
      </c>
      <c r="AB77" s="341"/>
      <c r="AC77" s="333"/>
      <c r="AD77" s="334"/>
    </row>
    <row r="78" spans="1:32" x14ac:dyDescent="0.2">
      <c r="A78" s="337"/>
      <c r="B78" s="337"/>
      <c r="C78" s="337"/>
      <c r="D78" s="337"/>
      <c r="E78" s="11" t="s">
        <v>58</v>
      </c>
      <c r="F78" s="11" t="s">
        <v>56</v>
      </c>
      <c r="G78" s="11" t="s">
        <v>58</v>
      </c>
      <c r="H78" s="11" t="s">
        <v>56</v>
      </c>
      <c r="I78" s="11" t="s">
        <v>58</v>
      </c>
      <c r="J78" s="11" t="s">
        <v>56</v>
      </c>
      <c r="K78" s="11" t="s">
        <v>58</v>
      </c>
      <c r="L78" s="11" t="s">
        <v>56</v>
      </c>
      <c r="M78" s="11" t="s">
        <v>58</v>
      </c>
      <c r="N78" s="11" t="s">
        <v>56</v>
      </c>
      <c r="O78" s="11" t="s">
        <v>58</v>
      </c>
      <c r="P78" s="11" t="s">
        <v>56</v>
      </c>
      <c r="Q78" s="11" t="s">
        <v>58</v>
      </c>
      <c r="R78" s="11" t="s">
        <v>56</v>
      </c>
      <c r="S78" s="11" t="s">
        <v>58</v>
      </c>
      <c r="T78" s="11" t="s">
        <v>56</v>
      </c>
      <c r="U78" s="11" t="s">
        <v>58</v>
      </c>
      <c r="V78" s="11" t="s">
        <v>56</v>
      </c>
      <c r="W78" s="11" t="s">
        <v>58</v>
      </c>
      <c r="X78" s="11" t="s">
        <v>56</v>
      </c>
      <c r="Y78" s="11" t="s">
        <v>58</v>
      </c>
      <c r="Z78" s="11" t="s">
        <v>56</v>
      </c>
      <c r="AA78" s="11" t="s">
        <v>58</v>
      </c>
      <c r="AB78" s="11" t="s">
        <v>56</v>
      </c>
      <c r="AC78" s="11" t="s">
        <v>58</v>
      </c>
      <c r="AD78" s="11" t="s">
        <v>56</v>
      </c>
    </row>
    <row r="79" spans="1:32" x14ac:dyDescent="0.2">
      <c r="A79" s="4">
        <v>34000118</v>
      </c>
      <c r="B79" s="5" t="s">
        <v>512</v>
      </c>
      <c r="C79" s="52">
        <f t="shared" ref="C79:D110" si="6">AC28</f>
        <v>1.1641532182693481E-10</v>
      </c>
      <c r="D79" s="52">
        <f t="shared" si="6"/>
        <v>1.4551915228366852E-11</v>
      </c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4"/>
      <c r="Z79" s="54"/>
      <c r="AA79" s="53"/>
      <c r="AB79" s="53"/>
      <c r="AC79" s="54">
        <f>+C79-E79-G79-I79-K79-M79-O79-Q79-S79-U79-W79-Y79-AA79</f>
        <v>1.1641532182693481E-10</v>
      </c>
      <c r="AD79" s="54">
        <f t="shared" ref="AD79:AD142" si="7">+D79-F79-H79-J79-L79-N79-P79-R79-T79-V79-X79-Z79-AB79</f>
        <v>1.4551915228366852E-11</v>
      </c>
      <c r="AE79" s="2">
        <f>F79+H79+J79+L79+N79+P79+R79+T79+V79+X79+Z79+AB79</f>
        <v>0</v>
      </c>
      <c r="AF79" s="2"/>
    </row>
    <row r="80" spans="1:32" x14ac:dyDescent="0.2">
      <c r="A80" s="4">
        <v>34000229</v>
      </c>
      <c r="B80" s="5" t="s">
        <v>515</v>
      </c>
      <c r="C80" s="52">
        <f t="shared" si="6"/>
        <v>333329</v>
      </c>
      <c r="D80" s="52">
        <f t="shared" si="6"/>
        <v>47670</v>
      </c>
      <c r="E80" s="48">
        <v>166667</v>
      </c>
      <c r="F80" s="48">
        <v>23333</v>
      </c>
      <c r="G80" s="53">
        <v>166667</v>
      </c>
      <c r="H80" s="53">
        <v>23333</v>
      </c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4">
        <f t="shared" ref="AC80:AC142" si="8">+C80-E80-G80-I80-K80-M80-O80-Q80-S80-U80-W80-Y80-AA80</f>
        <v>-5</v>
      </c>
      <c r="AD80" s="54">
        <f t="shared" si="7"/>
        <v>1004</v>
      </c>
      <c r="AE80" s="2">
        <f t="shared" ref="AE80:AE143" si="9">F80+H80+J80+L80+N80+P80+R80+T80+V80+X80+Z80+AB80</f>
        <v>46666</v>
      </c>
    </row>
    <row r="81" spans="1:31" x14ac:dyDescent="0.2">
      <c r="A81" s="4">
        <v>34000379</v>
      </c>
      <c r="B81" s="5" t="s">
        <v>516</v>
      </c>
      <c r="C81" s="52">
        <f t="shared" si="6"/>
        <v>833333.33333333349</v>
      </c>
      <c r="D81" s="52">
        <f t="shared" si="6"/>
        <v>111666.66666666666</v>
      </c>
      <c r="E81" s="48"/>
      <c r="F81" s="48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132">
        <v>833333.33333333349</v>
      </c>
      <c r="R81" s="132">
        <v>111666.66666666666</v>
      </c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4">
        <f>+C81-E81-G81-I81-K81-M81-O81-Q81-S81-U81-W81-Y81-AA81</f>
        <v>0</v>
      </c>
      <c r="AD81" s="54">
        <f t="shared" si="7"/>
        <v>0</v>
      </c>
      <c r="AE81" s="2">
        <f t="shared" si="9"/>
        <v>111666.66666666666</v>
      </c>
    </row>
    <row r="82" spans="1:31" x14ac:dyDescent="0.2">
      <c r="A82" s="4">
        <v>34000118</v>
      </c>
      <c r="B82" s="5" t="s">
        <v>512</v>
      </c>
      <c r="C82" s="52">
        <f t="shared" si="6"/>
        <v>-3.4924596548080444E-10</v>
      </c>
      <c r="D82" s="52">
        <f t="shared" si="6"/>
        <v>-1.4551915228366852E-11</v>
      </c>
      <c r="E82" s="48"/>
      <c r="F82" s="48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4"/>
      <c r="AB82" s="54"/>
      <c r="AC82" s="54">
        <f t="shared" si="8"/>
        <v>-3.4924596548080444E-10</v>
      </c>
      <c r="AD82" s="54">
        <f t="shared" si="7"/>
        <v>-1.4551915228366852E-11</v>
      </c>
      <c r="AE82" s="2">
        <f t="shared" si="9"/>
        <v>0</v>
      </c>
    </row>
    <row r="83" spans="1:31" x14ac:dyDescent="0.2">
      <c r="A83" s="4">
        <v>34000351</v>
      </c>
      <c r="B83" s="5" t="s">
        <v>524</v>
      </c>
      <c r="C83" s="52">
        <f t="shared" si="6"/>
        <v>0</v>
      </c>
      <c r="D83" s="52">
        <f t="shared" si="6"/>
        <v>0</v>
      </c>
      <c r="E83" s="48"/>
      <c r="F83" s="48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4">
        <f t="shared" si="8"/>
        <v>0</v>
      </c>
      <c r="AD83" s="54">
        <f t="shared" si="7"/>
        <v>0</v>
      </c>
      <c r="AE83" s="2">
        <f t="shared" si="9"/>
        <v>0</v>
      </c>
    </row>
    <row r="84" spans="1:31" x14ac:dyDescent="0.2">
      <c r="A84" s="4">
        <v>34000203</v>
      </c>
      <c r="B84" s="5" t="s">
        <v>525</v>
      </c>
      <c r="C84" s="52">
        <f t="shared" si="6"/>
        <v>750000</v>
      </c>
      <c r="D84" s="52">
        <f t="shared" si="6"/>
        <v>99000</v>
      </c>
      <c r="E84" s="48">
        <v>250000</v>
      </c>
      <c r="F84" s="48">
        <v>33000</v>
      </c>
      <c r="G84" s="53">
        <v>250000</v>
      </c>
      <c r="H84" s="53">
        <v>33000</v>
      </c>
      <c r="I84" s="53">
        <v>250000</v>
      </c>
      <c r="J84" s="53">
        <v>33000</v>
      </c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4">
        <f t="shared" si="8"/>
        <v>0</v>
      </c>
      <c r="AD84" s="54">
        <f t="shared" si="7"/>
        <v>0</v>
      </c>
      <c r="AE84" s="2">
        <f t="shared" si="9"/>
        <v>99000</v>
      </c>
    </row>
    <row r="85" spans="1:31" x14ac:dyDescent="0.2">
      <c r="A85" s="4">
        <v>34000514</v>
      </c>
      <c r="B85" s="5" t="s">
        <v>526</v>
      </c>
      <c r="C85" s="52">
        <f t="shared" si="6"/>
        <v>874749.99999999977</v>
      </c>
      <c r="D85" s="52">
        <f t="shared" si="6"/>
        <v>100249.99999999997</v>
      </c>
      <c r="E85" s="48">
        <v>291583.33333333331</v>
      </c>
      <c r="F85" s="48">
        <v>33416.666666666664</v>
      </c>
      <c r="G85" s="53">
        <v>291583.33333333331</v>
      </c>
      <c r="H85" s="53">
        <v>33416.666666666664</v>
      </c>
      <c r="I85" s="53">
        <v>291583.33333333331</v>
      </c>
      <c r="J85" s="53">
        <v>33416.666666666664</v>
      </c>
      <c r="K85" s="53">
        <v>291583.33333333331</v>
      </c>
      <c r="L85" s="53">
        <v>33416.666666666664</v>
      </c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4">
        <f t="shared" si="8"/>
        <v>-291583.33333333343</v>
      </c>
      <c r="AD85" s="54">
        <f t="shared" si="7"/>
        <v>-33416.666666666679</v>
      </c>
      <c r="AE85" s="2">
        <f t="shared" si="9"/>
        <v>133666.66666666666</v>
      </c>
    </row>
    <row r="86" spans="1:31" x14ac:dyDescent="0.2">
      <c r="A86" s="4">
        <v>34000354</v>
      </c>
      <c r="B86" s="5" t="s">
        <v>514</v>
      </c>
      <c r="C86" s="52">
        <f t="shared" si="6"/>
        <v>907500</v>
      </c>
      <c r="D86" s="52">
        <f t="shared" si="6"/>
        <v>97500</v>
      </c>
      <c r="E86" s="48">
        <v>302500</v>
      </c>
      <c r="F86" s="48">
        <v>32500</v>
      </c>
      <c r="G86" s="53">
        <v>302500</v>
      </c>
      <c r="H86" s="53">
        <v>32500</v>
      </c>
      <c r="I86" s="53">
        <v>302500</v>
      </c>
      <c r="J86" s="53">
        <v>32500</v>
      </c>
      <c r="K86" s="53">
        <v>302500</v>
      </c>
      <c r="L86" s="53">
        <v>32500</v>
      </c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4">
        <f t="shared" si="8"/>
        <v>-302500</v>
      </c>
      <c r="AD86" s="54">
        <f t="shared" si="7"/>
        <v>-32500</v>
      </c>
      <c r="AE86" s="2">
        <f t="shared" si="9"/>
        <v>130000</v>
      </c>
    </row>
    <row r="87" spans="1:31" x14ac:dyDescent="0.2">
      <c r="A87" s="4">
        <v>34000643</v>
      </c>
      <c r="B87" s="5" t="s">
        <v>527</v>
      </c>
      <c r="C87" s="52">
        <f t="shared" si="6"/>
        <v>574750.00000000012</v>
      </c>
      <c r="D87" s="52">
        <f t="shared" si="6"/>
        <v>85250</v>
      </c>
      <c r="E87" s="48">
        <v>191583.33333333334</v>
      </c>
      <c r="F87" s="48">
        <v>28416.666666666668</v>
      </c>
      <c r="G87" s="53">
        <v>191583.33333333334</v>
      </c>
      <c r="H87" s="53">
        <v>28416.666666666668</v>
      </c>
      <c r="I87" s="53">
        <v>191583.33333333334</v>
      </c>
      <c r="J87" s="53">
        <v>28416.666666666668</v>
      </c>
      <c r="K87" s="53">
        <v>191583.33333333334</v>
      </c>
      <c r="L87" s="53">
        <v>28416.666666666668</v>
      </c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4">
        <f t="shared" si="8"/>
        <v>-191583.33333333328</v>
      </c>
      <c r="AD87" s="54">
        <f t="shared" si="7"/>
        <v>-28416.666666666675</v>
      </c>
      <c r="AE87" s="2">
        <f t="shared" si="9"/>
        <v>113666.66666666667</v>
      </c>
    </row>
    <row r="88" spans="1:31" x14ac:dyDescent="0.2">
      <c r="A88" s="4">
        <v>34000397</v>
      </c>
      <c r="B88" s="5" t="s">
        <v>528</v>
      </c>
      <c r="C88" s="52">
        <f t="shared" si="6"/>
        <v>750000</v>
      </c>
      <c r="D88" s="52">
        <f t="shared" si="6"/>
        <v>105000</v>
      </c>
      <c r="E88" s="48">
        <v>250000</v>
      </c>
      <c r="F88" s="48">
        <v>35000</v>
      </c>
      <c r="G88" s="53">
        <v>250000</v>
      </c>
      <c r="H88" s="53">
        <v>35000</v>
      </c>
      <c r="I88" s="53">
        <v>250000</v>
      </c>
      <c r="J88" s="53">
        <v>35000</v>
      </c>
      <c r="K88" s="53">
        <v>250000</v>
      </c>
      <c r="L88" s="53">
        <v>35000</v>
      </c>
      <c r="M88" s="53">
        <v>250000</v>
      </c>
      <c r="N88" s="53">
        <v>35000</v>
      </c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4">
        <f t="shared" si="8"/>
        <v>-500000</v>
      </c>
      <c r="AD88" s="54">
        <f t="shared" si="7"/>
        <v>-70000</v>
      </c>
      <c r="AE88" s="2">
        <f t="shared" si="9"/>
        <v>175000</v>
      </c>
    </row>
    <row r="89" spans="1:31" x14ac:dyDescent="0.2">
      <c r="A89" s="4">
        <v>34000415</v>
      </c>
      <c r="B89" s="5" t="s">
        <v>529</v>
      </c>
      <c r="C89" s="52">
        <f t="shared" si="6"/>
        <v>1999999.9999999991</v>
      </c>
      <c r="D89" s="52">
        <f t="shared" si="6"/>
        <v>234999.99999999988</v>
      </c>
      <c r="E89" s="48">
        <v>666666.66666666663</v>
      </c>
      <c r="F89" s="48">
        <v>78333.333333333328</v>
      </c>
      <c r="G89" s="53">
        <v>666666.66666666663</v>
      </c>
      <c r="H89" s="53">
        <v>78333.333333333328</v>
      </c>
      <c r="I89" s="53">
        <v>666666.66666666663</v>
      </c>
      <c r="J89" s="53">
        <v>78333.333333333328</v>
      </c>
      <c r="K89" s="53">
        <v>666666.66666666663</v>
      </c>
      <c r="L89" s="53">
        <v>78333.333333333328</v>
      </c>
      <c r="M89" s="53">
        <v>666666.66666666663</v>
      </c>
      <c r="N89" s="53">
        <v>78333.333333333328</v>
      </c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4">
        <f t="shared" si="8"/>
        <v>-1333333.333333334</v>
      </c>
      <c r="AD89" s="54">
        <f t="shared" si="7"/>
        <v>-156666.66666666674</v>
      </c>
      <c r="AE89" s="2">
        <f t="shared" si="9"/>
        <v>391666.66666666663</v>
      </c>
    </row>
    <row r="90" spans="1:31" x14ac:dyDescent="0.2">
      <c r="A90" s="4">
        <v>34000363</v>
      </c>
      <c r="B90" s="5" t="s">
        <v>530</v>
      </c>
      <c r="C90" s="52">
        <f t="shared" si="6"/>
        <v>232500</v>
      </c>
      <c r="D90" s="52">
        <f t="shared" si="6"/>
        <v>22500</v>
      </c>
      <c r="E90" s="48">
        <v>232500</v>
      </c>
      <c r="F90" s="48">
        <v>22500</v>
      </c>
      <c r="G90" s="48">
        <v>232500</v>
      </c>
      <c r="H90" s="48">
        <v>22500</v>
      </c>
      <c r="I90" s="48">
        <v>232500</v>
      </c>
      <c r="J90" s="48">
        <v>22500</v>
      </c>
      <c r="K90" s="48"/>
      <c r="L90" s="48"/>
      <c r="M90" s="48"/>
      <c r="N90" s="48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4">
        <f t="shared" si="8"/>
        <v>-465000</v>
      </c>
      <c r="AD90" s="54">
        <f t="shared" si="7"/>
        <v>-45000</v>
      </c>
      <c r="AE90" s="2">
        <f t="shared" si="9"/>
        <v>67500</v>
      </c>
    </row>
    <row r="91" spans="1:31" x14ac:dyDescent="0.2">
      <c r="A91" s="4">
        <v>34000534</v>
      </c>
      <c r="B91" s="5" t="s">
        <v>531</v>
      </c>
      <c r="C91" s="52">
        <f t="shared" si="6"/>
        <v>949749.99999999953</v>
      </c>
      <c r="D91" s="52">
        <f t="shared" si="6"/>
        <v>85250</v>
      </c>
      <c r="E91" s="48">
        <v>316583.33333333331</v>
      </c>
      <c r="F91" s="48">
        <v>28416.666666666668</v>
      </c>
      <c r="G91" s="53">
        <v>316583.33333333331</v>
      </c>
      <c r="H91" s="53">
        <v>28416.666666666668</v>
      </c>
      <c r="I91" s="53">
        <v>316583.33333333331</v>
      </c>
      <c r="J91" s="53">
        <v>28416.666666666668</v>
      </c>
      <c r="K91" s="53">
        <v>316583.33333333331</v>
      </c>
      <c r="L91" s="53">
        <v>28416.666666666668</v>
      </c>
      <c r="M91" s="53">
        <v>316583.33333333331</v>
      </c>
      <c r="N91" s="53">
        <v>28416.666666666668</v>
      </c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4">
        <f t="shared" si="8"/>
        <v>-633166.66666666698</v>
      </c>
      <c r="AD91" s="54">
        <f t="shared" si="7"/>
        <v>-56833.333333333343</v>
      </c>
      <c r="AE91" s="2">
        <f t="shared" si="9"/>
        <v>142083.33333333334</v>
      </c>
    </row>
    <row r="92" spans="1:31" x14ac:dyDescent="0.2">
      <c r="A92" s="4">
        <v>34000758</v>
      </c>
      <c r="B92" s="5" t="s">
        <v>474</v>
      </c>
      <c r="C92" s="52">
        <f t="shared" si="6"/>
        <v>659800</v>
      </c>
      <c r="D92" s="52">
        <f t="shared" si="6"/>
        <v>70200</v>
      </c>
      <c r="E92" s="48">
        <v>329900</v>
      </c>
      <c r="F92" s="48">
        <v>35100</v>
      </c>
      <c r="G92" s="53">
        <v>329900</v>
      </c>
      <c r="H92" s="53">
        <v>35100</v>
      </c>
      <c r="I92" s="53">
        <v>329900</v>
      </c>
      <c r="J92" s="53">
        <v>35100</v>
      </c>
      <c r="K92" s="53">
        <v>329900</v>
      </c>
      <c r="L92" s="53">
        <v>35100</v>
      </c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4">
        <f t="shared" si="8"/>
        <v>-659800</v>
      </c>
      <c r="AD92" s="54">
        <f t="shared" si="7"/>
        <v>-70200</v>
      </c>
      <c r="AE92" s="2">
        <f t="shared" si="9"/>
        <v>140400</v>
      </c>
    </row>
    <row r="93" spans="1:31" x14ac:dyDescent="0.2">
      <c r="A93" s="4">
        <v>34000215</v>
      </c>
      <c r="B93" s="5" t="s">
        <v>110</v>
      </c>
      <c r="C93" s="52">
        <f t="shared" si="6"/>
        <v>1866666.6666666663</v>
      </c>
      <c r="D93" s="52">
        <f t="shared" si="6"/>
        <v>133333.33333333337</v>
      </c>
      <c r="E93" s="48">
        <v>466666.66666666669</v>
      </c>
      <c r="F93" s="48">
        <v>33333.333333333336</v>
      </c>
      <c r="G93" s="53">
        <v>466666.66666666669</v>
      </c>
      <c r="H93" s="53">
        <v>33333.333333333336</v>
      </c>
      <c r="I93" s="53">
        <v>466666.66666666669</v>
      </c>
      <c r="J93" s="53">
        <v>33333.333333333336</v>
      </c>
      <c r="K93" s="53">
        <v>466666.66666666669</v>
      </c>
      <c r="L93" s="53">
        <v>33333.333333333336</v>
      </c>
      <c r="M93" s="53">
        <v>466666.66666666669</v>
      </c>
      <c r="N93" s="53">
        <v>33333.333333333336</v>
      </c>
      <c r="O93" s="53">
        <v>466666.66666666669</v>
      </c>
      <c r="P93" s="53">
        <v>33333.333333333336</v>
      </c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4">
        <f t="shared" si="8"/>
        <v>-933333.33333333395</v>
      </c>
      <c r="AD93" s="54">
        <f t="shared" si="7"/>
        <v>-66666.666666666657</v>
      </c>
      <c r="AE93" s="2">
        <f t="shared" si="9"/>
        <v>200000.00000000003</v>
      </c>
    </row>
    <row r="94" spans="1:31" x14ac:dyDescent="0.2">
      <c r="A94" s="4">
        <v>34000462</v>
      </c>
      <c r="B94" s="5" t="s">
        <v>532</v>
      </c>
      <c r="C94" s="52">
        <f t="shared" si="6"/>
        <v>2332750</v>
      </c>
      <c r="D94" s="52">
        <f t="shared" si="6"/>
        <v>257250</v>
      </c>
      <c r="E94" s="48">
        <v>333250</v>
      </c>
      <c r="F94" s="48">
        <v>36750</v>
      </c>
      <c r="G94" s="53">
        <v>333250</v>
      </c>
      <c r="H94" s="53">
        <v>36750</v>
      </c>
      <c r="I94" s="53">
        <v>333250</v>
      </c>
      <c r="J94" s="53">
        <v>36750</v>
      </c>
      <c r="K94" s="53">
        <v>333250</v>
      </c>
      <c r="L94" s="53">
        <v>36750</v>
      </c>
      <c r="M94" s="53">
        <v>333250</v>
      </c>
      <c r="N94" s="53">
        <v>36750</v>
      </c>
      <c r="O94" s="53">
        <v>333250</v>
      </c>
      <c r="P94" s="53">
        <v>36750</v>
      </c>
      <c r="Q94" s="53">
        <v>333250</v>
      </c>
      <c r="R94" s="53">
        <v>36750</v>
      </c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4">
        <f t="shared" si="8"/>
        <v>0</v>
      </c>
      <c r="AD94" s="54">
        <f t="shared" si="7"/>
        <v>0</v>
      </c>
      <c r="AE94" s="2">
        <f t="shared" si="9"/>
        <v>257250</v>
      </c>
    </row>
    <row r="95" spans="1:31" x14ac:dyDescent="0.2">
      <c r="A95" s="4">
        <v>34000012</v>
      </c>
      <c r="B95" s="5" t="s">
        <v>533</v>
      </c>
      <c r="C95" s="52">
        <f t="shared" si="6"/>
        <v>555555.5555555555</v>
      </c>
      <c r="D95" s="52">
        <f t="shared" si="6"/>
        <v>69444.444444444438</v>
      </c>
      <c r="E95" s="48">
        <v>111111.11111111111</v>
      </c>
      <c r="F95" s="48">
        <v>13888.888888888889</v>
      </c>
      <c r="G95" s="53">
        <v>111111.11111111111</v>
      </c>
      <c r="H95" s="53">
        <v>13888.888888888889</v>
      </c>
      <c r="I95" s="53">
        <v>111111.11111111111</v>
      </c>
      <c r="J95" s="53">
        <v>13888.888888888889</v>
      </c>
      <c r="K95" s="53">
        <v>111111.11111111111</v>
      </c>
      <c r="L95" s="53">
        <v>13888.888888888889</v>
      </c>
      <c r="M95" s="53">
        <v>111111.11111111111</v>
      </c>
      <c r="N95" s="53">
        <v>13888.888888888889</v>
      </c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4">
        <f t="shared" si="8"/>
        <v>-8.7311491370201111E-11</v>
      </c>
      <c r="AD95" s="54">
        <f t="shared" si="7"/>
        <v>-1.0913936421275139E-11</v>
      </c>
      <c r="AE95" s="2">
        <f t="shared" si="9"/>
        <v>69444.444444444438</v>
      </c>
    </row>
    <row r="96" spans="1:31" x14ac:dyDescent="0.2">
      <c r="A96" s="4">
        <v>34000119</v>
      </c>
      <c r="B96" s="5" t="s">
        <v>300</v>
      </c>
      <c r="C96" s="52">
        <f t="shared" si="6"/>
        <v>1919400</v>
      </c>
      <c r="D96" s="52">
        <f t="shared" si="6"/>
        <v>240600</v>
      </c>
      <c r="E96" s="48">
        <v>319900</v>
      </c>
      <c r="F96" s="48">
        <v>40100</v>
      </c>
      <c r="G96" s="53">
        <v>319900</v>
      </c>
      <c r="H96" s="53">
        <v>40100</v>
      </c>
      <c r="I96" s="53">
        <v>319900</v>
      </c>
      <c r="J96" s="53">
        <v>40100</v>
      </c>
      <c r="K96" s="53">
        <v>319900</v>
      </c>
      <c r="L96" s="53">
        <v>40100</v>
      </c>
      <c r="M96" s="53">
        <v>319900</v>
      </c>
      <c r="N96" s="53">
        <v>40100</v>
      </c>
      <c r="O96" s="53">
        <v>319900</v>
      </c>
      <c r="P96" s="53">
        <v>40100</v>
      </c>
      <c r="Q96" s="53">
        <v>319900</v>
      </c>
      <c r="R96" s="53">
        <v>40100</v>
      </c>
      <c r="S96" s="53">
        <v>319900</v>
      </c>
      <c r="T96" s="53">
        <v>40100</v>
      </c>
      <c r="U96" s="53"/>
      <c r="V96" s="53"/>
      <c r="W96" s="53"/>
      <c r="X96" s="53"/>
      <c r="Y96" s="53"/>
      <c r="Z96" s="53"/>
      <c r="AA96" s="53"/>
      <c r="AB96" s="53"/>
      <c r="AC96" s="54">
        <f>+C96-E96-G96-I96-K96-M96-O96-Q96-S96-U96-W96-Y96-AA96</f>
        <v>-639800</v>
      </c>
      <c r="AD96" s="54">
        <f t="shared" si="7"/>
        <v>-80200</v>
      </c>
      <c r="AE96" s="2">
        <f t="shared" si="9"/>
        <v>320800</v>
      </c>
    </row>
    <row r="97" spans="1:31" x14ac:dyDescent="0.2">
      <c r="A97" s="4">
        <v>34000469</v>
      </c>
      <c r="B97" s="5" t="s">
        <v>534</v>
      </c>
      <c r="C97" s="52">
        <f t="shared" si="6"/>
        <v>1919400</v>
      </c>
      <c r="D97" s="52">
        <f t="shared" si="6"/>
        <v>240600</v>
      </c>
      <c r="E97" s="48">
        <v>319900</v>
      </c>
      <c r="F97" s="48">
        <v>40100</v>
      </c>
      <c r="G97" s="53">
        <v>319900</v>
      </c>
      <c r="H97" s="53">
        <v>40100</v>
      </c>
      <c r="I97" s="53">
        <v>319900</v>
      </c>
      <c r="J97" s="53">
        <v>40100</v>
      </c>
      <c r="K97" s="53">
        <v>319900</v>
      </c>
      <c r="L97" s="53">
        <v>40100</v>
      </c>
      <c r="M97" s="53">
        <v>319900</v>
      </c>
      <c r="N97" s="53">
        <v>40100</v>
      </c>
      <c r="O97" s="53">
        <v>319900</v>
      </c>
      <c r="P97" s="53">
        <v>40100</v>
      </c>
      <c r="Q97" s="53">
        <v>319900</v>
      </c>
      <c r="R97" s="53">
        <v>40100</v>
      </c>
      <c r="S97" s="53">
        <v>319900</v>
      </c>
      <c r="T97" s="53">
        <v>40100</v>
      </c>
      <c r="U97" s="53"/>
      <c r="V97" s="53"/>
      <c r="W97" s="53"/>
      <c r="X97" s="53"/>
      <c r="Y97" s="53"/>
      <c r="Z97" s="53"/>
      <c r="AA97" s="53"/>
      <c r="AB97" s="53"/>
      <c r="AC97" s="54">
        <f t="shared" si="8"/>
        <v>-639800</v>
      </c>
      <c r="AD97" s="54">
        <f t="shared" si="7"/>
        <v>-80200</v>
      </c>
      <c r="AE97" s="2">
        <f t="shared" si="9"/>
        <v>320800</v>
      </c>
    </row>
    <row r="98" spans="1:31" x14ac:dyDescent="0.2">
      <c r="A98" s="4">
        <v>34000394</v>
      </c>
      <c r="B98" s="5" t="s">
        <v>535</v>
      </c>
      <c r="C98" s="52">
        <f t="shared" si="6"/>
        <v>1919400</v>
      </c>
      <c r="D98" s="52">
        <f t="shared" si="6"/>
        <v>240600</v>
      </c>
      <c r="E98" s="48">
        <v>319900</v>
      </c>
      <c r="F98" s="48">
        <v>40100</v>
      </c>
      <c r="G98" s="53">
        <v>319900</v>
      </c>
      <c r="H98" s="53">
        <v>40100</v>
      </c>
      <c r="I98" s="53">
        <v>319900</v>
      </c>
      <c r="J98" s="53">
        <v>40100</v>
      </c>
      <c r="K98" s="53">
        <v>319900</v>
      </c>
      <c r="L98" s="53">
        <v>40100</v>
      </c>
      <c r="M98" s="53">
        <v>319900</v>
      </c>
      <c r="N98" s="53">
        <v>40100</v>
      </c>
      <c r="O98" s="53">
        <v>319900</v>
      </c>
      <c r="P98" s="53">
        <v>40100</v>
      </c>
      <c r="Q98" s="53">
        <v>319900</v>
      </c>
      <c r="R98" s="53">
        <v>40100</v>
      </c>
      <c r="S98" s="53">
        <v>319900</v>
      </c>
      <c r="T98" s="53">
        <v>40100</v>
      </c>
      <c r="U98" s="53"/>
      <c r="V98" s="53"/>
      <c r="W98" s="53"/>
      <c r="X98" s="53"/>
      <c r="Y98" s="53"/>
      <c r="Z98" s="53"/>
      <c r="AA98" s="53"/>
      <c r="AB98" s="53"/>
      <c r="AC98" s="54">
        <f t="shared" si="8"/>
        <v>-639800</v>
      </c>
      <c r="AD98" s="54">
        <f t="shared" si="7"/>
        <v>-80200</v>
      </c>
      <c r="AE98" s="2">
        <f t="shared" si="9"/>
        <v>320800</v>
      </c>
    </row>
    <row r="99" spans="1:31" x14ac:dyDescent="0.2">
      <c r="A99" s="4">
        <v>34000257</v>
      </c>
      <c r="B99" s="5" t="s">
        <v>133</v>
      </c>
      <c r="C99" s="52">
        <f t="shared" si="6"/>
        <v>3332666.6666666665</v>
      </c>
      <c r="D99" s="52">
        <f t="shared" si="6"/>
        <v>427333.33333333337</v>
      </c>
      <c r="E99" s="48">
        <v>416583.33333333331</v>
      </c>
      <c r="F99" s="48">
        <v>53416.666666666664</v>
      </c>
      <c r="G99" s="53">
        <v>416583.33333333331</v>
      </c>
      <c r="H99" s="53">
        <v>53416.666666666664</v>
      </c>
      <c r="I99" s="53">
        <v>416583.33333333331</v>
      </c>
      <c r="J99" s="53">
        <v>53416.666666666664</v>
      </c>
      <c r="K99" s="53">
        <v>416583.33333333331</v>
      </c>
      <c r="L99" s="53">
        <v>53416.666666666664</v>
      </c>
      <c r="M99" s="53">
        <v>416583.33333333331</v>
      </c>
      <c r="N99" s="53">
        <v>53416.666666666664</v>
      </c>
      <c r="O99" s="53">
        <v>416583.33333333331</v>
      </c>
      <c r="P99" s="53">
        <v>53416.666666666664</v>
      </c>
      <c r="Q99" s="53">
        <v>416583.33333333331</v>
      </c>
      <c r="R99" s="53">
        <v>53416.666666666664</v>
      </c>
      <c r="S99" s="53">
        <v>416583.33333333331</v>
      </c>
      <c r="T99" s="53">
        <v>53416.666666666664</v>
      </c>
      <c r="U99" s="53"/>
      <c r="V99" s="53"/>
      <c r="W99" s="53"/>
      <c r="X99" s="53"/>
      <c r="Y99" s="53"/>
      <c r="Z99" s="53"/>
      <c r="AA99" s="53"/>
      <c r="AB99" s="53"/>
      <c r="AC99" s="54">
        <f t="shared" si="8"/>
        <v>-1.1641532182693481E-10</v>
      </c>
      <c r="AD99" s="54">
        <f t="shared" si="7"/>
        <v>1.4551915228366852E-11</v>
      </c>
      <c r="AE99" s="2">
        <f t="shared" si="9"/>
        <v>427333.33333333337</v>
      </c>
    </row>
    <row r="100" spans="1:31" x14ac:dyDescent="0.2">
      <c r="A100" s="4">
        <v>34000405</v>
      </c>
      <c r="B100" s="5" t="s">
        <v>178</v>
      </c>
      <c r="C100" s="52">
        <f t="shared" si="6"/>
        <v>1333333.333333333</v>
      </c>
      <c r="D100" s="52">
        <f t="shared" si="6"/>
        <v>186666.66666666663</v>
      </c>
      <c r="E100" s="48">
        <v>166666.66666666666</v>
      </c>
      <c r="F100" s="48">
        <v>23333.333333333332</v>
      </c>
      <c r="G100" s="53">
        <v>166666.66666666666</v>
      </c>
      <c r="H100" s="53">
        <v>23333.333333333332</v>
      </c>
      <c r="I100" s="53">
        <v>166666.66666666666</v>
      </c>
      <c r="J100" s="53">
        <v>23333.333333333332</v>
      </c>
      <c r="K100" s="53">
        <v>166666.66666666666</v>
      </c>
      <c r="L100" s="53">
        <v>23333.333333333332</v>
      </c>
      <c r="M100" s="53">
        <v>166666.66666666666</v>
      </c>
      <c r="N100" s="53">
        <v>23333.333333333332</v>
      </c>
      <c r="O100" s="53">
        <v>166666.66666666666</v>
      </c>
      <c r="P100" s="53">
        <v>23333.333333333332</v>
      </c>
      <c r="Q100" s="53">
        <v>166666.66666666666</v>
      </c>
      <c r="R100" s="53">
        <v>23333.333333333332</v>
      </c>
      <c r="S100" s="53">
        <v>166666.66666666666</v>
      </c>
      <c r="T100" s="53">
        <v>23333.333333333332</v>
      </c>
      <c r="U100" s="53"/>
      <c r="V100" s="53"/>
      <c r="W100" s="53"/>
      <c r="X100" s="53"/>
      <c r="Y100" s="53"/>
      <c r="Z100" s="53"/>
      <c r="AA100" s="53"/>
      <c r="AB100" s="53"/>
      <c r="AC100" s="54">
        <f t="shared" si="8"/>
        <v>-1.7462298274040222E-10</v>
      </c>
      <c r="AD100" s="54">
        <f t="shared" si="7"/>
        <v>-3.637978807091713E-11</v>
      </c>
      <c r="AE100" s="2">
        <f t="shared" si="9"/>
        <v>186666.66666666669</v>
      </c>
    </row>
    <row r="101" spans="1:31" x14ac:dyDescent="0.2">
      <c r="A101" s="4">
        <v>34000670</v>
      </c>
      <c r="B101" s="5" t="s">
        <v>536</v>
      </c>
      <c r="C101" s="52">
        <f t="shared" si="6"/>
        <v>2399400</v>
      </c>
      <c r="D101" s="52">
        <f t="shared" si="6"/>
        <v>240600</v>
      </c>
      <c r="E101" s="48">
        <v>399900</v>
      </c>
      <c r="F101" s="48">
        <v>40100</v>
      </c>
      <c r="G101" s="53">
        <v>399900</v>
      </c>
      <c r="H101" s="53">
        <v>40100</v>
      </c>
      <c r="I101" s="53">
        <v>399900</v>
      </c>
      <c r="J101" s="53">
        <v>40100</v>
      </c>
      <c r="K101" s="53">
        <v>399900</v>
      </c>
      <c r="L101" s="53">
        <v>40100</v>
      </c>
      <c r="M101" s="53">
        <v>399900</v>
      </c>
      <c r="N101" s="53">
        <v>40100</v>
      </c>
      <c r="O101" s="53">
        <v>399900</v>
      </c>
      <c r="P101" s="53">
        <v>40100</v>
      </c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4">
        <f t="shared" si="8"/>
        <v>0</v>
      </c>
      <c r="AD101" s="54">
        <f t="shared" si="7"/>
        <v>0</v>
      </c>
      <c r="AE101" s="2">
        <f t="shared" si="9"/>
        <v>240600</v>
      </c>
    </row>
    <row r="102" spans="1:31" x14ac:dyDescent="0.2">
      <c r="A102" s="4">
        <v>34000771</v>
      </c>
      <c r="B102" s="5" t="s">
        <v>228</v>
      </c>
      <c r="C102" s="52">
        <f t="shared" si="6"/>
        <v>1499500</v>
      </c>
      <c r="D102" s="52">
        <f t="shared" si="6"/>
        <v>165500</v>
      </c>
      <c r="E102" s="48">
        <v>499833.33333333331</v>
      </c>
      <c r="F102" s="48">
        <v>55166.666666666664</v>
      </c>
      <c r="G102" s="53">
        <v>499833.33333333331</v>
      </c>
      <c r="H102" s="53">
        <v>55166.666666666664</v>
      </c>
      <c r="I102" s="53">
        <v>499833.33333333331</v>
      </c>
      <c r="J102" s="53">
        <v>55166.666666666664</v>
      </c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4">
        <f t="shared" si="8"/>
        <v>1.1641532182693481E-10</v>
      </c>
      <c r="AD102" s="54">
        <f t="shared" si="7"/>
        <v>1.4551915228366852E-11</v>
      </c>
      <c r="AE102" s="2">
        <f t="shared" si="9"/>
        <v>165500</v>
      </c>
    </row>
    <row r="103" spans="1:31" x14ac:dyDescent="0.2">
      <c r="A103" s="4">
        <v>34000277</v>
      </c>
      <c r="B103" s="5" t="s">
        <v>238</v>
      </c>
      <c r="C103" s="52">
        <f t="shared" si="6"/>
        <v>799600</v>
      </c>
      <c r="D103" s="52">
        <f t="shared" si="6"/>
        <v>90400</v>
      </c>
      <c r="E103" s="48">
        <v>399800</v>
      </c>
      <c r="F103" s="48">
        <v>45200</v>
      </c>
      <c r="G103" s="53">
        <v>399800</v>
      </c>
      <c r="H103" s="53">
        <v>45200</v>
      </c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4">
        <f t="shared" si="8"/>
        <v>0</v>
      </c>
      <c r="AD103" s="54">
        <f t="shared" si="7"/>
        <v>0</v>
      </c>
      <c r="AE103" s="2">
        <f t="shared" si="9"/>
        <v>90400</v>
      </c>
    </row>
    <row r="104" spans="1:31" x14ac:dyDescent="0.2">
      <c r="A104" s="4">
        <v>34000446</v>
      </c>
      <c r="B104" s="5" t="s">
        <v>240</v>
      </c>
      <c r="C104" s="52">
        <f t="shared" si="6"/>
        <v>2100000</v>
      </c>
      <c r="D104" s="52">
        <f t="shared" si="6"/>
        <v>210000</v>
      </c>
      <c r="E104" s="48">
        <v>300000</v>
      </c>
      <c r="F104" s="48">
        <v>30000</v>
      </c>
      <c r="G104" s="53">
        <v>300000</v>
      </c>
      <c r="H104" s="53">
        <v>30000</v>
      </c>
      <c r="I104" s="53">
        <v>300000</v>
      </c>
      <c r="J104" s="53">
        <v>30000</v>
      </c>
      <c r="K104" s="53">
        <v>300000</v>
      </c>
      <c r="L104" s="53">
        <v>30000</v>
      </c>
      <c r="M104" s="53">
        <v>300000</v>
      </c>
      <c r="N104" s="53">
        <v>30000</v>
      </c>
      <c r="O104" s="53">
        <v>300000</v>
      </c>
      <c r="P104" s="53">
        <v>30000</v>
      </c>
      <c r="Q104" s="53">
        <v>300000</v>
      </c>
      <c r="R104" s="53">
        <v>30000</v>
      </c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4">
        <f t="shared" si="8"/>
        <v>0</v>
      </c>
      <c r="AD104" s="54">
        <f t="shared" si="7"/>
        <v>0</v>
      </c>
      <c r="AE104" s="2">
        <f t="shared" si="9"/>
        <v>210000</v>
      </c>
    </row>
    <row r="105" spans="1:31" x14ac:dyDescent="0.2">
      <c r="A105" s="4">
        <v>34000012</v>
      </c>
      <c r="B105" s="5" t="s">
        <v>533</v>
      </c>
      <c r="C105" s="52">
        <f t="shared" si="6"/>
        <v>0</v>
      </c>
      <c r="D105" s="52">
        <f t="shared" si="6"/>
        <v>0</v>
      </c>
      <c r="E105" s="48"/>
      <c r="F105" s="48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4">
        <f t="shared" si="8"/>
        <v>0</v>
      </c>
      <c r="AD105" s="54">
        <f t="shared" si="7"/>
        <v>0</v>
      </c>
      <c r="AE105" s="2">
        <f t="shared" si="9"/>
        <v>0</v>
      </c>
    </row>
    <row r="106" spans="1:31" x14ac:dyDescent="0.2">
      <c r="A106" s="4">
        <v>34000453</v>
      </c>
      <c r="B106" s="5" t="s">
        <v>537</v>
      </c>
      <c r="C106" s="52">
        <f t="shared" si="6"/>
        <v>5221458.333333334</v>
      </c>
      <c r="D106" s="52">
        <f t="shared" si="6"/>
        <v>528541.66666666674</v>
      </c>
      <c r="E106" s="48">
        <v>522145.83333333331</v>
      </c>
      <c r="F106" s="48">
        <v>52854.166666666664</v>
      </c>
      <c r="G106" s="53">
        <v>522145.83333333331</v>
      </c>
      <c r="H106" s="53">
        <v>52854.166666666664</v>
      </c>
      <c r="I106" s="53">
        <v>522145.83333333331</v>
      </c>
      <c r="J106" s="53">
        <v>52854.166666666664</v>
      </c>
      <c r="K106" s="53">
        <v>522145.83333333331</v>
      </c>
      <c r="L106" s="53">
        <v>52854.166666666664</v>
      </c>
      <c r="M106" s="53">
        <v>522145.83333333331</v>
      </c>
      <c r="N106" s="53">
        <v>52854.166666666664</v>
      </c>
      <c r="O106" s="53">
        <v>522145.83333333331</v>
      </c>
      <c r="P106" s="53">
        <v>52854.166666666664</v>
      </c>
      <c r="Q106" s="53">
        <v>522145.83333333331</v>
      </c>
      <c r="R106" s="53">
        <v>52854.166666666664</v>
      </c>
      <c r="S106" s="53">
        <v>522145.83333333331</v>
      </c>
      <c r="T106" s="53">
        <v>52854.166666666664</v>
      </c>
      <c r="U106" s="53">
        <v>522145.83333333331</v>
      </c>
      <c r="V106" s="53">
        <v>52854.166666666664</v>
      </c>
      <c r="W106" s="53">
        <v>522145.83333333331</v>
      </c>
      <c r="X106" s="53">
        <v>52854.166666666664</v>
      </c>
      <c r="Y106" s="53"/>
      <c r="Z106" s="53"/>
      <c r="AA106" s="53"/>
      <c r="AB106" s="53"/>
      <c r="AC106" s="54">
        <f t="shared" si="8"/>
        <v>5.8207660913467407E-10</v>
      </c>
      <c r="AD106" s="54">
        <f t="shared" si="7"/>
        <v>1.4551915228366852E-11</v>
      </c>
      <c r="AE106" s="2">
        <f t="shared" si="9"/>
        <v>528541.66666666674</v>
      </c>
    </row>
    <row r="107" spans="1:31" x14ac:dyDescent="0.2">
      <c r="A107" s="4">
        <v>34000388</v>
      </c>
      <c r="B107" s="5" t="s">
        <v>538</v>
      </c>
      <c r="C107" s="52">
        <f t="shared" si="6"/>
        <v>4950000</v>
      </c>
      <c r="D107" s="52">
        <f t="shared" si="6"/>
        <v>495000</v>
      </c>
      <c r="E107" s="48">
        <v>550000</v>
      </c>
      <c r="F107" s="48">
        <v>55000</v>
      </c>
      <c r="G107" s="53">
        <v>550000</v>
      </c>
      <c r="H107" s="53">
        <v>55000</v>
      </c>
      <c r="I107" s="53">
        <v>550000</v>
      </c>
      <c r="J107" s="53">
        <v>55000</v>
      </c>
      <c r="K107" s="53">
        <v>550000</v>
      </c>
      <c r="L107" s="53">
        <v>55000</v>
      </c>
      <c r="M107" s="53">
        <v>550000</v>
      </c>
      <c r="N107" s="53">
        <v>55000</v>
      </c>
      <c r="O107" s="53">
        <v>550000</v>
      </c>
      <c r="P107" s="53">
        <v>55000</v>
      </c>
      <c r="Q107" s="53">
        <v>550000</v>
      </c>
      <c r="R107" s="53">
        <v>55000</v>
      </c>
      <c r="S107" s="53">
        <v>550000</v>
      </c>
      <c r="T107" s="53">
        <v>55000</v>
      </c>
      <c r="U107" s="53">
        <v>550000</v>
      </c>
      <c r="V107" s="53">
        <v>55000</v>
      </c>
      <c r="W107" s="53"/>
      <c r="X107" s="53"/>
      <c r="Y107" s="53"/>
      <c r="Z107" s="53"/>
      <c r="AA107" s="53"/>
      <c r="AB107" s="53"/>
      <c r="AC107" s="54">
        <f t="shared" si="8"/>
        <v>0</v>
      </c>
      <c r="AD107" s="54">
        <f t="shared" si="7"/>
        <v>0</v>
      </c>
      <c r="AE107" s="2">
        <f t="shared" si="9"/>
        <v>495000</v>
      </c>
    </row>
    <row r="108" spans="1:31" x14ac:dyDescent="0.2">
      <c r="A108" s="4">
        <v>34000012</v>
      </c>
      <c r="B108" s="5" t="s">
        <v>533</v>
      </c>
      <c r="C108" s="52">
        <f t="shared" si="6"/>
        <v>1833333.3333333333</v>
      </c>
      <c r="D108" s="52">
        <f t="shared" si="6"/>
        <v>201666.66666666666</v>
      </c>
      <c r="E108" s="48">
        <v>166666.66666666666</v>
      </c>
      <c r="F108" s="48">
        <v>18333.333333333332</v>
      </c>
      <c r="G108" s="53">
        <v>166666.66666666666</v>
      </c>
      <c r="H108" s="53">
        <v>18333.333333333332</v>
      </c>
      <c r="I108" s="53">
        <v>166666.66666666666</v>
      </c>
      <c r="J108" s="53">
        <v>18333.333333333332</v>
      </c>
      <c r="K108" s="53">
        <v>166666.66666666666</v>
      </c>
      <c r="L108" s="53">
        <v>18333.333333333332</v>
      </c>
      <c r="M108" s="53">
        <v>166666.66666666666</v>
      </c>
      <c r="N108" s="53">
        <v>18333.333333333332</v>
      </c>
      <c r="O108" s="53">
        <v>166666.66666666666</v>
      </c>
      <c r="P108" s="53">
        <v>18333.333333333332</v>
      </c>
      <c r="Q108" s="53">
        <v>166666.66666666666</v>
      </c>
      <c r="R108" s="53">
        <v>18333.333333333332</v>
      </c>
      <c r="S108" s="132">
        <f>Q108*4</f>
        <v>666666.66666666663</v>
      </c>
      <c r="T108" s="132">
        <f>R108*4</f>
        <v>73333.333333333328</v>
      </c>
      <c r="U108" s="53"/>
      <c r="V108" s="53"/>
      <c r="W108" s="53"/>
      <c r="X108" s="53"/>
      <c r="Y108" s="53"/>
      <c r="Z108" s="53"/>
      <c r="AA108" s="53"/>
      <c r="AB108" s="53"/>
      <c r="AC108" s="54">
        <f>+C108-E108-G108-I108-K108-M108-O108-Q108-S108-U108-W108-Y108-AA108</f>
        <v>-2.3283064365386963E-10</v>
      </c>
      <c r="AD108" s="54">
        <f t="shared" si="7"/>
        <v>-1.4551915228366852E-11</v>
      </c>
      <c r="AE108" s="2">
        <f t="shared" si="9"/>
        <v>201666.66666666663</v>
      </c>
    </row>
    <row r="109" spans="1:31" x14ac:dyDescent="0.2">
      <c r="A109" s="4">
        <v>34000518</v>
      </c>
      <c r="B109" s="5" t="s">
        <v>539</v>
      </c>
      <c r="C109" s="52">
        <f t="shared" si="6"/>
        <v>6416666.666666667</v>
      </c>
      <c r="D109" s="52">
        <f t="shared" si="6"/>
        <v>645333.33333333337</v>
      </c>
      <c r="E109" s="48">
        <v>583333.33333333337</v>
      </c>
      <c r="F109" s="48">
        <v>58666.666666666664</v>
      </c>
      <c r="G109" s="53">
        <v>583333.33333333337</v>
      </c>
      <c r="H109" s="53">
        <v>58666.666666666664</v>
      </c>
      <c r="I109" s="53">
        <v>583333.33333333337</v>
      </c>
      <c r="J109" s="53">
        <v>58666.666666666664</v>
      </c>
      <c r="K109" s="53">
        <v>583333.33333333337</v>
      </c>
      <c r="L109" s="53">
        <v>58666.666666666664</v>
      </c>
      <c r="M109" s="53">
        <v>583333.33333333337</v>
      </c>
      <c r="N109" s="53">
        <v>58666.666666666664</v>
      </c>
      <c r="O109" s="53">
        <v>583333.33333333337</v>
      </c>
      <c r="P109" s="53">
        <v>58666.666666666664</v>
      </c>
      <c r="Q109" s="53">
        <v>583333.33333333337</v>
      </c>
      <c r="R109" s="53">
        <v>58666.666666666664</v>
      </c>
      <c r="S109" s="53">
        <v>583333.33333333337</v>
      </c>
      <c r="T109" s="53">
        <v>58666.666666666664</v>
      </c>
      <c r="U109" s="53">
        <v>583333.33333333337</v>
      </c>
      <c r="V109" s="53">
        <v>58666.666666666664</v>
      </c>
      <c r="W109" s="53">
        <v>583333.33333333337</v>
      </c>
      <c r="X109" s="53">
        <v>58666.666666666664</v>
      </c>
      <c r="Y109" s="53">
        <v>583333.33333333337</v>
      </c>
      <c r="Z109" s="53">
        <v>58666.666666666664</v>
      </c>
      <c r="AA109" s="53"/>
      <c r="AB109" s="53"/>
      <c r="AC109" s="54">
        <f t="shared" si="8"/>
        <v>2.3283064365386963E-10</v>
      </c>
      <c r="AD109" s="54">
        <f t="shared" si="7"/>
        <v>7.2759576141834259E-11</v>
      </c>
      <c r="AE109" s="2">
        <f t="shared" si="9"/>
        <v>645333.33333333326</v>
      </c>
    </row>
    <row r="110" spans="1:31" x14ac:dyDescent="0.2">
      <c r="A110" s="4">
        <v>34000354</v>
      </c>
      <c r="B110" s="5" t="s">
        <v>514</v>
      </c>
      <c r="C110" s="52">
        <f t="shared" si="6"/>
        <v>4200000</v>
      </c>
      <c r="D110" s="52">
        <f t="shared" si="6"/>
        <v>420000</v>
      </c>
      <c r="E110" s="48">
        <v>350000</v>
      </c>
      <c r="F110" s="175">
        <v>35000</v>
      </c>
      <c r="G110" s="53">
        <v>350000</v>
      </c>
      <c r="H110" s="176">
        <v>35000</v>
      </c>
      <c r="I110" s="53">
        <v>350000</v>
      </c>
      <c r="J110" s="176">
        <v>35000</v>
      </c>
      <c r="K110" s="53">
        <v>350000</v>
      </c>
      <c r="L110" s="176">
        <v>35000</v>
      </c>
      <c r="M110" s="53">
        <v>350000</v>
      </c>
      <c r="N110" s="176">
        <v>35000</v>
      </c>
      <c r="O110" s="53">
        <v>350000</v>
      </c>
      <c r="P110" s="176">
        <v>35000</v>
      </c>
      <c r="Q110" s="53">
        <v>350000</v>
      </c>
      <c r="R110" s="176">
        <v>35000</v>
      </c>
      <c r="S110" s="53">
        <v>350000</v>
      </c>
      <c r="T110" s="176">
        <v>35000</v>
      </c>
      <c r="U110" s="53">
        <v>350000</v>
      </c>
      <c r="V110" s="176">
        <v>35000</v>
      </c>
      <c r="W110" s="53">
        <v>350000</v>
      </c>
      <c r="X110" s="176">
        <v>35000</v>
      </c>
      <c r="Y110" s="53">
        <v>350000</v>
      </c>
      <c r="Z110" s="176">
        <v>35000</v>
      </c>
      <c r="AA110" s="53">
        <v>350000</v>
      </c>
      <c r="AB110" s="176">
        <v>35000</v>
      </c>
      <c r="AC110" s="54">
        <f t="shared" si="8"/>
        <v>0</v>
      </c>
      <c r="AD110" s="54">
        <f t="shared" si="7"/>
        <v>0</v>
      </c>
      <c r="AE110" s="2">
        <f t="shared" si="9"/>
        <v>420000</v>
      </c>
    </row>
    <row r="111" spans="1:31" x14ac:dyDescent="0.2">
      <c r="A111" s="4">
        <v>34000379</v>
      </c>
      <c r="B111" s="5" t="s">
        <v>516</v>
      </c>
      <c r="C111" s="52">
        <f>AC60</f>
        <v>10000000</v>
      </c>
      <c r="D111" s="52">
        <v>1310000</v>
      </c>
      <c r="E111" s="48">
        <v>833333.33333333337</v>
      </c>
      <c r="F111" s="48">
        <f>109166.666666667+2500</f>
        <v>111666.66666666701</v>
      </c>
      <c r="G111" s="53">
        <v>833333.33333333337</v>
      </c>
      <c r="H111" s="53">
        <v>109166.66666666667</v>
      </c>
      <c r="I111" s="53">
        <v>833333.33333333337</v>
      </c>
      <c r="J111" s="53">
        <v>109166.66666666667</v>
      </c>
      <c r="K111" s="53">
        <v>833333.33333333337</v>
      </c>
      <c r="L111" s="53">
        <v>109166.66666666667</v>
      </c>
      <c r="M111" s="53">
        <v>833333.33333333337</v>
      </c>
      <c r="N111" s="53">
        <v>109166.66666666667</v>
      </c>
      <c r="O111" s="53">
        <v>833333.33333333337</v>
      </c>
      <c r="P111" s="53">
        <v>109166.66666666667</v>
      </c>
      <c r="Q111" s="53">
        <v>833333.33333333337</v>
      </c>
      <c r="R111" s="53">
        <v>109166.66666666667</v>
      </c>
      <c r="S111" s="132">
        <v>4166666.6666666674</v>
      </c>
      <c r="T111" s="132">
        <v>543333.33333333314</v>
      </c>
      <c r="U111" s="53"/>
      <c r="V111" s="53"/>
      <c r="W111" s="53"/>
      <c r="X111" s="53"/>
      <c r="Y111" s="53"/>
      <c r="Z111" s="53"/>
      <c r="AA111" s="53"/>
      <c r="AB111" s="53"/>
      <c r="AC111" s="54">
        <f t="shared" si="8"/>
        <v>0</v>
      </c>
      <c r="AD111" s="54">
        <f t="shared" si="7"/>
        <v>0</v>
      </c>
      <c r="AE111" s="2">
        <f t="shared" si="9"/>
        <v>1310000</v>
      </c>
    </row>
    <row r="112" spans="1:31" x14ac:dyDescent="0.2">
      <c r="A112" s="4">
        <v>34000524</v>
      </c>
      <c r="B112" s="5" t="s">
        <v>343</v>
      </c>
      <c r="C112" s="52">
        <v>5000000</v>
      </c>
      <c r="D112" s="52">
        <v>670000</v>
      </c>
      <c r="E112" s="53"/>
      <c r="F112" s="53"/>
      <c r="G112" s="53">
        <v>416666.66666666669</v>
      </c>
      <c r="H112" s="53">
        <v>55833.333333333336</v>
      </c>
      <c r="I112" s="53">
        <v>416666.66666666669</v>
      </c>
      <c r="J112" s="53">
        <v>55833.333333333336</v>
      </c>
      <c r="K112" s="53">
        <v>416666.66666666669</v>
      </c>
      <c r="L112" s="53">
        <v>55833.333333333336</v>
      </c>
      <c r="M112" s="53">
        <v>416666.66666666669</v>
      </c>
      <c r="N112" s="53">
        <v>55833.333333333336</v>
      </c>
      <c r="O112" s="53">
        <v>416666.66666666669</v>
      </c>
      <c r="P112" s="53">
        <v>55833.333333333336</v>
      </c>
      <c r="Q112" s="53">
        <v>416666.66666666669</v>
      </c>
      <c r="R112" s="53">
        <v>55833.333333333336</v>
      </c>
      <c r="S112" s="132">
        <f>Q112*6</f>
        <v>2500000</v>
      </c>
      <c r="T112" s="132">
        <f>R112*6</f>
        <v>335000</v>
      </c>
      <c r="U112" s="53"/>
      <c r="V112" s="53"/>
      <c r="W112" s="53"/>
      <c r="X112" s="53"/>
      <c r="Y112" s="53"/>
      <c r="Z112" s="53"/>
      <c r="AA112" s="53"/>
      <c r="AB112" s="53"/>
      <c r="AC112" s="54">
        <f t="shared" si="8"/>
        <v>4.6566128730773926E-10</v>
      </c>
      <c r="AD112" s="54">
        <f t="shared" si="7"/>
        <v>0</v>
      </c>
      <c r="AE112" s="2">
        <f t="shared" si="9"/>
        <v>670000</v>
      </c>
    </row>
    <row r="113" spans="1:31" x14ac:dyDescent="0.2">
      <c r="A113" s="4">
        <v>34000048</v>
      </c>
      <c r="B113" s="5" t="s">
        <v>591</v>
      </c>
      <c r="C113" s="52">
        <v>10000000</v>
      </c>
      <c r="D113" s="52">
        <v>1310000</v>
      </c>
      <c r="E113" s="53"/>
      <c r="F113" s="53"/>
      <c r="G113" s="53">
        <v>833333.33333333337</v>
      </c>
      <c r="H113" s="53">
        <v>109166.66666666667</v>
      </c>
      <c r="I113" s="53">
        <v>833333.33333333337</v>
      </c>
      <c r="J113" s="53">
        <v>109166.66666666667</v>
      </c>
      <c r="K113" s="53">
        <v>833333.33333333337</v>
      </c>
      <c r="L113" s="53">
        <v>109166.66666666667</v>
      </c>
      <c r="M113" s="53">
        <v>833333.33333333337</v>
      </c>
      <c r="N113" s="53">
        <v>109166.66666666667</v>
      </c>
      <c r="O113" s="53">
        <v>833333.33333333337</v>
      </c>
      <c r="P113" s="53">
        <v>109166.66666666667</v>
      </c>
      <c r="Q113" s="53">
        <v>833333.33333333337</v>
      </c>
      <c r="R113" s="53">
        <v>109166.66666666667</v>
      </c>
      <c r="S113" s="53">
        <v>833333.33333333337</v>
      </c>
      <c r="T113" s="53">
        <v>109166.66666666667</v>
      </c>
      <c r="U113" s="53">
        <v>833333.33333333337</v>
      </c>
      <c r="V113" s="53">
        <v>109166.66666666667</v>
      </c>
      <c r="W113" s="53">
        <v>833333.33333333337</v>
      </c>
      <c r="X113" s="53">
        <v>109166.66666666667</v>
      </c>
      <c r="Y113" s="53">
        <v>833333.33333333337</v>
      </c>
      <c r="Z113" s="53">
        <v>109166.66666666667</v>
      </c>
      <c r="AA113" s="53">
        <v>833333.33333333337</v>
      </c>
      <c r="AB113" s="53">
        <v>109166.66666666667</v>
      </c>
      <c r="AC113" s="54">
        <f t="shared" si="8"/>
        <v>833333.3333333336</v>
      </c>
      <c r="AD113" s="54">
        <f t="shared" si="7"/>
        <v>109166.66666666664</v>
      </c>
      <c r="AE113" s="2">
        <f t="shared" si="9"/>
        <v>1200833.3333333333</v>
      </c>
    </row>
    <row r="114" spans="1:31" x14ac:dyDescent="0.2">
      <c r="A114" s="4">
        <v>34000316</v>
      </c>
      <c r="B114" s="5" t="s">
        <v>292</v>
      </c>
      <c r="C114" s="52">
        <v>3500000</v>
      </c>
      <c r="D114" s="52">
        <v>352000</v>
      </c>
      <c r="E114" s="53"/>
      <c r="F114" s="53"/>
      <c r="G114" s="53">
        <v>583333.33333333337</v>
      </c>
      <c r="H114" s="53">
        <v>58666.666666666664</v>
      </c>
      <c r="I114" s="53">
        <v>583333.33333333337</v>
      </c>
      <c r="J114" s="53">
        <v>58666.666666666664</v>
      </c>
      <c r="K114" s="53">
        <v>583333.33333333337</v>
      </c>
      <c r="L114" s="53">
        <v>58666.666666666664</v>
      </c>
      <c r="M114" s="53">
        <v>583333.33333333337</v>
      </c>
      <c r="N114" s="53">
        <v>58666.666666666664</v>
      </c>
      <c r="O114" s="53">
        <v>583333.33333333337</v>
      </c>
      <c r="P114" s="53">
        <v>58666.666666666664</v>
      </c>
      <c r="Q114" s="53">
        <v>583333.33333333337</v>
      </c>
      <c r="R114" s="53">
        <v>58666.666666666664</v>
      </c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4">
        <f t="shared" si="8"/>
        <v>-6.9849193096160889E-10</v>
      </c>
      <c r="AD114" s="54">
        <f t="shared" si="7"/>
        <v>1.4551915228366852E-11</v>
      </c>
      <c r="AE114" s="2">
        <f t="shared" si="9"/>
        <v>352000</v>
      </c>
    </row>
    <row r="115" spans="1:31" x14ac:dyDescent="0.2">
      <c r="A115" s="4">
        <v>34000112</v>
      </c>
      <c r="B115" s="5" t="s">
        <v>210</v>
      </c>
      <c r="C115" s="52">
        <v>8000000</v>
      </c>
      <c r="D115" s="52">
        <v>800000</v>
      </c>
      <c r="E115" s="53"/>
      <c r="F115" s="53"/>
      <c r="G115" s="53"/>
      <c r="H115" s="53"/>
      <c r="I115" s="53">
        <v>800000</v>
      </c>
      <c r="J115" s="53">
        <v>80000</v>
      </c>
      <c r="K115" s="53">
        <v>800000</v>
      </c>
      <c r="L115" s="53">
        <v>80000</v>
      </c>
      <c r="M115" s="53">
        <v>800000</v>
      </c>
      <c r="N115" s="53">
        <v>80000</v>
      </c>
      <c r="O115" s="53">
        <v>800000</v>
      </c>
      <c r="P115" s="53">
        <v>80000</v>
      </c>
      <c r="Q115" s="53">
        <v>800000</v>
      </c>
      <c r="R115" s="53">
        <v>80000</v>
      </c>
      <c r="S115" s="53">
        <v>800000</v>
      </c>
      <c r="T115" s="53">
        <v>80000</v>
      </c>
      <c r="U115" s="53">
        <v>800000</v>
      </c>
      <c r="V115" s="53">
        <v>80000</v>
      </c>
      <c r="W115" s="53">
        <v>800000</v>
      </c>
      <c r="X115" s="53">
        <v>80000</v>
      </c>
      <c r="Y115" s="53">
        <v>800000</v>
      </c>
      <c r="Z115" s="53">
        <v>80000</v>
      </c>
      <c r="AA115" s="53">
        <v>800000</v>
      </c>
      <c r="AB115" s="53">
        <v>80000</v>
      </c>
      <c r="AC115" s="54">
        <f t="shared" si="8"/>
        <v>0</v>
      </c>
      <c r="AD115" s="54">
        <f t="shared" si="7"/>
        <v>0</v>
      </c>
      <c r="AE115" s="2">
        <f t="shared" si="9"/>
        <v>800000</v>
      </c>
    </row>
    <row r="116" spans="1:31" x14ac:dyDescent="0.2">
      <c r="A116" s="4">
        <v>34000754</v>
      </c>
      <c r="B116" s="5" t="s">
        <v>415</v>
      </c>
      <c r="C116" s="52">
        <v>2600000</v>
      </c>
      <c r="D116" s="52">
        <v>262000</v>
      </c>
      <c r="E116" s="53"/>
      <c r="F116" s="53"/>
      <c r="G116" s="53"/>
      <c r="H116" s="53"/>
      <c r="I116" s="53">
        <v>433333.33333333331</v>
      </c>
      <c r="J116" s="53">
        <v>43666.666666666664</v>
      </c>
      <c r="K116" s="53">
        <v>433333.33333333331</v>
      </c>
      <c r="L116" s="53">
        <v>43666.666666666664</v>
      </c>
      <c r="M116" s="53">
        <v>433333.33333333331</v>
      </c>
      <c r="N116" s="53">
        <v>43666.666666666664</v>
      </c>
      <c r="O116" s="53">
        <v>433333.33333333331</v>
      </c>
      <c r="P116" s="53">
        <v>43666.666666666664</v>
      </c>
      <c r="Q116" s="53">
        <v>433333.33333333331</v>
      </c>
      <c r="R116" s="53">
        <v>43666.666666666664</v>
      </c>
      <c r="S116" s="53">
        <v>433333.33333333331</v>
      </c>
      <c r="T116" s="53">
        <v>43666.666666666664</v>
      </c>
      <c r="U116" s="53"/>
      <c r="V116" s="53"/>
      <c r="W116" s="53"/>
      <c r="X116" s="53"/>
      <c r="Y116" s="53"/>
      <c r="Z116" s="53"/>
      <c r="AA116" s="53"/>
      <c r="AB116" s="53"/>
      <c r="AC116" s="54">
        <f t="shared" si="8"/>
        <v>1.1641532182693481E-10</v>
      </c>
      <c r="AD116" s="54">
        <f t="shared" si="7"/>
        <v>4.3655745685100555E-11</v>
      </c>
      <c r="AE116" s="2">
        <f t="shared" si="9"/>
        <v>261999.99999999997</v>
      </c>
    </row>
    <row r="117" spans="1:31" x14ac:dyDescent="0.2">
      <c r="A117" s="4">
        <v>34000277</v>
      </c>
      <c r="B117" s="5" t="s">
        <v>238</v>
      </c>
      <c r="C117" s="52">
        <v>3400000</v>
      </c>
      <c r="D117" s="52">
        <v>280000</v>
      </c>
      <c r="E117" s="53"/>
      <c r="F117" s="53"/>
      <c r="G117" s="53"/>
      <c r="H117" s="53"/>
      <c r="I117" s="53">
        <v>425000</v>
      </c>
      <c r="J117" s="53">
        <v>35000</v>
      </c>
      <c r="K117" s="53">
        <v>425000</v>
      </c>
      <c r="L117" s="53">
        <v>35000</v>
      </c>
      <c r="M117" s="53">
        <v>425000</v>
      </c>
      <c r="N117" s="53">
        <v>35000</v>
      </c>
      <c r="O117" s="53">
        <v>425000</v>
      </c>
      <c r="P117" s="53">
        <v>35000</v>
      </c>
      <c r="Q117" s="53">
        <v>425000</v>
      </c>
      <c r="R117" s="53">
        <v>35000</v>
      </c>
      <c r="S117" s="53">
        <v>425000</v>
      </c>
      <c r="T117" s="53">
        <v>35000</v>
      </c>
      <c r="U117" s="132">
        <f>S117*2</f>
        <v>850000</v>
      </c>
      <c r="V117" s="132">
        <f>T117*2</f>
        <v>70000</v>
      </c>
      <c r="W117" s="53"/>
      <c r="X117" s="53"/>
      <c r="Y117" s="53"/>
      <c r="Z117" s="53"/>
      <c r="AA117" s="53"/>
      <c r="AB117" s="53"/>
      <c r="AC117" s="54">
        <f t="shared" si="8"/>
        <v>0</v>
      </c>
      <c r="AD117" s="54">
        <f t="shared" si="7"/>
        <v>0</v>
      </c>
      <c r="AE117" s="2">
        <f t="shared" si="9"/>
        <v>280000</v>
      </c>
    </row>
    <row r="118" spans="1:31" x14ac:dyDescent="0.2">
      <c r="A118" s="4">
        <v>34000203</v>
      </c>
      <c r="B118" s="5" t="s">
        <v>140</v>
      </c>
      <c r="C118" s="52">
        <v>3500000</v>
      </c>
      <c r="D118" s="52">
        <v>350000</v>
      </c>
      <c r="E118" s="53"/>
      <c r="F118" s="53"/>
      <c r="G118" s="53"/>
      <c r="H118" s="53"/>
      <c r="I118" s="54"/>
      <c r="J118" s="54"/>
      <c r="K118" s="53">
        <v>291818.18181818182</v>
      </c>
      <c r="L118" s="53">
        <v>29181.81818181818</v>
      </c>
      <c r="M118" s="53">
        <v>291818.18181818182</v>
      </c>
      <c r="N118" s="53">
        <v>29181.81818181818</v>
      </c>
      <c r="O118" s="53">
        <v>291818.18181818182</v>
      </c>
      <c r="P118" s="53">
        <v>29181.81818181818</v>
      </c>
      <c r="Q118" s="53">
        <v>291818.18181818182</v>
      </c>
      <c r="R118" s="53">
        <v>29181.81818181818</v>
      </c>
      <c r="S118" s="53">
        <v>291818.18181818182</v>
      </c>
      <c r="T118" s="53">
        <v>29181.81818181818</v>
      </c>
      <c r="U118" s="53">
        <v>291818.18181818182</v>
      </c>
      <c r="V118" s="53">
        <v>29181.81818181818</v>
      </c>
      <c r="W118" s="53">
        <v>291818.18181818182</v>
      </c>
      <c r="X118" s="53">
        <v>29181.81818181818</v>
      </c>
      <c r="Y118" s="53">
        <v>291818.18181818182</v>
      </c>
      <c r="Z118" s="53">
        <v>29181.81818181818</v>
      </c>
      <c r="AA118" s="53">
        <v>291818.18181818182</v>
      </c>
      <c r="AB118" s="53">
        <v>29181.81818181818</v>
      </c>
      <c r="AC118" s="54">
        <f>+C118-E118-G118-I118-K118-M118-O118-Q118-S118-U118-W118-Y118-AA118</f>
        <v>873636.363636364</v>
      </c>
      <c r="AD118" s="54">
        <f>+D118-F118-H118-J118-L118-N118-P118-R118-T118-V118-X118-Z118-AB118</f>
        <v>87363.636363636411</v>
      </c>
      <c r="AE118" s="2">
        <f t="shared" si="9"/>
        <v>262636.36363636365</v>
      </c>
    </row>
    <row r="119" spans="1:31" x14ac:dyDescent="0.2">
      <c r="A119" s="4">
        <v>34000363</v>
      </c>
      <c r="B119" s="5" t="s">
        <v>236</v>
      </c>
      <c r="C119" s="52">
        <v>2700000</v>
      </c>
      <c r="D119" s="52">
        <v>270000</v>
      </c>
      <c r="E119" s="53"/>
      <c r="F119" s="53"/>
      <c r="G119" s="53"/>
      <c r="H119" s="53"/>
      <c r="I119" s="54"/>
      <c r="J119" s="54"/>
      <c r="K119" s="53"/>
      <c r="L119" s="53"/>
      <c r="M119" s="53">
        <v>270000</v>
      </c>
      <c r="N119" s="53">
        <v>27000</v>
      </c>
      <c r="O119" s="53">
        <v>270000</v>
      </c>
      <c r="P119" s="53">
        <v>27000</v>
      </c>
      <c r="Q119" s="53">
        <v>270000</v>
      </c>
      <c r="R119" s="53">
        <v>27000</v>
      </c>
      <c r="S119" s="53">
        <v>270000</v>
      </c>
      <c r="T119" s="53">
        <v>27000</v>
      </c>
      <c r="U119" s="53">
        <v>270000</v>
      </c>
      <c r="V119" s="53">
        <v>27000</v>
      </c>
      <c r="W119" s="53">
        <v>270000</v>
      </c>
      <c r="X119" s="53">
        <v>27000</v>
      </c>
      <c r="Y119" s="53">
        <v>270000</v>
      </c>
      <c r="Z119" s="53">
        <v>27000</v>
      </c>
      <c r="AA119" s="53">
        <v>270000</v>
      </c>
      <c r="AB119" s="53">
        <v>27000</v>
      </c>
      <c r="AC119" s="54">
        <f t="shared" si="8"/>
        <v>540000</v>
      </c>
      <c r="AD119" s="54">
        <f t="shared" si="7"/>
        <v>54000</v>
      </c>
      <c r="AE119" s="2">
        <f t="shared" si="9"/>
        <v>216000</v>
      </c>
    </row>
    <row r="120" spans="1:31" x14ac:dyDescent="0.2">
      <c r="A120" s="4">
        <v>34000370</v>
      </c>
      <c r="B120" s="5" t="s">
        <v>184</v>
      </c>
      <c r="C120" s="52">
        <v>3600000</v>
      </c>
      <c r="D120" s="52">
        <v>360000</v>
      </c>
      <c r="E120" s="53"/>
      <c r="F120" s="53"/>
      <c r="G120" s="53"/>
      <c r="H120" s="53"/>
      <c r="I120" s="54"/>
      <c r="J120" s="54"/>
      <c r="K120" s="53"/>
      <c r="L120" s="53"/>
      <c r="M120" s="53">
        <v>360000</v>
      </c>
      <c r="N120" s="53">
        <v>36000</v>
      </c>
      <c r="O120" s="53">
        <v>360000</v>
      </c>
      <c r="P120" s="53">
        <v>36000</v>
      </c>
      <c r="Q120" s="53">
        <v>360000</v>
      </c>
      <c r="R120" s="53">
        <v>36000</v>
      </c>
      <c r="S120" s="53">
        <v>360000</v>
      </c>
      <c r="T120" s="53">
        <v>36000</v>
      </c>
      <c r="U120" s="53">
        <v>360000</v>
      </c>
      <c r="V120" s="53">
        <v>36000</v>
      </c>
      <c r="W120" s="53">
        <v>360000</v>
      </c>
      <c r="X120" s="53">
        <v>36000</v>
      </c>
      <c r="Y120" s="53">
        <v>360000</v>
      </c>
      <c r="Z120" s="53">
        <v>36000</v>
      </c>
      <c r="AA120" s="53">
        <v>360000</v>
      </c>
      <c r="AB120" s="53">
        <v>36000</v>
      </c>
      <c r="AC120" s="54">
        <f t="shared" si="8"/>
        <v>720000</v>
      </c>
      <c r="AD120" s="54">
        <f t="shared" si="7"/>
        <v>72000</v>
      </c>
      <c r="AE120" s="2">
        <f t="shared" si="9"/>
        <v>288000</v>
      </c>
    </row>
    <row r="121" spans="1:31" x14ac:dyDescent="0.2">
      <c r="A121" s="4">
        <v>34000298</v>
      </c>
      <c r="B121" s="5" t="s">
        <v>389</v>
      </c>
      <c r="C121" s="52">
        <v>5485000</v>
      </c>
      <c r="D121" s="52">
        <v>551000</v>
      </c>
      <c r="E121" s="53"/>
      <c r="F121" s="53"/>
      <c r="G121" s="53"/>
      <c r="H121" s="53"/>
      <c r="I121" s="54"/>
      <c r="J121" s="54"/>
      <c r="K121" s="53"/>
      <c r="L121" s="53"/>
      <c r="M121" s="53">
        <v>457083.33333333331</v>
      </c>
      <c r="N121" s="53">
        <v>45916.666666666664</v>
      </c>
      <c r="O121" s="53">
        <v>457083.33333333331</v>
      </c>
      <c r="P121" s="53">
        <v>45916.666666666664</v>
      </c>
      <c r="Q121" s="53">
        <v>457083.33333333331</v>
      </c>
      <c r="R121" s="53">
        <v>45916.666666666664</v>
      </c>
      <c r="S121" s="53">
        <v>457083.33333333331</v>
      </c>
      <c r="T121" s="53">
        <v>45916.666666666664</v>
      </c>
      <c r="U121" s="53">
        <v>457083.33333333331</v>
      </c>
      <c r="V121" s="53">
        <v>45916.666666666664</v>
      </c>
      <c r="W121" s="53">
        <v>457083.33333333331</v>
      </c>
      <c r="X121" s="53">
        <v>45916.666666666664</v>
      </c>
      <c r="Y121" s="53">
        <v>457083.33333333331</v>
      </c>
      <c r="Z121" s="53">
        <v>45916.666666666664</v>
      </c>
      <c r="AA121" s="53">
        <v>457083.33333333331</v>
      </c>
      <c r="AB121" s="53">
        <v>45916.666666666664</v>
      </c>
      <c r="AC121" s="54">
        <f t="shared" si="8"/>
        <v>1828333.3333333333</v>
      </c>
      <c r="AD121" s="54">
        <f t="shared" si="7"/>
        <v>183666.66666666657</v>
      </c>
      <c r="AE121" s="2">
        <f t="shared" si="9"/>
        <v>367333.33333333337</v>
      </c>
    </row>
    <row r="122" spans="1:31" x14ac:dyDescent="0.2">
      <c r="A122" s="4">
        <v>34000776</v>
      </c>
      <c r="B122" s="5" t="s">
        <v>614</v>
      </c>
      <c r="C122" s="52">
        <v>2500000</v>
      </c>
      <c r="D122" s="52">
        <v>250000</v>
      </c>
      <c r="E122" s="53"/>
      <c r="F122" s="53"/>
      <c r="G122" s="53"/>
      <c r="H122" s="53"/>
      <c r="I122" s="54"/>
      <c r="J122" s="54"/>
      <c r="K122" s="53"/>
      <c r="L122" s="53"/>
      <c r="M122" s="53">
        <v>250000</v>
      </c>
      <c r="N122" s="53">
        <v>25000</v>
      </c>
      <c r="O122" s="53">
        <v>250000</v>
      </c>
      <c r="P122" s="53">
        <v>25000</v>
      </c>
      <c r="Q122" s="53">
        <v>250000</v>
      </c>
      <c r="R122" s="53">
        <v>25000</v>
      </c>
      <c r="S122" s="53">
        <v>250000</v>
      </c>
      <c r="T122" s="53">
        <v>25000</v>
      </c>
      <c r="U122" s="53">
        <v>250000</v>
      </c>
      <c r="V122" s="53">
        <v>25000</v>
      </c>
      <c r="W122" s="53">
        <v>250000</v>
      </c>
      <c r="X122" s="53">
        <v>25000</v>
      </c>
      <c r="Y122" s="53">
        <v>250000</v>
      </c>
      <c r="Z122" s="53">
        <v>25000</v>
      </c>
      <c r="AA122" s="53">
        <v>250000</v>
      </c>
      <c r="AB122" s="53">
        <v>25000</v>
      </c>
      <c r="AC122" s="54">
        <f t="shared" si="8"/>
        <v>500000</v>
      </c>
      <c r="AD122" s="54">
        <f t="shared" si="7"/>
        <v>50000</v>
      </c>
      <c r="AE122" s="2">
        <f t="shared" si="9"/>
        <v>200000</v>
      </c>
    </row>
    <row r="123" spans="1:31" x14ac:dyDescent="0.2">
      <c r="A123" s="4">
        <v>34000325</v>
      </c>
      <c r="B123" s="5" t="s">
        <v>487</v>
      </c>
      <c r="C123" s="52">
        <v>10000000</v>
      </c>
      <c r="D123" s="52">
        <v>1310000</v>
      </c>
      <c r="E123" s="53"/>
      <c r="F123" s="53"/>
      <c r="G123" s="53"/>
      <c r="H123" s="53"/>
      <c r="I123" s="54"/>
      <c r="J123" s="54"/>
      <c r="K123" s="53"/>
      <c r="L123" s="53"/>
      <c r="M123" s="53"/>
      <c r="N123" s="53"/>
      <c r="O123" s="53">
        <v>833333.33333333337</v>
      </c>
      <c r="P123" s="53">
        <v>109166.66666666667</v>
      </c>
      <c r="Q123" s="53">
        <v>833333.33333333337</v>
      </c>
      <c r="R123" s="53">
        <v>109166.66666666667</v>
      </c>
      <c r="S123" s="53">
        <v>833333.33333333337</v>
      </c>
      <c r="T123" s="53">
        <v>109166.66666666667</v>
      </c>
      <c r="U123" s="53">
        <v>833333.33333333337</v>
      </c>
      <c r="V123" s="53">
        <v>109166.66666666667</v>
      </c>
      <c r="W123" s="132">
        <f>U123*8</f>
        <v>6666666.666666667</v>
      </c>
      <c r="X123" s="132">
        <f>V123*8</f>
        <v>873333.33333333337</v>
      </c>
      <c r="Y123" s="53"/>
      <c r="Z123" s="53"/>
      <c r="AA123" s="53"/>
      <c r="AB123" s="53"/>
      <c r="AC123" s="54">
        <f t="shared" si="8"/>
        <v>0</v>
      </c>
      <c r="AD123" s="54">
        <f t="shared" si="7"/>
        <v>-1.1641532182693481E-10</v>
      </c>
      <c r="AE123" s="2">
        <f t="shared" si="9"/>
        <v>1310000</v>
      </c>
    </row>
    <row r="124" spans="1:31" x14ac:dyDescent="0.2">
      <c r="A124" s="4">
        <v>34000354</v>
      </c>
      <c r="B124" s="5" t="s">
        <v>318</v>
      </c>
      <c r="C124" s="52">
        <v>5000000</v>
      </c>
      <c r="D124" s="52">
        <v>670000</v>
      </c>
      <c r="E124" s="53"/>
      <c r="F124" s="53"/>
      <c r="G124" s="53"/>
      <c r="H124" s="53"/>
      <c r="I124" s="54"/>
      <c r="J124" s="54"/>
      <c r="K124" s="53"/>
      <c r="L124" s="53"/>
      <c r="M124" s="53"/>
      <c r="N124" s="53"/>
      <c r="O124" s="53">
        <v>416666.66666666669</v>
      </c>
      <c r="P124" s="53">
        <v>55833.333333333336</v>
      </c>
      <c r="Q124" s="53">
        <v>416666.66666666669</v>
      </c>
      <c r="R124" s="53">
        <v>55833.333333333336</v>
      </c>
      <c r="S124" s="53">
        <v>416666.66666666669</v>
      </c>
      <c r="T124" s="53">
        <v>55833.333333333336</v>
      </c>
      <c r="U124" s="53">
        <v>416666.66666666669</v>
      </c>
      <c r="V124" s="53">
        <v>55833.333333333336</v>
      </c>
      <c r="W124" s="53">
        <v>416666.66666666669</v>
      </c>
      <c r="X124" s="53">
        <v>55833.333333333336</v>
      </c>
      <c r="Y124" s="53">
        <v>416666.66666666669</v>
      </c>
      <c r="Z124" s="53">
        <v>55833.333333333336</v>
      </c>
      <c r="AA124" s="53">
        <v>416666.66666666669</v>
      </c>
      <c r="AB124" s="53">
        <v>55833.333333333336</v>
      </c>
      <c r="AC124" s="54">
        <f t="shared" si="8"/>
        <v>2083333.3333333337</v>
      </c>
      <c r="AD124" s="54">
        <f t="shared" si="7"/>
        <v>279166.66666666669</v>
      </c>
      <c r="AE124" s="2">
        <f t="shared" si="9"/>
        <v>390833.33333333331</v>
      </c>
    </row>
    <row r="125" spans="1:31" x14ac:dyDescent="0.2">
      <c r="A125" s="4">
        <v>34000412</v>
      </c>
      <c r="B125" s="5" t="s">
        <v>409</v>
      </c>
      <c r="C125" s="52">
        <v>2000000</v>
      </c>
      <c r="D125" s="52">
        <v>202000</v>
      </c>
      <c r="E125" s="53"/>
      <c r="F125" s="53"/>
      <c r="G125" s="53"/>
      <c r="H125" s="53"/>
      <c r="I125" s="54"/>
      <c r="J125" s="54"/>
      <c r="K125" s="53"/>
      <c r="L125" s="53"/>
      <c r="M125" s="53"/>
      <c r="N125" s="53"/>
      <c r="O125" s="53">
        <v>333333.33333333331</v>
      </c>
      <c r="P125" s="53">
        <v>33666.666666666664</v>
      </c>
      <c r="Q125" s="53">
        <v>333333.33333333331</v>
      </c>
      <c r="R125" s="53">
        <v>33666.666666666664</v>
      </c>
      <c r="S125" s="53">
        <v>333333.33333333331</v>
      </c>
      <c r="T125" s="53">
        <v>33666.666666666664</v>
      </c>
      <c r="U125" s="53">
        <v>333333.33333333331</v>
      </c>
      <c r="V125" s="53">
        <v>33666.666666666664</v>
      </c>
      <c r="W125" s="53">
        <v>333333.33333333331</v>
      </c>
      <c r="X125" s="53">
        <v>33666.666666666664</v>
      </c>
      <c r="Y125" s="53">
        <v>333333.33333333331</v>
      </c>
      <c r="Z125" s="53">
        <v>33666.666666666664</v>
      </c>
      <c r="AA125" s="53"/>
      <c r="AB125" s="53"/>
      <c r="AC125" s="54">
        <f t="shared" si="8"/>
        <v>3.4924596548080444E-10</v>
      </c>
      <c r="AD125" s="54">
        <f t="shared" si="7"/>
        <v>4.3655745685100555E-11</v>
      </c>
      <c r="AE125" s="2">
        <f t="shared" si="9"/>
        <v>201999.99999999997</v>
      </c>
    </row>
    <row r="126" spans="1:31" x14ac:dyDescent="0.2">
      <c r="A126" s="4">
        <v>34000777</v>
      </c>
      <c r="B126" s="5" t="s">
        <v>615</v>
      </c>
      <c r="C126" s="52">
        <v>5000000</v>
      </c>
      <c r="D126" s="52">
        <v>670000</v>
      </c>
      <c r="E126" s="53"/>
      <c r="F126" s="53"/>
      <c r="G126" s="53"/>
      <c r="H126" s="53"/>
      <c r="I126" s="54"/>
      <c r="J126" s="54"/>
      <c r="K126" s="53"/>
      <c r="L126" s="53"/>
      <c r="M126" s="53"/>
      <c r="N126" s="53"/>
      <c r="O126" s="53">
        <v>416666.66666666669</v>
      </c>
      <c r="P126" s="53">
        <v>55833.333333333336</v>
      </c>
      <c r="Q126" s="53">
        <v>416666.66666666669</v>
      </c>
      <c r="R126" s="53">
        <v>55833.333333333336</v>
      </c>
      <c r="S126" s="53">
        <v>416666.66666666669</v>
      </c>
      <c r="T126" s="53">
        <v>55833.333333333336</v>
      </c>
      <c r="U126" s="53">
        <v>416666.66666666669</v>
      </c>
      <c r="V126" s="53">
        <v>55833.333333333336</v>
      </c>
      <c r="W126" s="53">
        <v>416666.66666666669</v>
      </c>
      <c r="X126" s="53">
        <v>55833.333333333336</v>
      </c>
      <c r="Y126" s="53">
        <v>416666.66666666669</v>
      </c>
      <c r="Z126" s="53">
        <v>55833.333333333336</v>
      </c>
      <c r="AA126" s="53">
        <v>416666.66666666669</v>
      </c>
      <c r="AB126" s="53">
        <v>55833.333333333336</v>
      </c>
      <c r="AC126" s="54">
        <f t="shared" si="8"/>
        <v>2083333.3333333337</v>
      </c>
      <c r="AD126" s="54">
        <f t="shared" si="7"/>
        <v>279166.66666666669</v>
      </c>
      <c r="AE126" s="2">
        <f t="shared" si="9"/>
        <v>390833.33333333331</v>
      </c>
    </row>
    <row r="127" spans="1:31" x14ac:dyDescent="0.2">
      <c r="A127" s="4">
        <v>34000364</v>
      </c>
      <c r="B127" s="5" t="s">
        <v>258</v>
      </c>
      <c r="C127" s="52">
        <v>10000000</v>
      </c>
      <c r="D127" s="52">
        <v>1310000</v>
      </c>
      <c r="E127" s="53"/>
      <c r="F127" s="53"/>
      <c r="G127" s="53"/>
      <c r="H127" s="53"/>
      <c r="I127" s="54"/>
      <c r="J127" s="54"/>
      <c r="K127" s="53"/>
      <c r="L127" s="53"/>
      <c r="M127" s="53"/>
      <c r="N127" s="53"/>
      <c r="O127" s="53"/>
      <c r="P127" s="53"/>
      <c r="Q127" s="53">
        <v>833333.33333333337</v>
      </c>
      <c r="R127" s="53">
        <v>109166.66666666667</v>
      </c>
      <c r="S127" s="53">
        <v>833333.33333333337</v>
      </c>
      <c r="T127" s="53">
        <v>109166.66666666667</v>
      </c>
      <c r="U127" s="53">
        <v>833333.33333333337</v>
      </c>
      <c r="V127" s="53">
        <v>109166.66666666667</v>
      </c>
      <c r="W127" s="53">
        <v>833333.33333333337</v>
      </c>
      <c r="X127" s="53">
        <v>109166.66666666667</v>
      </c>
      <c r="Y127" s="53">
        <v>833333.33333333337</v>
      </c>
      <c r="Z127" s="53">
        <v>109166.66666666667</v>
      </c>
      <c r="AA127" s="53">
        <v>833333.33333333337</v>
      </c>
      <c r="AB127" s="53">
        <v>109166.66666666667</v>
      </c>
      <c r="AC127" s="54">
        <f t="shared" si="8"/>
        <v>5000000.0000000009</v>
      </c>
      <c r="AD127" s="54">
        <f t="shared" si="7"/>
        <v>655000</v>
      </c>
      <c r="AE127" s="2">
        <f t="shared" si="9"/>
        <v>655000</v>
      </c>
    </row>
    <row r="128" spans="1:31" x14ac:dyDescent="0.2">
      <c r="A128" s="4">
        <v>34000351</v>
      </c>
      <c r="B128" s="5" t="s">
        <v>365</v>
      </c>
      <c r="C128" s="52">
        <v>10000000</v>
      </c>
      <c r="D128" s="52">
        <v>1310000</v>
      </c>
      <c r="E128" s="53"/>
      <c r="F128" s="53"/>
      <c r="G128" s="53"/>
      <c r="H128" s="53"/>
      <c r="I128" s="54"/>
      <c r="J128" s="54"/>
      <c r="K128" s="53"/>
      <c r="L128" s="53"/>
      <c r="M128" s="53"/>
      <c r="N128" s="53"/>
      <c r="O128" s="53"/>
      <c r="P128" s="53"/>
      <c r="Q128" s="53">
        <v>833333.33333333337</v>
      </c>
      <c r="R128" s="53">
        <v>109166.66666666667</v>
      </c>
      <c r="S128" s="53">
        <v>833333.33333333337</v>
      </c>
      <c r="T128" s="53">
        <v>109166.66666666667</v>
      </c>
      <c r="U128" s="53">
        <v>833333.33333333337</v>
      </c>
      <c r="V128" s="53">
        <v>109166.66666666667</v>
      </c>
      <c r="W128" s="53">
        <v>833333.33333333337</v>
      </c>
      <c r="X128" s="53">
        <v>109166.66666666667</v>
      </c>
      <c r="Y128" s="53">
        <v>833333.33333333337</v>
      </c>
      <c r="Z128" s="53">
        <v>109166.66666666667</v>
      </c>
      <c r="AA128" s="53">
        <v>833333.33333333337</v>
      </c>
      <c r="AB128" s="53">
        <v>109166.66666666667</v>
      </c>
      <c r="AC128" s="54">
        <f t="shared" si="8"/>
        <v>5000000.0000000009</v>
      </c>
      <c r="AD128" s="54">
        <f t="shared" si="7"/>
        <v>655000</v>
      </c>
      <c r="AE128" s="2">
        <f t="shared" si="9"/>
        <v>655000</v>
      </c>
    </row>
    <row r="129" spans="1:31" x14ac:dyDescent="0.2">
      <c r="A129" s="4">
        <v>34000215</v>
      </c>
      <c r="B129" s="5" t="s">
        <v>137</v>
      </c>
      <c r="C129" s="52">
        <v>5000000</v>
      </c>
      <c r="D129" s="52">
        <v>500000</v>
      </c>
      <c r="E129" s="53"/>
      <c r="F129" s="53"/>
      <c r="G129" s="53"/>
      <c r="H129" s="53"/>
      <c r="I129" s="54"/>
      <c r="J129" s="54"/>
      <c r="K129" s="53"/>
      <c r="L129" s="53"/>
      <c r="M129" s="53"/>
      <c r="N129" s="53"/>
      <c r="O129" s="53"/>
      <c r="P129" s="53"/>
      <c r="Q129" s="53">
        <v>500000</v>
      </c>
      <c r="R129" s="53">
        <v>50000</v>
      </c>
      <c r="S129" s="53">
        <v>500000</v>
      </c>
      <c r="T129" s="53">
        <v>50000</v>
      </c>
      <c r="U129" s="53">
        <v>500000</v>
      </c>
      <c r="V129" s="53">
        <v>50000</v>
      </c>
      <c r="W129" s="53">
        <v>500000</v>
      </c>
      <c r="X129" s="53">
        <v>50000</v>
      </c>
      <c r="Y129" s="53">
        <v>500000</v>
      </c>
      <c r="Z129" s="53">
        <v>50000</v>
      </c>
      <c r="AA129" s="53">
        <v>500000</v>
      </c>
      <c r="AB129" s="53">
        <v>50000</v>
      </c>
      <c r="AC129" s="54">
        <f t="shared" si="8"/>
        <v>2000000</v>
      </c>
      <c r="AD129" s="54">
        <f t="shared" si="7"/>
        <v>200000</v>
      </c>
      <c r="AE129" s="2">
        <f t="shared" si="9"/>
        <v>300000</v>
      </c>
    </row>
    <row r="130" spans="1:31" x14ac:dyDescent="0.2">
      <c r="A130" s="4">
        <v>34000422</v>
      </c>
      <c r="B130" s="5" t="s">
        <v>294</v>
      </c>
      <c r="C130" s="52">
        <v>7000000</v>
      </c>
      <c r="D130" s="52">
        <v>704000</v>
      </c>
      <c r="E130" s="53"/>
      <c r="F130" s="53"/>
      <c r="G130" s="53"/>
      <c r="H130" s="53"/>
      <c r="I130" s="54"/>
      <c r="J130" s="54"/>
      <c r="K130" s="53"/>
      <c r="L130" s="53"/>
      <c r="M130" s="53"/>
      <c r="N130" s="53"/>
      <c r="O130" s="53"/>
      <c r="P130" s="53"/>
      <c r="Q130" s="53">
        <v>583333.33333333337</v>
      </c>
      <c r="R130" s="53">
        <v>58666.666666666664</v>
      </c>
      <c r="S130" s="53">
        <v>583333.33333333337</v>
      </c>
      <c r="T130" s="53">
        <v>58666.666666666664</v>
      </c>
      <c r="U130" s="53">
        <v>583333.33333333337</v>
      </c>
      <c r="V130" s="53">
        <v>58666.666666666664</v>
      </c>
      <c r="W130" s="53">
        <v>583333.33333333337</v>
      </c>
      <c r="X130" s="53">
        <v>58666.666666666664</v>
      </c>
      <c r="Y130" s="53">
        <v>583333.33333333337</v>
      </c>
      <c r="Z130" s="53">
        <v>58666.666666666664</v>
      </c>
      <c r="AA130" s="53">
        <v>583333.33333333337</v>
      </c>
      <c r="AB130" s="53">
        <v>58666.666666666664</v>
      </c>
      <c r="AC130" s="54">
        <f t="shared" si="8"/>
        <v>3500000.0000000009</v>
      </c>
      <c r="AD130" s="54">
        <f t="shared" si="7"/>
        <v>352000.00000000006</v>
      </c>
      <c r="AE130" s="2">
        <f t="shared" si="9"/>
        <v>352000</v>
      </c>
    </row>
    <row r="131" spans="1:31" x14ac:dyDescent="0.2">
      <c r="A131" s="4">
        <v>34000119</v>
      </c>
      <c r="B131" s="5" t="s">
        <v>300</v>
      </c>
      <c r="C131" s="52">
        <v>7000000</v>
      </c>
      <c r="D131" s="52">
        <v>704000</v>
      </c>
      <c r="E131" s="53"/>
      <c r="F131" s="53"/>
      <c r="G131" s="53"/>
      <c r="H131" s="53"/>
      <c r="I131" s="54"/>
      <c r="J131" s="54"/>
      <c r="K131" s="53"/>
      <c r="L131" s="53"/>
      <c r="M131" s="53"/>
      <c r="N131" s="53"/>
      <c r="O131" s="53"/>
      <c r="P131" s="53"/>
      <c r="Q131" s="53">
        <v>583333.33333333337</v>
      </c>
      <c r="R131" s="53">
        <v>58666.666666666664</v>
      </c>
      <c r="S131" s="53">
        <v>583333.33333333337</v>
      </c>
      <c r="T131" s="53">
        <v>58666.666666666664</v>
      </c>
      <c r="U131" s="53">
        <v>583333.33333333337</v>
      </c>
      <c r="V131" s="53">
        <v>58666.666666666664</v>
      </c>
      <c r="W131" s="53">
        <v>583333.33333333337</v>
      </c>
      <c r="X131" s="53">
        <v>58666.666666666664</v>
      </c>
      <c r="Y131" s="53">
        <v>583333.33333333337</v>
      </c>
      <c r="Z131" s="53">
        <v>58666.666666666664</v>
      </c>
      <c r="AA131" s="53">
        <v>583333.33333333337</v>
      </c>
      <c r="AB131" s="53">
        <v>58666.666666666664</v>
      </c>
      <c r="AC131" s="54">
        <f t="shared" si="8"/>
        <v>3500000.0000000009</v>
      </c>
      <c r="AD131" s="54">
        <f t="shared" si="7"/>
        <v>352000.00000000006</v>
      </c>
      <c r="AE131" s="2">
        <f t="shared" si="9"/>
        <v>352000</v>
      </c>
    </row>
    <row r="132" spans="1:31" x14ac:dyDescent="0.2">
      <c r="A132" s="4">
        <v>34000654</v>
      </c>
      <c r="B132" s="5" t="s">
        <v>220</v>
      </c>
      <c r="C132" s="52">
        <v>10000000</v>
      </c>
      <c r="D132" s="52">
        <v>1310000</v>
      </c>
      <c r="E132" s="53"/>
      <c r="F132" s="53"/>
      <c r="G132" s="53"/>
      <c r="H132" s="53"/>
      <c r="I132" s="54"/>
      <c r="J132" s="54"/>
      <c r="K132" s="53"/>
      <c r="L132" s="53"/>
      <c r="M132" s="53"/>
      <c r="N132" s="53"/>
      <c r="O132" s="53"/>
      <c r="P132" s="53"/>
      <c r="Q132" s="53">
        <v>833333.33333333337</v>
      </c>
      <c r="R132" s="53">
        <v>109166.66666666667</v>
      </c>
      <c r="S132" s="53">
        <v>833333.33333333337</v>
      </c>
      <c r="T132" s="53">
        <v>109166.66666666667</v>
      </c>
      <c r="U132" s="53">
        <v>833333.33333333337</v>
      </c>
      <c r="V132" s="53">
        <v>109166.66666666667</v>
      </c>
      <c r="W132" s="53">
        <v>833333.33333333337</v>
      </c>
      <c r="X132" s="53">
        <v>109166.66666666667</v>
      </c>
      <c r="Y132" s="53">
        <v>833333.33333333337</v>
      </c>
      <c r="Z132" s="53">
        <v>109166.66666666667</v>
      </c>
      <c r="AA132" s="53">
        <v>833333.33333333337</v>
      </c>
      <c r="AB132" s="53">
        <v>109166.66666666667</v>
      </c>
      <c r="AC132" s="54">
        <f t="shared" si="8"/>
        <v>5000000.0000000009</v>
      </c>
      <c r="AD132" s="54">
        <f t="shared" si="7"/>
        <v>655000</v>
      </c>
      <c r="AE132" s="2">
        <f t="shared" si="9"/>
        <v>655000</v>
      </c>
    </row>
    <row r="133" spans="1:31" x14ac:dyDescent="0.2">
      <c r="A133" s="4">
        <v>34000424</v>
      </c>
      <c r="B133" s="5" t="s">
        <v>401</v>
      </c>
      <c r="C133" s="52">
        <v>7000000</v>
      </c>
      <c r="D133" s="52">
        <v>704000</v>
      </c>
      <c r="E133" s="53"/>
      <c r="F133" s="53"/>
      <c r="G133" s="53"/>
      <c r="H133" s="53"/>
      <c r="I133" s="54"/>
      <c r="J133" s="54"/>
      <c r="K133" s="53"/>
      <c r="L133" s="53"/>
      <c r="M133" s="53"/>
      <c r="N133" s="53"/>
      <c r="O133" s="53"/>
      <c r="P133" s="53"/>
      <c r="Q133" s="53">
        <v>583333.33333333337</v>
      </c>
      <c r="R133" s="53">
        <v>58666.666666666664</v>
      </c>
      <c r="S133" s="53">
        <v>583333.33333333337</v>
      </c>
      <c r="T133" s="53">
        <v>58666.666666666664</v>
      </c>
      <c r="U133" s="53">
        <v>583333.33333333337</v>
      </c>
      <c r="V133" s="53">
        <v>58666.666666666664</v>
      </c>
      <c r="W133" s="53">
        <v>583333.33333333337</v>
      </c>
      <c r="X133" s="53">
        <v>58666.666666666664</v>
      </c>
      <c r="Y133" s="53">
        <v>583333.33333333337</v>
      </c>
      <c r="Z133" s="53">
        <v>58666.666666666664</v>
      </c>
      <c r="AA133" s="53">
        <v>583333.33333333337</v>
      </c>
      <c r="AB133" s="53">
        <v>58666.666666666664</v>
      </c>
      <c r="AC133" s="54">
        <f t="shared" si="8"/>
        <v>3500000.0000000009</v>
      </c>
      <c r="AD133" s="54">
        <f t="shared" si="7"/>
        <v>352000.00000000006</v>
      </c>
      <c r="AE133" s="2">
        <f t="shared" si="9"/>
        <v>352000</v>
      </c>
    </row>
    <row r="134" spans="1:31" x14ac:dyDescent="0.2">
      <c r="A134" s="4">
        <v>34000106</v>
      </c>
      <c r="B134" s="5" t="s">
        <v>472</v>
      </c>
      <c r="C134" s="52">
        <v>10000000</v>
      </c>
      <c r="D134" s="52">
        <v>1310000</v>
      </c>
      <c r="E134" s="53"/>
      <c r="F134" s="53"/>
      <c r="G134" s="53"/>
      <c r="H134" s="53"/>
      <c r="I134" s="54"/>
      <c r="J134" s="54"/>
      <c r="K134" s="53"/>
      <c r="L134" s="53"/>
      <c r="M134" s="53"/>
      <c r="N134" s="53"/>
      <c r="O134" s="53"/>
      <c r="P134" s="53"/>
      <c r="Q134" s="53"/>
      <c r="R134" s="53"/>
      <c r="S134" s="53">
        <v>833333.33333333337</v>
      </c>
      <c r="T134" s="53">
        <v>109166.66666666667</v>
      </c>
      <c r="U134" s="53">
        <v>833333.33333333337</v>
      </c>
      <c r="V134" s="53">
        <v>109166.66666666667</v>
      </c>
      <c r="W134" s="53">
        <v>833333.33333333337</v>
      </c>
      <c r="X134" s="53">
        <v>109166.66666666667</v>
      </c>
      <c r="Y134" s="53">
        <v>833333.33333333337</v>
      </c>
      <c r="Z134" s="53">
        <v>109166.66666666667</v>
      </c>
      <c r="AA134" s="53">
        <v>833333.33333333337</v>
      </c>
      <c r="AB134" s="53">
        <v>109166.66666666667</v>
      </c>
      <c r="AC134" s="54">
        <f t="shared" si="8"/>
        <v>5833333.333333334</v>
      </c>
      <c r="AD134" s="54">
        <f t="shared" si="7"/>
        <v>764166.66666666663</v>
      </c>
      <c r="AE134" s="2">
        <f t="shared" si="9"/>
        <v>545833.33333333337</v>
      </c>
    </row>
    <row r="135" spans="1:31" x14ac:dyDescent="0.2">
      <c r="A135" s="4">
        <v>34000379</v>
      </c>
      <c r="B135" s="5" t="s">
        <v>484</v>
      </c>
      <c r="C135" s="52">
        <v>10000000</v>
      </c>
      <c r="D135" s="52">
        <v>1310000</v>
      </c>
      <c r="E135" s="53"/>
      <c r="F135" s="53"/>
      <c r="G135" s="53"/>
      <c r="H135" s="53"/>
      <c r="I135" s="54"/>
      <c r="J135" s="54"/>
      <c r="K135" s="53"/>
      <c r="L135" s="53"/>
      <c r="M135" s="53"/>
      <c r="N135" s="53"/>
      <c r="O135" s="53"/>
      <c r="P135" s="53"/>
      <c r="Q135" s="53"/>
      <c r="R135" s="53"/>
      <c r="S135" s="53">
        <v>833333.33333333337</v>
      </c>
      <c r="T135" s="53">
        <v>109166.66666666667</v>
      </c>
      <c r="U135" s="53">
        <v>833333.33333333337</v>
      </c>
      <c r="V135" s="53">
        <v>109166.66666666667</v>
      </c>
      <c r="W135" s="53">
        <v>833333.33333333337</v>
      </c>
      <c r="X135" s="53">
        <v>109166.66666666667</v>
      </c>
      <c r="Y135" s="53">
        <v>833333.33333333337</v>
      </c>
      <c r="Z135" s="53">
        <v>109166.66666666667</v>
      </c>
      <c r="AA135" s="53">
        <v>833333.33333333337</v>
      </c>
      <c r="AB135" s="53">
        <v>109166.66666666667</v>
      </c>
      <c r="AC135" s="54">
        <f t="shared" si="8"/>
        <v>5833333.333333334</v>
      </c>
      <c r="AD135" s="54">
        <f t="shared" si="7"/>
        <v>764166.66666666663</v>
      </c>
      <c r="AE135" s="2">
        <f t="shared" si="9"/>
        <v>545833.33333333337</v>
      </c>
    </row>
    <row r="136" spans="1:31" x14ac:dyDescent="0.2">
      <c r="A136" s="4">
        <v>34000118</v>
      </c>
      <c r="B136" s="5" t="s">
        <v>476</v>
      </c>
      <c r="C136" s="52">
        <v>6000000</v>
      </c>
      <c r="D136" s="52">
        <v>600000</v>
      </c>
      <c r="E136" s="53"/>
      <c r="F136" s="53"/>
      <c r="G136" s="53"/>
      <c r="H136" s="53"/>
      <c r="I136" s="54"/>
      <c r="J136" s="54"/>
      <c r="K136" s="53"/>
      <c r="L136" s="53"/>
      <c r="M136" s="53"/>
      <c r="N136" s="53"/>
      <c r="O136" s="53"/>
      <c r="P136" s="53"/>
      <c r="Q136" s="53"/>
      <c r="R136" s="53"/>
      <c r="S136" s="53">
        <v>600000</v>
      </c>
      <c r="T136" s="53">
        <v>60000</v>
      </c>
      <c r="U136" s="53">
        <v>600000</v>
      </c>
      <c r="V136" s="53">
        <v>60000</v>
      </c>
      <c r="W136" s="53">
        <v>600000</v>
      </c>
      <c r="X136" s="53">
        <v>60000</v>
      </c>
      <c r="Y136" s="53">
        <v>600000</v>
      </c>
      <c r="Z136" s="53">
        <v>60000</v>
      </c>
      <c r="AA136" s="53">
        <v>600000</v>
      </c>
      <c r="AB136" s="53">
        <v>60000</v>
      </c>
      <c r="AC136" s="54">
        <f t="shared" si="8"/>
        <v>3000000</v>
      </c>
      <c r="AD136" s="54">
        <f t="shared" si="7"/>
        <v>300000</v>
      </c>
      <c r="AE136" s="2">
        <f t="shared" si="9"/>
        <v>300000</v>
      </c>
    </row>
    <row r="137" spans="1:31" x14ac:dyDescent="0.2">
      <c r="A137" s="4">
        <v>34000320</v>
      </c>
      <c r="B137" s="5" t="s">
        <v>168</v>
      </c>
      <c r="C137" s="52">
        <v>2900000</v>
      </c>
      <c r="D137" s="52">
        <v>290000</v>
      </c>
      <c r="E137" s="53"/>
      <c r="F137" s="53"/>
      <c r="G137" s="53"/>
      <c r="H137" s="53"/>
      <c r="I137" s="54"/>
      <c r="J137" s="54"/>
      <c r="K137" s="53"/>
      <c r="L137" s="53"/>
      <c r="M137" s="53"/>
      <c r="N137" s="53"/>
      <c r="O137" s="53"/>
      <c r="P137" s="53"/>
      <c r="Q137" s="53"/>
      <c r="R137" s="53"/>
      <c r="S137" s="53">
        <v>290000</v>
      </c>
      <c r="T137" s="53">
        <v>29000</v>
      </c>
      <c r="U137" s="53">
        <v>290000</v>
      </c>
      <c r="V137" s="53">
        <v>29000</v>
      </c>
      <c r="W137" s="53">
        <v>290000</v>
      </c>
      <c r="X137" s="53">
        <v>29000</v>
      </c>
      <c r="Y137" s="53">
        <v>290000</v>
      </c>
      <c r="Z137" s="53">
        <v>29000</v>
      </c>
      <c r="AA137" s="53">
        <v>290000</v>
      </c>
      <c r="AB137" s="53">
        <v>29000</v>
      </c>
      <c r="AC137" s="54">
        <f t="shared" si="8"/>
        <v>1450000</v>
      </c>
      <c r="AD137" s="54">
        <f t="shared" si="7"/>
        <v>145000</v>
      </c>
      <c r="AE137" s="2">
        <f t="shared" si="9"/>
        <v>145000</v>
      </c>
    </row>
    <row r="138" spans="1:31" x14ac:dyDescent="0.2">
      <c r="A138" s="4">
        <v>34000478</v>
      </c>
      <c r="B138" s="5" t="s">
        <v>361</v>
      </c>
      <c r="C138" s="52">
        <v>3000000</v>
      </c>
      <c r="D138" s="52">
        <v>300000</v>
      </c>
      <c r="E138" s="53"/>
      <c r="F138" s="53"/>
      <c r="G138" s="53"/>
      <c r="H138" s="53"/>
      <c r="I138" s="54"/>
      <c r="J138" s="54"/>
      <c r="K138" s="53"/>
      <c r="L138" s="53"/>
      <c r="M138" s="53"/>
      <c r="N138" s="53"/>
      <c r="O138" s="53"/>
      <c r="P138" s="53"/>
      <c r="Q138" s="53"/>
      <c r="R138" s="53"/>
      <c r="S138" s="53">
        <v>300000</v>
      </c>
      <c r="T138" s="53">
        <v>30000</v>
      </c>
      <c r="U138" s="53">
        <v>300000</v>
      </c>
      <c r="V138" s="53">
        <v>30000</v>
      </c>
      <c r="W138" s="53">
        <v>300000</v>
      </c>
      <c r="X138" s="53">
        <v>30000</v>
      </c>
      <c r="Y138" s="53">
        <v>300000</v>
      </c>
      <c r="Z138" s="53">
        <v>30000</v>
      </c>
      <c r="AA138" s="53">
        <v>300000</v>
      </c>
      <c r="AB138" s="53">
        <v>30000</v>
      </c>
      <c r="AC138" s="54">
        <f t="shared" si="8"/>
        <v>1500000</v>
      </c>
      <c r="AD138" s="54">
        <f t="shared" si="7"/>
        <v>150000</v>
      </c>
      <c r="AE138" s="2">
        <f t="shared" si="9"/>
        <v>150000</v>
      </c>
    </row>
    <row r="139" spans="1:31" x14ac:dyDescent="0.2">
      <c r="A139" s="4">
        <v>34000394</v>
      </c>
      <c r="B139" s="5" t="s">
        <v>535</v>
      </c>
      <c r="C139" s="52">
        <v>10000000</v>
      </c>
      <c r="D139" s="52">
        <v>1310000</v>
      </c>
      <c r="E139" s="53"/>
      <c r="F139" s="53"/>
      <c r="G139" s="53"/>
      <c r="H139" s="53"/>
      <c r="I139" s="54"/>
      <c r="J139" s="54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>
        <v>833333.33333333337</v>
      </c>
      <c r="V139" s="53">
        <v>109166.66666666667</v>
      </c>
      <c r="W139" s="53">
        <v>833333.33333333337</v>
      </c>
      <c r="X139" s="53">
        <v>109166.66666666667</v>
      </c>
      <c r="Y139" s="53">
        <v>833333.33333333337</v>
      </c>
      <c r="Z139" s="53">
        <v>109166.66666666667</v>
      </c>
      <c r="AA139" s="53">
        <v>833333.33333333337</v>
      </c>
      <c r="AB139" s="53">
        <v>109166.66666666667</v>
      </c>
      <c r="AC139" s="54">
        <f t="shared" si="8"/>
        <v>6666666.666666667</v>
      </c>
      <c r="AD139" s="54">
        <f t="shared" si="7"/>
        <v>873333.33333333326</v>
      </c>
      <c r="AE139" s="2">
        <f t="shared" si="9"/>
        <v>436666.66666666669</v>
      </c>
    </row>
    <row r="140" spans="1:31" x14ac:dyDescent="0.2">
      <c r="A140" s="4">
        <v>34000229</v>
      </c>
      <c r="B140" s="5" t="s">
        <v>439</v>
      </c>
      <c r="C140" s="52">
        <v>7500000</v>
      </c>
      <c r="D140" s="52">
        <v>750000</v>
      </c>
      <c r="E140" s="53"/>
      <c r="F140" s="53"/>
      <c r="G140" s="53"/>
      <c r="H140" s="53"/>
      <c r="I140" s="54"/>
      <c r="J140" s="54"/>
      <c r="K140" s="53"/>
      <c r="L140" s="53"/>
      <c r="M140" s="53"/>
      <c r="N140" s="53"/>
      <c r="O140" s="53"/>
      <c r="P140" s="53"/>
      <c r="Q140" s="53"/>
      <c r="R140" s="53"/>
      <c r="S140" s="53">
        <v>625000</v>
      </c>
      <c r="T140" s="53">
        <v>62500</v>
      </c>
      <c r="U140" s="53">
        <v>625000</v>
      </c>
      <c r="V140" s="53">
        <v>62500</v>
      </c>
      <c r="W140" s="53">
        <v>625000</v>
      </c>
      <c r="X140" s="53">
        <v>62500</v>
      </c>
      <c r="Y140" s="53">
        <v>625000</v>
      </c>
      <c r="Z140" s="53">
        <v>62500</v>
      </c>
      <c r="AA140" s="53">
        <v>625000</v>
      </c>
      <c r="AB140" s="53">
        <v>62500</v>
      </c>
      <c r="AC140" s="54">
        <f t="shared" si="8"/>
        <v>4375000</v>
      </c>
      <c r="AD140" s="54">
        <f t="shared" si="7"/>
        <v>437500</v>
      </c>
      <c r="AE140" s="2">
        <f t="shared" si="9"/>
        <v>312500</v>
      </c>
    </row>
    <row r="141" spans="1:31" x14ac:dyDescent="0.2">
      <c r="A141" s="4">
        <v>34000012</v>
      </c>
      <c r="B141" s="5" t="s">
        <v>353</v>
      </c>
      <c r="C141" s="52">
        <v>5500000</v>
      </c>
      <c r="D141" s="52">
        <v>560000</v>
      </c>
      <c r="E141" s="53"/>
      <c r="F141" s="53"/>
      <c r="G141" s="53"/>
      <c r="H141" s="53"/>
      <c r="I141" s="54"/>
      <c r="J141" s="54"/>
      <c r="K141" s="53"/>
      <c r="L141" s="53"/>
      <c r="M141" s="53"/>
      <c r="N141" s="53"/>
      <c r="O141" s="53"/>
      <c r="P141" s="53"/>
      <c r="Q141" s="53"/>
      <c r="R141" s="53"/>
      <c r="S141" s="53">
        <v>458333.33333333331</v>
      </c>
      <c r="T141" s="53">
        <v>46666.666666666664</v>
      </c>
      <c r="U141" s="53">
        <v>458333.33333333331</v>
      </c>
      <c r="V141" s="53">
        <v>46666.666666666664</v>
      </c>
      <c r="W141" s="53">
        <v>458333.33333333331</v>
      </c>
      <c r="X141" s="53">
        <v>46666.666666666664</v>
      </c>
      <c r="Y141" s="53">
        <v>458333.33333333331</v>
      </c>
      <c r="Z141" s="53">
        <v>46666.666666666664</v>
      </c>
      <c r="AA141" s="53">
        <v>458333.33333333331</v>
      </c>
      <c r="AB141" s="53">
        <v>46666.666666666664</v>
      </c>
      <c r="AC141" s="54">
        <f t="shared" si="8"/>
        <v>3208333.3333333335</v>
      </c>
      <c r="AD141" s="54">
        <f t="shared" si="7"/>
        <v>326666.66666666657</v>
      </c>
      <c r="AE141" s="2">
        <f t="shared" si="9"/>
        <v>233333.33333333331</v>
      </c>
    </row>
    <row r="142" spans="1:31" x14ac:dyDescent="0.2">
      <c r="A142" s="4">
        <v>34000405</v>
      </c>
      <c r="B142" s="5" t="s">
        <v>178</v>
      </c>
      <c r="C142" s="52">
        <v>3000000</v>
      </c>
      <c r="D142" s="52">
        <v>300000</v>
      </c>
      <c r="E142" s="53"/>
      <c r="F142" s="53"/>
      <c r="G142" s="53"/>
      <c r="H142" s="53"/>
      <c r="I142" s="54"/>
      <c r="J142" s="54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>
        <v>250000</v>
      </c>
      <c r="V142" s="53">
        <v>25000</v>
      </c>
      <c r="W142" s="53">
        <v>250000</v>
      </c>
      <c r="X142" s="53">
        <v>25000</v>
      </c>
      <c r="Y142" s="53">
        <v>250000</v>
      </c>
      <c r="Z142" s="53">
        <v>25000</v>
      </c>
      <c r="AA142" s="53">
        <v>250000</v>
      </c>
      <c r="AB142" s="53">
        <v>25000</v>
      </c>
      <c r="AC142" s="54">
        <f t="shared" si="8"/>
        <v>2000000</v>
      </c>
      <c r="AD142" s="54">
        <f t="shared" si="7"/>
        <v>200000</v>
      </c>
      <c r="AE142" s="2">
        <f t="shared" si="9"/>
        <v>100000</v>
      </c>
    </row>
    <row r="143" spans="1:31" x14ac:dyDescent="0.2">
      <c r="A143" s="4">
        <v>34000277</v>
      </c>
      <c r="B143" s="5" t="s">
        <v>238</v>
      </c>
      <c r="C143" s="52">
        <v>5000000</v>
      </c>
      <c r="D143" s="52">
        <v>400000</v>
      </c>
      <c r="E143" s="53"/>
      <c r="F143" s="53"/>
      <c r="G143" s="53"/>
      <c r="H143" s="53"/>
      <c r="I143" s="54"/>
      <c r="J143" s="54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>
        <v>500000</v>
      </c>
      <c r="V143" s="53">
        <v>40000</v>
      </c>
      <c r="W143" s="53">
        <v>500000</v>
      </c>
      <c r="X143" s="53">
        <v>40000</v>
      </c>
      <c r="Y143" s="53">
        <v>500000</v>
      </c>
      <c r="Z143" s="53">
        <v>40000</v>
      </c>
      <c r="AA143" s="53">
        <v>500000</v>
      </c>
      <c r="AB143" s="53">
        <v>40000</v>
      </c>
      <c r="AC143" s="54">
        <f t="shared" ref="AC143:AC164" si="10">+C143-E143-G143-I143-K143-M143-O143-Q143-S143-U143-W143-Y143-AA143</f>
        <v>3000000</v>
      </c>
      <c r="AD143" s="54">
        <f t="shared" ref="AD143:AD164" si="11">+D143-F143-H143-J143-L143-N143-P143-R143-T143-V143-X143-Z143-AB143</f>
        <v>240000</v>
      </c>
      <c r="AE143" s="2">
        <f t="shared" si="9"/>
        <v>160000</v>
      </c>
    </row>
    <row r="144" spans="1:31" x14ac:dyDescent="0.2">
      <c r="A144" s="4">
        <v>34000594</v>
      </c>
      <c r="B144" s="5" t="s">
        <v>601</v>
      </c>
      <c r="C144" s="52">
        <v>5000000</v>
      </c>
      <c r="D144" s="52">
        <v>670000</v>
      </c>
      <c r="E144" s="53"/>
      <c r="F144" s="53"/>
      <c r="G144" s="53"/>
      <c r="H144" s="53"/>
      <c r="I144" s="54"/>
      <c r="J144" s="54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>
        <v>416666.66666666669</v>
      </c>
      <c r="V144" s="53">
        <v>55833.333333333336</v>
      </c>
      <c r="W144" s="53">
        <v>416666.66666666669</v>
      </c>
      <c r="X144" s="53">
        <v>55833.333333333336</v>
      </c>
      <c r="Y144" s="53">
        <v>416666.66666666669</v>
      </c>
      <c r="Z144" s="53">
        <v>55833.333333333336</v>
      </c>
      <c r="AA144" s="53">
        <v>416666.66666666669</v>
      </c>
      <c r="AB144" s="53">
        <v>55833.333333333336</v>
      </c>
      <c r="AC144" s="54">
        <f t="shared" si="10"/>
        <v>3333333.3333333335</v>
      </c>
      <c r="AD144" s="54">
        <f t="shared" si="11"/>
        <v>446666.66666666663</v>
      </c>
      <c r="AE144" s="2">
        <f t="shared" ref="AE144:AE163" si="12">F144+H144+J144+L144+N144+P144+R144+T144+V144+X144+Z144+AB144</f>
        <v>223333.33333333334</v>
      </c>
    </row>
    <row r="145" spans="1:31" x14ac:dyDescent="0.2">
      <c r="A145" s="4">
        <v>34000565</v>
      </c>
      <c r="B145" s="5" t="s">
        <v>490</v>
      </c>
      <c r="C145" s="52">
        <v>5000000</v>
      </c>
      <c r="D145" s="52">
        <v>670000</v>
      </c>
      <c r="E145" s="53"/>
      <c r="F145" s="53"/>
      <c r="G145" s="53"/>
      <c r="H145" s="53"/>
      <c r="I145" s="54"/>
      <c r="J145" s="54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>
        <v>416666.66666666669</v>
      </c>
      <c r="V145" s="53">
        <v>55833.333333333336</v>
      </c>
      <c r="W145" s="53">
        <v>416666.66666666669</v>
      </c>
      <c r="X145" s="53">
        <v>55833.333333333336</v>
      </c>
      <c r="Y145" s="53">
        <v>416666.66666666669</v>
      </c>
      <c r="Z145" s="53">
        <v>55833.333333333336</v>
      </c>
      <c r="AA145" s="53">
        <v>416666.66666666669</v>
      </c>
      <c r="AB145" s="53">
        <v>55833.333333333336</v>
      </c>
      <c r="AC145" s="54">
        <f t="shared" si="10"/>
        <v>3333333.3333333335</v>
      </c>
      <c r="AD145" s="54">
        <f t="shared" si="11"/>
        <v>446666.66666666663</v>
      </c>
      <c r="AE145" s="2">
        <f t="shared" si="12"/>
        <v>223333.33333333334</v>
      </c>
    </row>
    <row r="146" spans="1:31" x14ac:dyDescent="0.2">
      <c r="A146" s="4">
        <v>34000259</v>
      </c>
      <c r="B146" s="5" t="s">
        <v>480</v>
      </c>
      <c r="C146" s="52">
        <v>5452000</v>
      </c>
      <c r="D146" s="52">
        <v>548000</v>
      </c>
      <c r="E146" s="53"/>
      <c r="F146" s="53"/>
      <c r="G146" s="53"/>
      <c r="H146" s="53"/>
      <c r="I146" s="54"/>
      <c r="J146" s="54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>
        <v>545200</v>
      </c>
      <c r="V146" s="53">
        <v>54800</v>
      </c>
      <c r="W146" s="53">
        <v>545200</v>
      </c>
      <c r="X146" s="53">
        <v>54800</v>
      </c>
      <c r="Y146" s="53">
        <v>545200</v>
      </c>
      <c r="Z146" s="53">
        <v>54800</v>
      </c>
      <c r="AA146" s="53">
        <v>545200</v>
      </c>
      <c r="AB146" s="53">
        <v>54800</v>
      </c>
      <c r="AC146" s="54">
        <f t="shared" si="10"/>
        <v>3271200</v>
      </c>
      <c r="AD146" s="54">
        <f t="shared" si="11"/>
        <v>328800</v>
      </c>
      <c r="AE146" s="2">
        <f t="shared" si="12"/>
        <v>219200</v>
      </c>
    </row>
    <row r="147" spans="1:31" x14ac:dyDescent="0.2">
      <c r="A147" s="4">
        <v>34000393</v>
      </c>
      <c r="B147" s="5" t="s">
        <v>407</v>
      </c>
      <c r="C147" s="52">
        <v>4000000</v>
      </c>
      <c r="D147" s="52">
        <v>380000</v>
      </c>
      <c r="E147" s="53"/>
      <c r="F147" s="53"/>
      <c r="G147" s="53"/>
      <c r="H147" s="53"/>
      <c r="I147" s="54"/>
      <c r="J147" s="54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>
        <v>333333.33333333331</v>
      </c>
      <c r="V147" s="53">
        <v>31666.666666666668</v>
      </c>
      <c r="W147" s="53">
        <v>333333.33333333331</v>
      </c>
      <c r="X147" s="53">
        <v>31666.666666666668</v>
      </c>
      <c r="Y147" s="53">
        <v>333333.33333333331</v>
      </c>
      <c r="Z147" s="53">
        <v>31666.666666666668</v>
      </c>
      <c r="AA147" s="53">
        <v>333333.33333333331</v>
      </c>
      <c r="AB147" s="53">
        <v>31666.666666666668</v>
      </c>
      <c r="AC147" s="54">
        <f t="shared" si="10"/>
        <v>2666666.666666666</v>
      </c>
      <c r="AD147" s="54">
        <f t="shared" si="11"/>
        <v>253333.33333333328</v>
      </c>
      <c r="AE147" s="2">
        <f t="shared" si="12"/>
        <v>126666.66666666667</v>
      </c>
    </row>
    <row r="148" spans="1:31" x14ac:dyDescent="0.2">
      <c r="A148" s="4">
        <v>34000379</v>
      </c>
      <c r="B148" s="5" t="s">
        <v>484</v>
      </c>
      <c r="C148" s="52">
        <v>7000000</v>
      </c>
      <c r="D148" s="52">
        <v>704000</v>
      </c>
      <c r="E148" s="53"/>
      <c r="F148" s="53"/>
      <c r="G148" s="53"/>
      <c r="H148" s="53"/>
      <c r="I148" s="54"/>
      <c r="J148" s="54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>
        <v>583333.33333333337</v>
      </c>
      <c r="X148" s="53">
        <v>58666.666666666664</v>
      </c>
      <c r="Y148" s="53">
        <v>583333.33333333337</v>
      </c>
      <c r="Z148" s="53">
        <v>58666.666666666664</v>
      </c>
      <c r="AA148" s="53">
        <v>583333.33333333337</v>
      </c>
      <c r="AB148" s="53">
        <v>58666.666666666664</v>
      </c>
      <c r="AC148" s="54">
        <f t="shared" si="10"/>
        <v>5250000.0000000009</v>
      </c>
      <c r="AD148" s="54">
        <f t="shared" si="11"/>
        <v>528000.00000000012</v>
      </c>
      <c r="AE148" s="2">
        <f t="shared" si="12"/>
        <v>176000</v>
      </c>
    </row>
    <row r="149" spans="1:31" x14ac:dyDescent="0.2">
      <c r="A149" s="4">
        <v>34000524</v>
      </c>
      <c r="B149" s="5" t="s">
        <v>343</v>
      </c>
      <c r="C149" s="52">
        <v>5000000</v>
      </c>
      <c r="D149" s="52">
        <v>670000</v>
      </c>
      <c r="E149" s="53"/>
      <c r="F149" s="53"/>
      <c r="G149" s="53"/>
      <c r="H149" s="53"/>
      <c r="I149" s="54"/>
      <c r="J149" s="54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>
        <v>416666.66666666669</v>
      </c>
      <c r="X149" s="53">
        <v>55833.333333333336</v>
      </c>
      <c r="Y149" s="53">
        <v>416666.66666666669</v>
      </c>
      <c r="Z149" s="53">
        <v>55833.333333333336</v>
      </c>
      <c r="AA149" s="53">
        <v>416666.66666666669</v>
      </c>
      <c r="AB149" s="53">
        <v>55833.333333333336</v>
      </c>
      <c r="AC149" s="54">
        <f t="shared" si="10"/>
        <v>3750000</v>
      </c>
      <c r="AD149" s="54">
        <f t="shared" si="11"/>
        <v>502499.99999999994</v>
      </c>
      <c r="AE149" s="2">
        <f t="shared" si="12"/>
        <v>167500</v>
      </c>
    </row>
    <row r="150" spans="1:31" x14ac:dyDescent="0.2">
      <c r="A150" s="4">
        <v>34000490</v>
      </c>
      <c r="B150" s="5" t="s">
        <v>486</v>
      </c>
      <c r="C150" s="52">
        <v>10000000</v>
      </c>
      <c r="D150" s="52">
        <v>1310000</v>
      </c>
      <c r="E150" s="53"/>
      <c r="F150" s="53"/>
      <c r="G150" s="53"/>
      <c r="H150" s="53"/>
      <c r="I150" s="54"/>
      <c r="J150" s="54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>
        <v>833333.33333333337</v>
      </c>
      <c r="X150" s="53">
        <v>109166.66666666667</v>
      </c>
      <c r="Y150" s="53">
        <v>833333.33333333337</v>
      </c>
      <c r="Z150" s="53">
        <v>109166.66666666667</v>
      </c>
      <c r="AA150" s="53">
        <v>833333.33333333337</v>
      </c>
      <c r="AB150" s="53">
        <v>109166.66666666667</v>
      </c>
      <c r="AC150" s="54">
        <f t="shared" si="10"/>
        <v>7500000</v>
      </c>
      <c r="AD150" s="54">
        <f t="shared" si="11"/>
        <v>982499.99999999988</v>
      </c>
      <c r="AE150" s="2">
        <f t="shared" si="12"/>
        <v>327500</v>
      </c>
    </row>
    <row r="151" spans="1:31" x14ac:dyDescent="0.2">
      <c r="A151" s="4">
        <v>34000320</v>
      </c>
      <c r="B151" s="5" t="s">
        <v>168</v>
      </c>
      <c r="C151" s="52">
        <v>10000000</v>
      </c>
      <c r="D151" s="52">
        <v>1310000</v>
      </c>
      <c r="E151" s="53"/>
      <c r="F151" s="53"/>
      <c r="G151" s="53"/>
      <c r="H151" s="53"/>
      <c r="I151" s="54"/>
      <c r="J151" s="54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>
        <v>833333.33333333337</v>
      </c>
      <c r="X151" s="53">
        <v>109166.66666666667</v>
      </c>
      <c r="Y151" s="53">
        <v>833333.33333333337</v>
      </c>
      <c r="Z151" s="53">
        <v>109166.66666666667</v>
      </c>
      <c r="AA151" s="53">
        <v>833333.33333333337</v>
      </c>
      <c r="AB151" s="53">
        <v>109166.66666666667</v>
      </c>
      <c r="AC151" s="54">
        <f t="shared" si="10"/>
        <v>7500000</v>
      </c>
      <c r="AD151" s="54">
        <f t="shared" si="11"/>
        <v>982499.99999999988</v>
      </c>
      <c r="AE151" s="2">
        <f t="shared" si="12"/>
        <v>327500</v>
      </c>
    </row>
    <row r="152" spans="1:31" x14ac:dyDescent="0.2">
      <c r="A152" s="4">
        <v>34000728</v>
      </c>
      <c r="B152" s="5" t="s">
        <v>616</v>
      </c>
      <c r="C152" s="52">
        <v>10000000</v>
      </c>
      <c r="D152" s="52">
        <v>1310000</v>
      </c>
      <c r="E152" s="53"/>
      <c r="F152" s="53"/>
      <c r="G152" s="53"/>
      <c r="H152" s="53"/>
      <c r="I152" s="54"/>
      <c r="J152" s="54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>
        <v>833333.33333333337</v>
      </c>
      <c r="Z152" s="53">
        <v>109166.66666666667</v>
      </c>
      <c r="AA152" s="53">
        <v>833333.33333333337</v>
      </c>
      <c r="AB152" s="53">
        <v>109166.66666666667</v>
      </c>
      <c r="AC152" s="54">
        <f t="shared" si="10"/>
        <v>8333333.333333333</v>
      </c>
      <c r="AD152" s="54">
        <f t="shared" si="11"/>
        <v>1091666.6666666665</v>
      </c>
      <c r="AE152" s="2">
        <f t="shared" si="12"/>
        <v>218333.33333333334</v>
      </c>
    </row>
    <row r="153" spans="1:31" x14ac:dyDescent="0.2">
      <c r="A153" s="4">
        <v>34000388</v>
      </c>
      <c r="B153" s="5" t="s">
        <v>538</v>
      </c>
      <c r="C153" s="52">
        <v>10000000</v>
      </c>
      <c r="D153" s="52">
        <v>1310000</v>
      </c>
      <c r="E153" s="53"/>
      <c r="F153" s="53"/>
      <c r="G153" s="53"/>
      <c r="H153" s="53"/>
      <c r="I153" s="54"/>
      <c r="J153" s="54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>
        <v>833333.33333333337</v>
      </c>
      <c r="Z153" s="53">
        <v>109166.66666666667</v>
      </c>
      <c r="AA153" s="53">
        <v>833333.33333333337</v>
      </c>
      <c r="AB153" s="53">
        <v>109166.66666666667</v>
      </c>
      <c r="AC153" s="54">
        <f t="shared" si="10"/>
        <v>8333333.333333333</v>
      </c>
      <c r="AD153" s="54">
        <f t="shared" si="11"/>
        <v>1091666.6666666665</v>
      </c>
      <c r="AE153" s="2">
        <f t="shared" si="12"/>
        <v>218333.33333333334</v>
      </c>
    </row>
    <row r="154" spans="1:31" x14ac:dyDescent="0.2">
      <c r="A154" s="4">
        <v>34000118</v>
      </c>
      <c r="B154" s="5" t="s">
        <v>476</v>
      </c>
      <c r="C154" s="52">
        <v>4500000</v>
      </c>
      <c r="D154" s="52">
        <v>450000</v>
      </c>
      <c r="E154" s="53"/>
      <c r="F154" s="53"/>
      <c r="G154" s="53"/>
      <c r="H154" s="53"/>
      <c r="I154" s="54"/>
      <c r="J154" s="54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>
        <v>750000</v>
      </c>
      <c r="Z154" s="53">
        <v>75000</v>
      </c>
      <c r="AA154" s="53">
        <v>750000</v>
      </c>
      <c r="AB154" s="53">
        <v>75000</v>
      </c>
      <c r="AC154" s="54">
        <f t="shared" si="10"/>
        <v>3000000</v>
      </c>
      <c r="AD154" s="54">
        <f t="shared" si="11"/>
        <v>300000</v>
      </c>
      <c r="AE154" s="2">
        <f t="shared" si="12"/>
        <v>150000</v>
      </c>
    </row>
    <row r="155" spans="1:31" x14ac:dyDescent="0.2">
      <c r="A155" s="4">
        <v>34000631</v>
      </c>
      <c r="B155" s="5" t="s">
        <v>247</v>
      </c>
      <c r="C155" s="52">
        <v>2000000</v>
      </c>
      <c r="D155" s="52">
        <v>200000</v>
      </c>
      <c r="E155" s="53"/>
      <c r="F155" s="53"/>
      <c r="G155" s="53"/>
      <c r="H155" s="53"/>
      <c r="I155" s="54"/>
      <c r="J155" s="54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4"/>
      <c r="Z155" s="54"/>
      <c r="AA155" s="53">
        <v>334545.45454545453</v>
      </c>
      <c r="AB155" s="53">
        <v>33454.545454545456</v>
      </c>
      <c r="AC155" s="54">
        <f t="shared" si="10"/>
        <v>1665454.5454545454</v>
      </c>
      <c r="AD155" s="54">
        <f t="shared" si="11"/>
        <v>166545.45454545453</v>
      </c>
      <c r="AE155" s="2">
        <f t="shared" si="12"/>
        <v>33454.545454545456</v>
      </c>
    </row>
    <row r="156" spans="1:31" x14ac:dyDescent="0.2">
      <c r="A156" s="4">
        <v>34000344</v>
      </c>
      <c r="B156" s="5" t="s">
        <v>399</v>
      </c>
      <c r="C156" s="52">
        <v>3000000</v>
      </c>
      <c r="D156" s="52">
        <v>300000</v>
      </c>
      <c r="E156" s="53"/>
      <c r="F156" s="53"/>
      <c r="G156" s="53"/>
      <c r="H156" s="53"/>
      <c r="I156" s="54"/>
      <c r="J156" s="54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>
        <v>500000</v>
      </c>
      <c r="Z156" s="53">
        <v>50000</v>
      </c>
      <c r="AA156" s="53">
        <v>500000</v>
      </c>
      <c r="AB156" s="53">
        <v>50000</v>
      </c>
      <c r="AC156" s="54">
        <f t="shared" si="10"/>
        <v>2000000</v>
      </c>
      <c r="AD156" s="54">
        <f t="shared" si="11"/>
        <v>200000</v>
      </c>
      <c r="AE156" s="2">
        <f t="shared" si="12"/>
        <v>100000</v>
      </c>
    </row>
    <row r="157" spans="1:31" x14ac:dyDescent="0.2">
      <c r="A157" s="4">
        <v>34000012</v>
      </c>
      <c r="B157" s="5" t="s">
        <v>353</v>
      </c>
      <c r="C157" s="52">
        <v>1500000</v>
      </c>
      <c r="D157" s="52">
        <v>165000</v>
      </c>
      <c r="E157" s="53"/>
      <c r="F157" s="53"/>
      <c r="G157" s="53"/>
      <c r="H157" s="53"/>
      <c r="I157" s="54"/>
      <c r="J157" s="54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>
        <v>166666.66666666666</v>
      </c>
      <c r="Z157" s="53">
        <v>18333.333333333332</v>
      </c>
      <c r="AA157" s="53">
        <v>166666.66666666666</v>
      </c>
      <c r="AB157" s="53">
        <v>18333.333333333332</v>
      </c>
      <c r="AC157" s="54">
        <f t="shared" si="10"/>
        <v>1166666.6666666665</v>
      </c>
      <c r="AD157" s="54">
        <f t="shared" si="11"/>
        <v>128333.33333333333</v>
      </c>
      <c r="AE157" s="2">
        <f t="shared" si="12"/>
        <v>36666.666666666664</v>
      </c>
    </row>
    <row r="158" spans="1:31" x14ac:dyDescent="0.2">
      <c r="A158" s="4">
        <v>34000362</v>
      </c>
      <c r="B158" s="5" t="s">
        <v>379</v>
      </c>
      <c r="C158" s="52">
        <v>5000000</v>
      </c>
      <c r="D158" s="52">
        <v>670000</v>
      </c>
      <c r="E158" s="53"/>
      <c r="F158" s="53"/>
      <c r="G158" s="53"/>
      <c r="H158" s="53"/>
      <c r="I158" s="54"/>
      <c r="J158" s="54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4"/>
      <c r="Z158" s="54"/>
      <c r="AA158" s="53">
        <v>416666.66666666669</v>
      </c>
      <c r="AB158" s="53">
        <v>55833.333333333336</v>
      </c>
      <c r="AC158" s="54">
        <f t="shared" si="10"/>
        <v>4583333.333333333</v>
      </c>
      <c r="AD158" s="54">
        <f t="shared" si="11"/>
        <v>614166.66666666663</v>
      </c>
      <c r="AE158" s="2">
        <f t="shared" si="12"/>
        <v>55833.333333333336</v>
      </c>
    </row>
    <row r="159" spans="1:31" x14ac:dyDescent="0.2">
      <c r="A159" s="4">
        <v>34000125</v>
      </c>
      <c r="B159" s="5" t="s">
        <v>603</v>
      </c>
      <c r="C159" s="52">
        <v>10000000</v>
      </c>
      <c r="D159" s="52">
        <v>1310000</v>
      </c>
      <c r="E159" s="53"/>
      <c r="F159" s="53"/>
      <c r="G159" s="53"/>
      <c r="H159" s="53"/>
      <c r="I159" s="54"/>
      <c r="J159" s="54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4"/>
      <c r="Z159" s="54"/>
      <c r="AA159" s="53">
        <v>833333.33333333337</v>
      </c>
      <c r="AB159" s="53">
        <v>109166.66666666667</v>
      </c>
      <c r="AC159" s="54">
        <f t="shared" si="10"/>
        <v>9166666.666666666</v>
      </c>
      <c r="AD159" s="54">
        <f t="shared" si="11"/>
        <v>1200833.3333333333</v>
      </c>
      <c r="AE159" s="2">
        <f t="shared" si="12"/>
        <v>109166.66666666667</v>
      </c>
    </row>
    <row r="160" spans="1:31" x14ac:dyDescent="0.2">
      <c r="A160" s="4">
        <v>34000100</v>
      </c>
      <c r="B160" s="5" t="s">
        <v>244</v>
      </c>
      <c r="C160" s="52">
        <v>6000000</v>
      </c>
      <c r="D160" s="52">
        <v>600000</v>
      </c>
      <c r="E160" s="53"/>
      <c r="F160" s="53"/>
      <c r="G160" s="53"/>
      <c r="H160" s="53"/>
      <c r="I160" s="54"/>
      <c r="J160" s="54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4"/>
      <c r="Z160" s="54"/>
      <c r="AA160" s="53">
        <v>500000</v>
      </c>
      <c r="AB160" s="53">
        <v>50000</v>
      </c>
      <c r="AC160" s="54">
        <f t="shared" si="10"/>
        <v>5500000</v>
      </c>
      <c r="AD160" s="54">
        <f t="shared" si="11"/>
        <v>550000</v>
      </c>
      <c r="AE160" s="2">
        <f t="shared" si="12"/>
        <v>50000</v>
      </c>
    </row>
    <row r="161" spans="1:31" x14ac:dyDescent="0.2">
      <c r="A161" s="4">
        <v>34000680</v>
      </c>
      <c r="B161" s="5" t="s">
        <v>617</v>
      </c>
      <c r="C161" s="52">
        <v>5000000</v>
      </c>
      <c r="D161" s="52">
        <v>670000</v>
      </c>
      <c r="E161" s="53"/>
      <c r="F161" s="53"/>
      <c r="G161" s="53"/>
      <c r="H161" s="53"/>
      <c r="I161" s="54"/>
      <c r="J161" s="54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4"/>
      <c r="Z161" s="54"/>
      <c r="AA161" s="53">
        <v>416666.66666666669</v>
      </c>
      <c r="AB161" s="53">
        <v>55833.333333333336</v>
      </c>
      <c r="AC161" s="54">
        <f t="shared" si="10"/>
        <v>4583333.333333333</v>
      </c>
      <c r="AD161" s="54">
        <f t="shared" si="11"/>
        <v>614166.66666666663</v>
      </c>
      <c r="AE161" s="2">
        <f t="shared" si="12"/>
        <v>55833.333333333336</v>
      </c>
    </row>
    <row r="162" spans="1:31" x14ac:dyDescent="0.2">
      <c r="A162" s="4">
        <v>34000405</v>
      </c>
      <c r="B162" s="5" t="s">
        <v>178</v>
      </c>
      <c r="C162" s="52">
        <v>3000000</v>
      </c>
      <c r="D162" s="52">
        <v>300000</v>
      </c>
      <c r="E162" s="53"/>
      <c r="F162" s="53"/>
      <c r="G162" s="53"/>
      <c r="H162" s="53"/>
      <c r="I162" s="54"/>
      <c r="J162" s="54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4"/>
      <c r="Z162" s="54"/>
      <c r="AA162" s="53">
        <v>250000</v>
      </c>
      <c r="AB162" s="53">
        <v>25000</v>
      </c>
      <c r="AC162" s="54">
        <f t="shared" si="10"/>
        <v>2750000</v>
      </c>
      <c r="AD162" s="54">
        <f t="shared" si="11"/>
        <v>275000</v>
      </c>
      <c r="AE162" s="2">
        <f t="shared" si="12"/>
        <v>25000</v>
      </c>
    </row>
    <row r="163" spans="1:31" x14ac:dyDescent="0.2">
      <c r="A163" s="4">
        <v>34000203</v>
      </c>
      <c r="B163" s="5" t="s">
        <v>140</v>
      </c>
      <c r="C163" s="52">
        <v>800000</v>
      </c>
      <c r="D163" s="52">
        <v>80000</v>
      </c>
      <c r="E163" s="53"/>
      <c r="F163" s="53"/>
      <c r="G163" s="53"/>
      <c r="H163" s="53"/>
      <c r="I163" s="54"/>
      <c r="J163" s="54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4"/>
      <c r="Z163" s="54"/>
      <c r="AA163" s="53"/>
      <c r="AB163" s="53"/>
      <c r="AC163" s="54">
        <f t="shared" si="10"/>
        <v>800000</v>
      </c>
      <c r="AD163" s="54">
        <f t="shared" si="11"/>
        <v>80000</v>
      </c>
      <c r="AE163" s="2">
        <f t="shared" si="12"/>
        <v>0</v>
      </c>
    </row>
    <row r="164" spans="1:31" x14ac:dyDescent="0.2">
      <c r="A164" s="4"/>
      <c r="B164" s="5"/>
      <c r="C164" s="52"/>
      <c r="D164" s="52"/>
      <c r="E164" s="53"/>
      <c r="F164" s="53"/>
      <c r="G164" s="53"/>
      <c r="H164" s="53"/>
      <c r="I164" s="54"/>
      <c r="J164" s="54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4"/>
      <c r="AB164" s="54"/>
      <c r="AC164" s="54">
        <f t="shared" si="10"/>
        <v>0</v>
      </c>
      <c r="AD164" s="54">
        <f t="shared" si="11"/>
        <v>0</v>
      </c>
    </row>
    <row r="165" spans="1:31" x14ac:dyDescent="0.2">
      <c r="A165" s="329" t="s">
        <v>17</v>
      </c>
      <c r="B165" s="330"/>
      <c r="C165" s="12">
        <f t="shared" ref="C165:AD165" si="13">SUM(C79:C164)</f>
        <v>366901842.8888889</v>
      </c>
      <c r="D165" s="12">
        <f t="shared" si="13"/>
        <v>42768156.111111112</v>
      </c>
      <c r="E165" s="12">
        <f t="shared" si="13"/>
        <v>10056973.944444444</v>
      </c>
      <c r="F165" s="12">
        <f t="shared" si="13"/>
        <v>1133026.0555555557</v>
      </c>
      <c r="G165" s="12">
        <f t="shared" si="13"/>
        <v>11890307.277777778</v>
      </c>
      <c r="H165" s="12">
        <f t="shared" si="13"/>
        <v>1354192.7222222222</v>
      </c>
      <c r="I165" s="12">
        <f t="shared" si="13"/>
        <v>12982173.611111112</v>
      </c>
      <c r="J165" s="12">
        <f t="shared" si="13"/>
        <v>1444326.388888889</v>
      </c>
      <c r="K165" s="12">
        <f t="shared" si="13"/>
        <v>12291658.45959596</v>
      </c>
      <c r="L165" s="12">
        <f t="shared" si="13"/>
        <v>1362841.5404040404</v>
      </c>
      <c r="M165" s="12">
        <f t="shared" si="13"/>
        <v>12513175.126262628</v>
      </c>
      <c r="N165" s="12">
        <f t="shared" si="13"/>
        <v>1367324.8737373736</v>
      </c>
      <c r="O165" s="12">
        <f t="shared" si="13"/>
        <v>13168814.015151516</v>
      </c>
      <c r="P165" s="12">
        <f t="shared" si="13"/>
        <v>1466185.9848484849</v>
      </c>
      <c r="Q165" s="12">
        <f t="shared" si="13"/>
        <v>17885580.681818184</v>
      </c>
      <c r="R165" s="12">
        <f t="shared" si="13"/>
        <v>2057919.3181818186</v>
      </c>
      <c r="S165" s="12">
        <f t="shared" si="13"/>
        <v>25692330.681818172</v>
      </c>
      <c r="T165" s="12">
        <f t="shared" si="13"/>
        <v>3035669.318181817</v>
      </c>
      <c r="U165" s="12">
        <f t="shared" si="13"/>
        <v>20102914.015151519</v>
      </c>
      <c r="V165" s="12">
        <f t="shared" si="13"/>
        <v>2250585.9848484853</v>
      </c>
      <c r="W165" s="12">
        <f t="shared" si="13"/>
        <v>27202914.015151512</v>
      </c>
      <c r="X165" s="12">
        <f t="shared" si="13"/>
        <v>3222585.9848484849</v>
      </c>
      <c r="Y165" s="12">
        <f t="shared" si="13"/>
        <v>23097434.848484844</v>
      </c>
      <c r="Z165" s="12">
        <f t="shared" si="13"/>
        <v>2658065.1515151514</v>
      </c>
      <c r="AA165" s="12">
        <f t="shared" si="13"/>
        <v>24931980.303030301</v>
      </c>
      <c r="AB165" s="12">
        <f t="shared" si="13"/>
        <v>2895019.6969696973</v>
      </c>
      <c r="AC165" s="12">
        <f t="shared" si="13"/>
        <v>155085585.90909091</v>
      </c>
      <c r="AD165" s="12">
        <f t="shared" si="13"/>
        <v>18520413.090909094</v>
      </c>
    </row>
    <row r="166" spans="1:31" x14ac:dyDescent="0.2">
      <c r="AA166" s="2"/>
      <c r="AB166" s="2"/>
    </row>
    <row r="167" spans="1:31" x14ac:dyDescent="0.2">
      <c r="D167" s="13" t="s">
        <v>540</v>
      </c>
      <c r="G167" s="2">
        <f>E165+G165+I165+K165+M165+O165+Q165+S165+U165+W165+Y165+AA165</f>
        <v>211816256.97979796</v>
      </c>
      <c r="O167" s="2"/>
      <c r="Q167" s="2"/>
      <c r="S167" s="2"/>
      <c r="U167" s="2"/>
      <c r="W167" s="2"/>
      <c r="Y167" s="2"/>
    </row>
    <row r="168" spans="1:31" x14ac:dyDescent="0.2">
      <c r="D168" s="13" t="s">
        <v>619</v>
      </c>
      <c r="G168" s="2">
        <f>F165+H165+J165+L165+N165+P165+R165+T165+V165+X165+Z165+AB165</f>
        <v>24247743.020202018</v>
      </c>
      <c r="K168" s="2"/>
      <c r="M168" s="2"/>
      <c r="O168" s="2"/>
      <c r="Q168" s="2"/>
      <c r="S168" s="2"/>
      <c r="U168" s="2"/>
      <c r="W168" s="2"/>
      <c r="Y168" s="2"/>
      <c r="AA168" s="13" t="s">
        <v>547</v>
      </c>
      <c r="AB168" s="174">
        <v>6733585</v>
      </c>
    </row>
    <row r="169" spans="1:31" x14ac:dyDescent="0.2">
      <c r="K169" s="2"/>
      <c r="M169" s="2"/>
      <c r="AA169" s="13" t="s">
        <v>548</v>
      </c>
      <c r="AB169" s="2">
        <f>AC165</f>
        <v>155085585.90909091</v>
      </c>
    </row>
    <row r="171" spans="1:31" x14ac:dyDescent="0.2">
      <c r="D171" s="13" t="s">
        <v>545</v>
      </c>
      <c r="E171" s="174">
        <v>14879673</v>
      </c>
      <c r="G171" s="2"/>
      <c r="I171" s="2"/>
    </row>
    <row r="172" spans="1:31" x14ac:dyDescent="0.2">
      <c r="D172" s="13" t="s">
        <v>546</v>
      </c>
      <c r="E172" s="2">
        <f>AC165</f>
        <v>155085585.90909091</v>
      </c>
      <c r="G172" s="2"/>
      <c r="I172" s="2"/>
    </row>
    <row r="173" spans="1:31" x14ac:dyDescent="0.2">
      <c r="E173" s="2">
        <f>G168</f>
        <v>24247743.020202018</v>
      </c>
    </row>
    <row r="176" spans="1:31" x14ac:dyDescent="0.2">
      <c r="F176" s="2"/>
    </row>
    <row r="177" spans="1:32" ht="20.25" x14ac:dyDescent="0.3">
      <c r="A177" s="49" t="s">
        <v>76</v>
      </c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</row>
    <row r="178" spans="1:32" ht="15.75" x14ac:dyDescent="0.25">
      <c r="A178" s="50" t="s">
        <v>519</v>
      </c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</row>
    <row r="179" spans="1:32" ht="15.75" x14ac:dyDescent="0.25">
      <c r="A179" s="51" t="s">
        <v>693</v>
      </c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</row>
    <row r="180" spans="1:32" x14ac:dyDescent="0.2">
      <c r="A180" s="335" t="s">
        <v>112</v>
      </c>
      <c r="B180" s="335" t="s">
        <v>2</v>
      </c>
      <c r="C180" s="335" t="s">
        <v>518</v>
      </c>
      <c r="D180" s="335" t="s">
        <v>517</v>
      </c>
      <c r="E180" s="338" t="s">
        <v>4</v>
      </c>
      <c r="F180" s="339"/>
      <c r="G180" s="339"/>
      <c r="H180" s="339"/>
      <c r="I180" s="339"/>
      <c r="J180" s="339"/>
      <c r="K180" s="339"/>
      <c r="L180" s="339"/>
      <c r="M180" s="339"/>
      <c r="N180" s="339"/>
      <c r="O180" s="339"/>
      <c r="P180" s="339"/>
      <c r="Q180" s="339"/>
      <c r="R180" s="339"/>
      <c r="S180" s="339"/>
      <c r="T180" s="339"/>
      <c r="U180" s="339"/>
      <c r="V180" s="339"/>
      <c r="W180" s="339"/>
      <c r="X180" s="339"/>
      <c r="Y180" s="339"/>
      <c r="Z180" s="339"/>
      <c r="AA180" s="339"/>
      <c r="AB180" s="340"/>
      <c r="AC180" s="331" t="s">
        <v>3</v>
      </c>
      <c r="AD180" s="332"/>
    </row>
    <row r="181" spans="1:32" x14ac:dyDescent="0.2">
      <c r="A181" s="336"/>
      <c r="B181" s="336"/>
      <c r="C181" s="336"/>
      <c r="D181" s="336"/>
      <c r="E181" s="329" t="s">
        <v>5</v>
      </c>
      <c r="F181" s="330"/>
      <c r="G181" s="329" t="s">
        <v>6</v>
      </c>
      <c r="H181" s="330"/>
      <c r="I181" s="329" t="s">
        <v>7</v>
      </c>
      <c r="J181" s="330"/>
      <c r="K181" s="329" t="s">
        <v>8</v>
      </c>
      <c r="L181" s="330"/>
      <c r="M181" s="329" t="s">
        <v>9</v>
      </c>
      <c r="N181" s="330"/>
      <c r="O181" s="329" t="s">
        <v>10</v>
      </c>
      <c r="P181" s="330"/>
      <c r="Q181" s="329" t="s">
        <v>11</v>
      </c>
      <c r="R181" s="330"/>
      <c r="S181" s="329" t="s">
        <v>12</v>
      </c>
      <c r="T181" s="330"/>
      <c r="U181" s="329" t="s">
        <v>13</v>
      </c>
      <c r="V181" s="330"/>
      <c r="W181" s="329" t="s">
        <v>14</v>
      </c>
      <c r="X181" s="330"/>
      <c r="Y181" s="329" t="s">
        <v>15</v>
      </c>
      <c r="Z181" s="330"/>
      <c r="AA181" s="341" t="s">
        <v>16</v>
      </c>
      <c r="AB181" s="341"/>
      <c r="AC181" s="333"/>
      <c r="AD181" s="334"/>
    </row>
    <row r="182" spans="1:32" x14ac:dyDescent="0.2">
      <c r="A182" s="337"/>
      <c r="B182" s="337"/>
      <c r="C182" s="337"/>
      <c r="D182" s="337"/>
      <c r="E182" s="11" t="s">
        <v>58</v>
      </c>
      <c r="F182" s="11" t="s">
        <v>56</v>
      </c>
      <c r="G182" s="11" t="s">
        <v>58</v>
      </c>
      <c r="H182" s="11" t="s">
        <v>56</v>
      </c>
      <c r="I182" s="11" t="s">
        <v>58</v>
      </c>
      <c r="J182" s="11" t="s">
        <v>56</v>
      </c>
      <c r="K182" s="11" t="s">
        <v>58</v>
      </c>
      <c r="L182" s="11" t="s">
        <v>56</v>
      </c>
      <c r="M182" s="11" t="s">
        <v>58</v>
      </c>
      <c r="N182" s="11" t="s">
        <v>56</v>
      </c>
      <c r="O182" s="11" t="s">
        <v>58</v>
      </c>
      <c r="P182" s="11" t="s">
        <v>56</v>
      </c>
      <c r="Q182" s="11" t="s">
        <v>58</v>
      </c>
      <c r="R182" s="11" t="s">
        <v>56</v>
      </c>
      <c r="S182" s="11" t="s">
        <v>58</v>
      </c>
      <c r="T182" s="11" t="s">
        <v>56</v>
      </c>
      <c r="U182" s="11" t="s">
        <v>58</v>
      </c>
      <c r="V182" s="11" t="s">
        <v>56</v>
      </c>
      <c r="W182" s="11" t="s">
        <v>58</v>
      </c>
      <c r="X182" s="11" t="s">
        <v>56</v>
      </c>
      <c r="Y182" s="11" t="s">
        <v>58</v>
      </c>
      <c r="Z182" s="11" t="s">
        <v>56</v>
      </c>
      <c r="AA182" s="11" t="s">
        <v>58</v>
      </c>
      <c r="AB182" s="11" t="s">
        <v>56</v>
      </c>
      <c r="AC182" s="11" t="s">
        <v>58</v>
      </c>
      <c r="AD182" s="11" t="s">
        <v>56</v>
      </c>
    </row>
    <row r="183" spans="1:32" x14ac:dyDescent="0.2">
      <c r="A183" s="4">
        <v>34000048</v>
      </c>
      <c r="B183" s="5" t="s">
        <v>591</v>
      </c>
      <c r="C183" s="52">
        <v>833333.3333333336</v>
      </c>
      <c r="D183" s="52">
        <v>109166.66666666664</v>
      </c>
      <c r="E183" s="48">
        <v>833333.3333333336</v>
      </c>
      <c r="F183" s="48">
        <v>109166.66666666664</v>
      </c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136"/>
      <c r="Z183" s="136"/>
      <c r="AA183" s="48"/>
      <c r="AB183" s="48"/>
      <c r="AC183" s="54">
        <f>+C183-E183-G183-I183-K183-M183-O183-Q183-S183-U183-W183-Y183-AA183</f>
        <v>0</v>
      </c>
      <c r="AD183" s="54">
        <f>+D183-F183-H183-J183-L183-N183-P183-R183-T183-V183-X183-Z183-AB183</f>
        <v>0</v>
      </c>
      <c r="AE183" s="2">
        <f>F183+H183+J183+L183+N183+P183+R183+T183+V183+X183+Z183+AB183</f>
        <v>109166.66666666664</v>
      </c>
      <c r="AF183" s="2"/>
    </row>
    <row r="184" spans="1:32" x14ac:dyDescent="0.2">
      <c r="A184" s="4" t="s">
        <v>139</v>
      </c>
      <c r="B184" s="5" t="s">
        <v>140</v>
      </c>
      <c r="C184" s="52">
        <v>873636.363636364</v>
      </c>
      <c r="D184" s="52">
        <v>87363.636363636411</v>
      </c>
      <c r="E184" s="48">
        <v>291818.18181818182</v>
      </c>
      <c r="F184" s="48">
        <v>29181.81818181818</v>
      </c>
      <c r="G184" s="48">
        <v>291818.18181818182</v>
      </c>
      <c r="H184" s="48">
        <v>29181.818181818177</v>
      </c>
      <c r="I184" s="48">
        <v>291818.18181818182</v>
      </c>
      <c r="J184" s="48">
        <v>29181.818181818177</v>
      </c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54">
        <f t="shared" ref="AC184:AD247" si="14">+C184-E184-G184-I184-K184-M184-O184-Q184-S184-U184-W184-Y184-AA184</f>
        <v>-1818.1818181815324</v>
      </c>
      <c r="AD184" s="54">
        <f t="shared" si="14"/>
        <v>-181.81818181811832</v>
      </c>
      <c r="AE184" s="2">
        <f t="shared" ref="AE184:AE247" si="15">F184+H184+J184+L184+N184+P184+R184+T184+V184+X184+Z184+AB184</f>
        <v>87545.45454545453</v>
      </c>
    </row>
    <row r="185" spans="1:32" x14ac:dyDescent="0.2">
      <c r="A185" s="4">
        <v>34000363</v>
      </c>
      <c r="B185" s="5" t="s">
        <v>236</v>
      </c>
      <c r="C185" s="52">
        <v>540000</v>
      </c>
      <c r="D185" s="52">
        <v>54000</v>
      </c>
      <c r="E185" s="48">
        <v>270000</v>
      </c>
      <c r="F185" s="48">
        <v>27000</v>
      </c>
      <c r="G185" s="48">
        <v>270000</v>
      </c>
      <c r="H185" s="48">
        <v>27000</v>
      </c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54">
        <f t="shared" si="14"/>
        <v>0</v>
      </c>
      <c r="AD185" s="54">
        <f t="shared" si="14"/>
        <v>0</v>
      </c>
      <c r="AE185" s="2">
        <f t="shared" si="15"/>
        <v>54000</v>
      </c>
    </row>
    <row r="186" spans="1:32" x14ac:dyDescent="0.2">
      <c r="A186" s="4">
        <v>34000370</v>
      </c>
      <c r="B186" s="5" t="s">
        <v>184</v>
      </c>
      <c r="C186" s="52">
        <v>720000</v>
      </c>
      <c r="D186" s="52">
        <v>72000</v>
      </c>
      <c r="E186" s="48">
        <v>360000</v>
      </c>
      <c r="F186" s="48">
        <v>36000</v>
      </c>
      <c r="G186" s="48">
        <v>360000</v>
      </c>
      <c r="H186" s="48">
        <v>36000</v>
      </c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136"/>
      <c r="AB186" s="136"/>
      <c r="AC186" s="54">
        <f t="shared" si="14"/>
        <v>0</v>
      </c>
      <c r="AD186" s="54">
        <f t="shared" si="14"/>
        <v>0</v>
      </c>
      <c r="AE186" s="2">
        <f t="shared" si="15"/>
        <v>72000</v>
      </c>
    </row>
    <row r="187" spans="1:32" x14ac:dyDescent="0.2">
      <c r="A187" s="4">
        <v>34000298</v>
      </c>
      <c r="B187" s="5" t="s">
        <v>389</v>
      </c>
      <c r="C187" s="52">
        <v>1828333.3333333333</v>
      </c>
      <c r="D187" s="52">
        <v>183666.66666666657</v>
      </c>
      <c r="E187" s="48">
        <v>457083.33333333331</v>
      </c>
      <c r="F187" s="48">
        <v>45916.666666666686</v>
      </c>
      <c r="G187" s="48">
        <v>457083.33333333331</v>
      </c>
      <c r="H187" s="48">
        <v>45916.666666666686</v>
      </c>
      <c r="I187" s="48">
        <v>457083.33333333331</v>
      </c>
      <c r="J187" s="48">
        <v>45916.666666666686</v>
      </c>
      <c r="K187" s="48">
        <v>457083.33333333331</v>
      </c>
      <c r="L187" s="48">
        <v>45916.666666666686</v>
      </c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54">
        <f t="shared" si="14"/>
        <v>1.1641532182693481E-10</v>
      </c>
      <c r="AD187" s="54">
        <f t="shared" si="14"/>
        <v>-1.7462298274040222E-10</v>
      </c>
      <c r="AE187" s="2">
        <f t="shared" si="15"/>
        <v>183666.66666666674</v>
      </c>
    </row>
    <row r="188" spans="1:32" x14ac:dyDescent="0.2">
      <c r="A188" s="4">
        <v>34000776</v>
      </c>
      <c r="B188" s="5" t="s">
        <v>614</v>
      </c>
      <c r="C188" s="52">
        <v>500000</v>
      </c>
      <c r="D188" s="52">
        <v>50000</v>
      </c>
      <c r="E188" s="48">
        <v>250000</v>
      </c>
      <c r="F188" s="48">
        <v>25000</v>
      </c>
      <c r="G188" s="48">
        <v>250000</v>
      </c>
      <c r="H188" s="48">
        <v>25000</v>
      </c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54">
        <f t="shared" si="14"/>
        <v>0</v>
      </c>
      <c r="AD188" s="54">
        <f t="shared" si="14"/>
        <v>0</v>
      </c>
      <c r="AE188" s="2">
        <f t="shared" si="15"/>
        <v>50000</v>
      </c>
    </row>
    <row r="189" spans="1:32" x14ac:dyDescent="0.2">
      <c r="A189" s="4">
        <v>34000354</v>
      </c>
      <c r="B189" s="5" t="s">
        <v>318</v>
      </c>
      <c r="C189" s="52">
        <v>2083333.3333333337</v>
      </c>
      <c r="D189" s="52">
        <v>279166.66666666669</v>
      </c>
      <c r="E189" s="48">
        <v>416666.66666666669</v>
      </c>
      <c r="F189" s="48">
        <v>55833.333333333314</v>
      </c>
      <c r="G189" s="48">
        <v>416666.66666666669</v>
      </c>
      <c r="H189" s="48">
        <v>55833.333333333314</v>
      </c>
      <c r="I189" s="48">
        <v>416666.66666666669</v>
      </c>
      <c r="J189" s="48">
        <v>55833.333333333314</v>
      </c>
      <c r="K189" s="48">
        <v>416666.66666666669</v>
      </c>
      <c r="L189" s="48">
        <v>55833.333333333314</v>
      </c>
      <c r="M189" s="132">
        <v>416666.66666666669</v>
      </c>
      <c r="N189" s="132">
        <v>55833.333333333314</v>
      </c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54">
        <f t="shared" si="14"/>
        <v>1.1641532182693481E-10</v>
      </c>
      <c r="AD189" s="54">
        <f t="shared" si="14"/>
        <v>1.1641532182693481E-10</v>
      </c>
      <c r="AE189" s="2">
        <f t="shared" si="15"/>
        <v>279166.66666666657</v>
      </c>
    </row>
    <row r="190" spans="1:32" x14ac:dyDescent="0.2">
      <c r="A190" s="4">
        <v>34000777</v>
      </c>
      <c r="B190" s="5" t="s">
        <v>615</v>
      </c>
      <c r="C190" s="52">
        <v>2083333.3333333337</v>
      </c>
      <c r="D190" s="52">
        <v>279166.66666666669</v>
      </c>
      <c r="E190" s="48">
        <v>416666.66666666669</v>
      </c>
      <c r="F190" s="48">
        <v>55833.333333333314</v>
      </c>
      <c r="G190" s="48">
        <v>416666.66666666669</v>
      </c>
      <c r="H190" s="48">
        <v>55833.333333333314</v>
      </c>
      <c r="I190" s="48">
        <v>416666.66666666669</v>
      </c>
      <c r="J190" s="48">
        <v>55833.333333333314</v>
      </c>
      <c r="K190" s="48">
        <v>416666.66666666669</v>
      </c>
      <c r="L190" s="48">
        <v>55833.333333333314</v>
      </c>
      <c r="M190" s="48">
        <v>416666.66666666669</v>
      </c>
      <c r="N190" s="48">
        <v>55833.333333333314</v>
      </c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54">
        <f t="shared" si="14"/>
        <v>1.1641532182693481E-10</v>
      </c>
      <c r="AD190" s="54">
        <f t="shared" si="14"/>
        <v>1.1641532182693481E-10</v>
      </c>
      <c r="AE190" s="2">
        <f t="shared" si="15"/>
        <v>279166.66666666657</v>
      </c>
    </row>
    <row r="191" spans="1:32" x14ac:dyDescent="0.2">
      <c r="A191" s="4">
        <v>34000364</v>
      </c>
      <c r="B191" s="5" t="s">
        <v>258</v>
      </c>
      <c r="C191" s="52">
        <v>5000000.0000000009</v>
      </c>
      <c r="D191" s="52">
        <v>655000</v>
      </c>
      <c r="E191" s="48">
        <v>833333.33333333337</v>
      </c>
      <c r="F191" s="48">
        <v>109166.66666666663</v>
      </c>
      <c r="G191" s="48">
        <v>833333.33333333337</v>
      </c>
      <c r="H191" s="48">
        <v>109166.66666666663</v>
      </c>
      <c r="I191" s="48">
        <v>833333.33333333337</v>
      </c>
      <c r="J191" s="48">
        <v>109166.66666666663</v>
      </c>
      <c r="K191" s="48">
        <v>833333.33333333337</v>
      </c>
      <c r="L191" s="48">
        <v>109166.66666666663</v>
      </c>
      <c r="M191" s="48">
        <v>833333.33333333337</v>
      </c>
      <c r="N191" s="48">
        <v>109166.66666666663</v>
      </c>
      <c r="O191" s="132">
        <v>833333.33333333337</v>
      </c>
      <c r="P191" s="132">
        <v>109166.66666666663</v>
      </c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54">
        <f t="shared" si="14"/>
        <v>2.3283064365386963E-10</v>
      </c>
      <c r="AD191" s="54">
        <f t="shared" si="14"/>
        <v>2.3283064365386963E-10</v>
      </c>
      <c r="AE191" s="2">
        <f t="shared" si="15"/>
        <v>654999.99999999977</v>
      </c>
    </row>
    <row r="192" spans="1:32" x14ac:dyDescent="0.2">
      <c r="A192" s="4">
        <v>34000351</v>
      </c>
      <c r="B192" s="5" t="s">
        <v>365</v>
      </c>
      <c r="C192" s="52">
        <v>5000000.0000000009</v>
      </c>
      <c r="D192" s="52">
        <v>655000</v>
      </c>
      <c r="E192" s="48">
        <v>833333.33333333337</v>
      </c>
      <c r="F192" s="48">
        <v>109166.66666666663</v>
      </c>
      <c r="G192" s="48">
        <v>833333.33333333337</v>
      </c>
      <c r="H192" s="48">
        <v>109166.66666666663</v>
      </c>
      <c r="I192" s="48">
        <v>833333.33333333337</v>
      </c>
      <c r="J192" s="48">
        <v>109166.66666666663</v>
      </c>
      <c r="K192" s="48">
        <v>833333.33333333337</v>
      </c>
      <c r="L192" s="48">
        <v>109166.66666666663</v>
      </c>
      <c r="M192" s="48">
        <v>833333.33333333337</v>
      </c>
      <c r="N192" s="48">
        <v>109166.66666666663</v>
      </c>
      <c r="O192" s="48">
        <v>833333.33333333337</v>
      </c>
      <c r="P192" s="48">
        <v>109166.66666666663</v>
      </c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54">
        <f t="shared" si="14"/>
        <v>2.3283064365386963E-10</v>
      </c>
      <c r="AD192" s="54">
        <f t="shared" si="14"/>
        <v>2.3283064365386963E-10</v>
      </c>
      <c r="AE192" s="2">
        <f t="shared" si="15"/>
        <v>654999.99999999977</v>
      </c>
    </row>
    <row r="193" spans="1:31" x14ac:dyDescent="0.2">
      <c r="A193" s="4">
        <v>34000215</v>
      </c>
      <c r="B193" s="5" t="s">
        <v>137</v>
      </c>
      <c r="C193" s="52">
        <v>2000000</v>
      </c>
      <c r="D193" s="52">
        <v>200000</v>
      </c>
      <c r="E193" s="48">
        <v>500000</v>
      </c>
      <c r="F193" s="48">
        <v>50000</v>
      </c>
      <c r="G193" s="48">
        <v>500000</v>
      </c>
      <c r="H193" s="48">
        <v>50000</v>
      </c>
      <c r="I193" s="48">
        <v>500000</v>
      </c>
      <c r="J193" s="48">
        <v>50000</v>
      </c>
      <c r="K193" s="48">
        <v>500000</v>
      </c>
      <c r="L193" s="48">
        <v>50000</v>
      </c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54">
        <f t="shared" si="14"/>
        <v>0</v>
      </c>
      <c r="AD193" s="54">
        <f t="shared" si="14"/>
        <v>0</v>
      </c>
      <c r="AE193" s="2">
        <f t="shared" si="15"/>
        <v>200000</v>
      </c>
    </row>
    <row r="194" spans="1:31" x14ac:dyDescent="0.2">
      <c r="A194" s="4">
        <v>34000422</v>
      </c>
      <c r="B194" s="5" t="s">
        <v>294</v>
      </c>
      <c r="C194" s="52">
        <v>3500000.0000000009</v>
      </c>
      <c r="D194" s="52">
        <v>352000.00000000006</v>
      </c>
      <c r="E194" s="48">
        <v>583333.33333333337</v>
      </c>
      <c r="F194" s="48">
        <v>58666.666666666628</v>
      </c>
      <c r="G194" s="48">
        <v>583333.33333333337</v>
      </c>
      <c r="H194" s="48">
        <v>58666.666666666628</v>
      </c>
      <c r="I194" s="48">
        <v>583333.33333333337</v>
      </c>
      <c r="J194" s="48">
        <v>58666.666666666628</v>
      </c>
      <c r="K194" s="48">
        <v>583333.33333333337</v>
      </c>
      <c r="L194" s="48">
        <v>58666.666666666628</v>
      </c>
      <c r="M194" s="132">
        <v>1166666.666666667</v>
      </c>
      <c r="N194" s="132">
        <v>117333.33333333355</v>
      </c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54">
        <f t="shared" si="14"/>
        <v>0</v>
      </c>
      <c r="AD194" s="54">
        <f t="shared" si="14"/>
        <v>0</v>
      </c>
      <c r="AE194" s="2">
        <f t="shared" si="15"/>
        <v>352000.00000000006</v>
      </c>
    </row>
    <row r="195" spans="1:31" x14ac:dyDescent="0.2">
      <c r="A195" s="4">
        <v>34000119</v>
      </c>
      <c r="B195" s="5" t="s">
        <v>300</v>
      </c>
      <c r="C195" s="52">
        <v>3500000.0000000009</v>
      </c>
      <c r="D195" s="52">
        <v>352000.00000000006</v>
      </c>
      <c r="E195" s="48">
        <v>583333.33333333337</v>
      </c>
      <c r="F195" s="48">
        <v>58666.666666666628</v>
      </c>
      <c r="G195" s="48">
        <v>583333.33333333337</v>
      </c>
      <c r="H195" s="48">
        <v>58666.666666666628</v>
      </c>
      <c r="I195" s="48">
        <v>583333.33333333337</v>
      </c>
      <c r="J195" s="48">
        <v>58666.666666666628</v>
      </c>
      <c r="K195" s="48">
        <v>583333.33333333337</v>
      </c>
      <c r="L195" s="48">
        <v>58666.666666666628</v>
      </c>
      <c r="M195" s="48">
        <v>583333.33333333337</v>
      </c>
      <c r="N195" s="48">
        <v>58666.666666666628</v>
      </c>
      <c r="O195" s="48">
        <v>583333.33333333337</v>
      </c>
      <c r="P195" s="48">
        <v>58666.666666666628</v>
      </c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54">
        <f t="shared" si="14"/>
        <v>2.3283064365386963E-10</v>
      </c>
      <c r="AD195" s="54">
        <f t="shared" si="14"/>
        <v>2.9103830456733704E-10</v>
      </c>
      <c r="AE195" s="2">
        <f t="shared" si="15"/>
        <v>351999.99999999977</v>
      </c>
    </row>
    <row r="196" spans="1:31" x14ac:dyDescent="0.2">
      <c r="A196" s="4">
        <v>34000654</v>
      </c>
      <c r="B196" s="5" t="s">
        <v>220</v>
      </c>
      <c r="C196" s="52">
        <v>5000000.0000000009</v>
      </c>
      <c r="D196" s="52">
        <v>655000</v>
      </c>
      <c r="E196" s="48">
        <v>833333.33333333337</v>
      </c>
      <c r="F196" s="48">
        <v>109166.66666666663</v>
      </c>
      <c r="G196" s="48">
        <v>833333.33333333337</v>
      </c>
      <c r="H196" s="48">
        <v>109166.66666666663</v>
      </c>
      <c r="I196" s="48">
        <v>833333.33333333337</v>
      </c>
      <c r="J196" s="48">
        <v>109166.66666666663</v>
      </c>
      <c r="K196" s="48">
        <v>833333.33333333337</v>
      </c>
      <c r="L196" s="48">
        <v>109166.66666666663</v>
      </c>
      <c r="M196" s="48">
        <v>833333.33333333337</v>
      </c>
      <c r="N196" s="48">
        <v>109166.66666666663</v>
      </c>
      <c r="O196" s="48">
        <v>833333.33333333337</v>
      </c>
      <c r="P196" s="48">
        <v>109166.66666666663</v>
      </c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54">
        <f t="shared" si="14"/>
        <v>2.3283064365386963E-10</v>
      </c>
      <c r="AD196" s="54">
        <f t="shared" si="14"/>
        <v>2.3283064365386963E-10</v>
      </c>
      <c r="AE196" s="2">
        <f t="shared" si="15"/>
        <v>654999.99999999977</v>
      </c>
    </row>
    <row r="197" spans="1:31" x14ac:dyDescent="0.2">
      <c r="A197" s="4">
        <v>34000424</v>
      </c>
      <c r="B197" s="5" t="s">
        <v>401</v>
      </c>
      <c r="C197" s="52">
        <v>3500000.0000000009</v>
      </c>
      <c r="D197" s="52">
        <v>352000.00000000006</v>
      </c>
      <c r="E197" s="48">
        <v>583333.33333333337</v>
      </c>
      <c r="F197" s="48">
        <v>58666.666666666628</v>
      </c>
      <c r="G197" s="48">
        <v>583333.33333333337</v>
      </c>
      <c r="H197" s="48">
        <v>58666.666666666628</v>
      </c>
      <c r="I197" s="48">
        <v>583333.33333333337</v>
      </c>
      <c r="J197" s="48">
        <v>58666.666666666628</v>
      </c>
      <c r="K197" s="48">
        <v>583333.33333333337</v>
      </c>
      <c r="L197" s="48">
        <v>58666.666666666628</v>
      </c>
      <c r="M197" s="48">
        <v>583333.33333333337</v>
      </c>
      <c r="N197" s="48">
        <v>58666.666666666628</v>
      </c>
      <c r="O197" s="48">
        <v>583333.33333333337</v>
      </c>
      <c r="P197" s="48">
        <v>58666.666666666628</v>
      </c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54">
        <f t="shared" si="14"/>
        <v>2.3283064365386963E-10</v>
      </c>
      <c r="AD197" s="54">
        <f t="shared" si="14"/>
        <v>2.9103830456733704E-10</v>
      </c>
      <c r="AE197" s="2">
        <f t="shared" si="15"/>
        <v>351999.99999999977</v>
      </c>
    </row>
    <row r="198" spans="1:31" x14ac:dyDescent="0.2">
      <c r="A198" s="4">
        <v>34000106</v>
      </c>
      <c r="B198" s="5" t="s">
        <v>472</v>
      </c>
      <c r="C198" s="52">
        <v>5833333.333333334</v>
      </c>
      <c r="D198" s="52">
        <v>764166.66666666663</v>
      </c>
      <c r="E198" s="48">
        <v>833333.33333333337</v>
      </c>
      <c r="F198" s="48">
        <v>109166.66666666663</v>
      </c>
      <c r="G198" s="48">
        <v>833333.33333333337</v>
      </c>
      <c r="H198" s="48">
        <v>109166.66666666663</v>
      </c>
      <c r="I198" s="48">
        <v>833333.33333333337</v>
      </c>
      <c r="J198" s="48">
        <v>109166.66666666663</v>
      </c>
      <c r="K198" s="48">
        <v>833333.33333333337</v>
      </c>
      <c r="L198" s="48">
        <v>109166.66666666663</v>
      </c>
      <c r="M198" s="48">
        <v>833333.33333333337</v>
      </c>
      <c r="N198" s="48">
        <v>109166.66666666663</v>
      </c>
      <c r="O198" s="48">
        <v>833333.33333333337</v>
      </c>
      <c r="P198" s="48">
        <v>109166.66666666663</v>
      </c>
      <c r="Q198" s="48">
        <v>833333.33333333337</v>
      </c>
      <c r="R198" s="48">
        <v>109166.66666666663</v>
      </c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54">
        <f t="shared" si="14"/>
        <v>2.3283064365386963E-10</v>
      </c>
      <c r="AD198" s="54">
        <f t="shared" si="14"/>
        <v>2.3283064365386963E-10</v>
      </c>
      <c r="AE198" s="2">
        <f t="shared" si="15"/>
        <v>764166.6666666664</v>
      </c>
    </row>
    <row r="199" spans="1:31" x14ac:dyDescent="0.2">
      <c r="A199" s="4">
        <v>34000379</v>
      </c>
      <c r="B199" s="5" t="s">
        <v>484</v>
      </c>
      <c r="C199" s="52">
        <v>5833333.333333334</v>
      </c>
      <c r="D199" s="52">
        <v>764166.66666666663</v>
      </c>
      <c r="E199" s="48">
        <v>833333.33333333337</v>
      </c>
      <c r="F199" s="48">
        <v>109166.66666666663</v>
      </c>
      <c r="G199" s="48">
        <v>833333.33333333337</v>
      </c>
      <c r="H199" s="48">
        <v>109166.66666666663</v>
      </c>
      <c r="I199" s="48">
        <v>833333.33333333337</v>
      </c>
      <c r="J199" s="48">
        <v>109166.66666666663</v>
      </c>
      <c r="K199" s="48"/>
      <c r="L199" s="48"/>
      <c r="M199" s="48"/>
      <c r="N199" s="48"/>
      <c r="O199" s="48"/>
      <c r="P199" s="48"/>
      <c r="Q199" s="132">
        <v>3333333.333333334</v>
      </c>
      <c r="R199" s="132">
        <v>436666.66666666674</v>
      </c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54">
        <f t="shared" si="14"/>
        <v>0</v>
      </c>
      <c r="AD199" s="54">
        <f t="shared" si="14"/>
        <v>0</v>
      </c>
      <c r="AE199" s="2">
        <f t="shared" si="15"/>
        <v>764166.66666666663</v>
      </c>
    </row>
    <row r="200" spans="1:31" x14ac:dyDescent="0.2">
      <c r="A200" s="4">
        <v>34000118</v>
      </c>
      <c r="B200" s="5" t="s">
        <v>476</v>
      </c>
      <c r="C200" s="52">
        <v>3000000</v>
      </c>
      <c r="D200" s="52">
        <v>300000</v>
      </c>
      <c r="E200" s="48">
        <v>600000</v>
      </c>
      <c r="F200" s="48">
        <v>60000</v>
      </c>
      <c r="G200" s="48">
        <v>600000</v>
      </c>
      <c r="H200" s="48">
        <v>60000</v>
      </c>
      <c r="I200" s="48">
        <v>600000</v>
      </c>
      <c r="J200" s="48">
        <v>60000</v>
      </c>
      <c r="K200" s="48">
        <v>600000</v>
      </c>
      <c r="L200" s="48">
        <v>60000</v>
      </c>
      <c r="M200" s="48">
        <v>600000</v>
      </c>
      <c r="N200" s="48">
        <v>60000</v>
      </c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54">
        <f t="shared" si="14"/>
        <v>0</v>
      </c>
      <c r="AD200" s="54">
        <f t="shared" si="14"/>
        <v>0</v>
      </c>
      <c r="AE200" s="2">
        <f t="shared" si="15"/>
        <v>300000</v>
      </c>
    </row>
    <row r="201" spans="1:31" x14ac:dyDescent="0.2">
      <c r="A201" s="4">
        <v>34000320</v>
      </c>
      <c r="B201" s="5" t="s">
        <v>168</v>
      </c>
      <c r="C201" s="52">
        <v>1450000</v>
      </c>
      <c r="D201" s="52">
        <v>145000</v>
      </c>
      <c r="E201" s="48">
        <v>290000</v>
      </c>
      <c r="F201" s="48">
        <v>29000</v>
      </c>
      <c r="G201" s="48">
        <v>290000</v>
      </c>
      <c r="H201" s="48">
        <v>29000</v>
      </c>
      <c r="I201" s="48">
        <v>290000</v>
      </c>
      <c r="J201" s="48">
        <v>29000</v>
      </c>
      <c r="K201" s="48">
        <v>290000</v>
      </c>
      <c r="L201" s="48">
        <v>29000</v>
      </c>
      <c r="M201" s="48">
        <v>290000</v>
      </c>
      <c r="N201" s="48">
        <v>29000</v>
      </c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54">
        <f t="shared" si="14"/>
        <v>0</v>
      </c>
      <c r="AD201" s="54">
        <f t="shared" si="14"/>
        <v>0</v>
      </c>
      <c r="AE201" s="2">
        <f t="shared" si="15"/>
        <v>145000</v>
      </c>
    </row>
    <row r="202" spans="1:31" x14ac:dyDescent="0.2">
      <c r="A202" s="4">
        <v>34000478</v>
      </c>
      <c r="B202" s="5" t="s">
        <v>361</v>
      </c>
      <c r="C202" s="52">
        <v>1500000</v>
      </c>
      <c r="D202" s="52">
        <v>150000</v>
      </c>
      <c r="E202" s="48">
        <v>300000</v>
      </c>
      <c r="F202" s="48">
        <v>30000</v>
      </c>
      <c r="G202" s="48">
        <v>300000</v>
      </c>
      <c r="H202" s="48">
        <v>30000</v>
      </c>
      <c r="I202" s="48">
        <v>300000</v>
      </c>
      <c r="J202" s="48">
        <v>30000</v>
      </c>
      <c r="K202" s="48">
        <v>300000</v>
      </c>
      <c r="L202" s="48">
        <v>30000</v>
      </c>
      <c r="M202" s="48">
        <v>300000</v>
      </c>
      <c r="N202" s="48">
        <v>30000</v>
      </c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54">
        <f t="shared" si="14"/>
        <v>0</v>
      </c>
      <c r="AD202" s="54">
        <f t="shared" si="14"/>
        <v>0</v>
      </c>
      <c r="AE202" s="2">
        <f t="shared" si="15"/>
        <v>150000</v>
      </c>
    </row>
    <row r="203" spans="1:31" x14ac:dyDescent="0.2">
      <c r="A203" s="4">
        <v>34000394</v>
      </c>
      <c r="B203" s="5" t="s">
        <v>535</v>
      </c>
      <c r="C203" s="52">
        <v>6666666.666666667</v>
      </c>
      <c r="D203" s="52">
        <v>873333.33333333326</v>
      </c>
      <c r="E203" s="48">
        <v>833333.33333333337</v>
      </c>
      <c r="F203" s="48">
        <v>109166.66666666663</v>
      </c>
      <c r="G203" s="48">
        <v>833333.33333333337</v>
      </c>
      <c r="H203" s="48">
        <v>109166.66666666663</v>
      </c>
      <c r="I203" s="48">
        <v>833333.33333333337</v>
      </c>
      <c r="J203" s="48">
        <v>109166.66666666663</v>
      </c>
      <c r="K203" s="48">
        <v>833333.33333333337</v>
      </c>
      <c r="L203" s="48">
        <v>109166.66666666663</v>
      </c>
      <c r="M203" s="48">
        <v>833333.33333333337</v>
      </c>
      <c r="N203" s="48">
        <v>109166.66666666663</v>
      </c>
      <c r="O203" s="48">
        <v>833333.33333333337</v>
      </c>
      <c r="P203" s="48">
        <v>109166.66666666663</v>
      </c>
      <c r="Q203" s="132">
        <v>1666666.666666667</v>
      </c>
      <c r="R203" s="132">
        <v>218333.33333333349</v>
      </c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54">
        <f t="shared" si="14"/>
        <v>0</v>
      </c>
      <c r="AD203" s="54">
        <f t="shared" si="14"/>
        <v>0</v>
      </c>
      <c r="AE203" s="2">
        <f t="shared" si="15"/>
        <v>873333.33333333326</v>
      </c>
    </row>
    <row r="204" spans="1:31" x14ac:dyDescent="0.2">
      <c r="A204" s="4">
        <v>34000229</v>
      </c>
      <c r="B204" s="5" t="s">
        <v>439</v>
      </c>
      <c r="C204" s="52">
        <v>4375000</v>
      </c>
      <c r="D204" s="52">
        <v>437500</v>
      </c>
      <c r="E204" s="48">
        <v>625000</v>
      </c>
      <c r="F204" s="48">
        <v>62500</v>
      </c>
      <c r="G204" s="48">
        <v>625000</v>
      </c>
      <c r="H204" s="48">
        <v>62500</v>
      </c>
      <c r="I204" s="48">
        <v>625000</v>
      </c>
      <c r="J204" s="48">
        <v>62500</v>
      </c>
      <c r="K204" s="48">
        <v>625000</v>
      </c>
      <c r="L204" s="48">
        <v>62500</v>
      </c>
      <c r="M204" s="48">
        <v>625000</v>
      </c>
      <c r="N204" s="48">
        <v>62500</v>
      </c>
      <c r="O204" s="48">
        <v>625000</v>
      </c>
      <c r="P204" s="48">
        <v>62500</v>
      </c>
      <c r="Q204" s="48">
        <v>625000</v>
      </c>
      <c r="R204" s="48">
        <v>62500</v>
      </c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54">
        <f t="shared" si="14"/>
        <v>0</v>
      </c>
      <c r="AD204" s="54">
        <f t="shared" si="14"/>
        <v>0</v>
      </c>
      <c r="AE204" s="2">
        <f t="shared" si="15"/>
        <v>437500</v>
      </c>
    </row>
    <row r="205" spans="1:31" x14ac:dyDescent="0.2">
      <c r="A205" s="4">
        <v>34000012</v>
      </c>
      <c r="B205" s="5" t="s">
        <v>353</v>
      </c>
      <c r="C205" s="52">
        <v>3208333.3333333335</v>
      </c>
      <c r="D205" s="52">
        <v>326666.66666666657</v>
      </c>
      <c r="E205" s="48">
        <v>458333.33333333331</v>
      </c>
      <c r="F205" s="48">
        <v>46666.666666666686</v>
      </c>
      <c r="G205" s="48">
        <v>458333.33333333331</v>
      </c>
      <c r="H205" s="48">
        <v>46666.666666666686</v>
      </c>
      <c r="I205" s="48">
        <v>458333.33333333331</v>
      </c>
      <c r="J205" s="48">
        <v>46666.666666666686</v>
      </c>
      <c r="K205" s="48">
        <v>458333.33333333331</v>
      </c>
      <c r="L205" s="48">
        <v>46666.666666666686</v>
      </c>
      <c r="M205" s="48">
        <v>458333.33333333331</v>
      </c>
      <c r="N205" s="48">
        <v>46666.666666666686</v>
      </c>
      <c r="O205" s="48">
        <v>458333.33333333331</v>
      </c>
      <c r="P205" s="48">
        <v>46666.666666666686</v>
      </c>
      <c r="Q205" s="48">
        <v>458333.33333333331</v>
      </c>
      <c r="R205" s="48">
        <v>46666.666666666686</v>
      </c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54">
        <f t="shared" si="14"/>
        <v>1.1641532182693481E-10</v>
      </c>
      <c r="AD205" s="54">
        <f t="shared" si="14"/>
        <v>-2.3283064365386963E-10</v>
      </c>
      <c r="AE205" s="2">
        <f t="shared" si="15"/>
        <v>326666.6666666668</v>
      </c>
    </row>
    <row r="206" spans="1:31" x14ac:dyDescent="0.2">
      <c r="A206" s="4">
        <v>34000405</v>
      </c>
      <c r="B206" s="5" t="s">
        <v>178</v>
      </c>
      <c r="C206" s="52">
        <v>2000000</v>
      </c>
      <c r="D206" s="52">
        <v>200000</v>
      </c>
      <c r="E206" s="48">
        <v>250000</v>
      </c>
      <c r="F206" s="48">
        <v>25000</v>
      </c>
      <c r="G206" s="132">
        <v>1750000</v>
      </c>
      <c r="H206" s="132">
        <v>175000</v>
      </c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54">
        <f t="shared" si="14"/>
        <v>0</v>
      </c>
      <c r="AD206" s="54">
        <f t="shared" si="14"/>
        <v>0</v>
      </c>
      <c r="AE206" s="2">
        <f t="shared" si="15"/>
        <v>200000</v>
      </c>
    </row>
    <row r="207" spans="1:31" x14ac:dyDescent="0.2">
      <c r="A207" s="4">
        <v>34000277</v>
      </c>
      <c r="B207" s="5" t="s">
        <v>238</v>
      </c>
      <c r="C207" s="52">
        <v>3000000</v>
      </c>
      <c r="D207" s="52">
        <v>240000</v>
      </c>
      <c r="E207" s="48">
        <v>500000</v>
      </c>
      <c r="F207" s="48">
        <v>40000</v>
      </c>
      <c r="G207" s="132">
        <v>2500000</v>
      </c>
      <c r="H207" s="132">
        <v>200000</v>
      </c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54">
        <f t="shared" si="14"/>
        <v>0</v>
      </c>
      <c r="AD207" s="54">
        <f t="shared" si="14"/>
        <v>0</v>
      </c>
      <c r="AE207" s="2">
        <f t="shared" si="15"/>
        <v>240000</v>
      </c>
    </row>
    <row r="208" spans="1:31" x14ac:dyDescent="0.2">
      <c r="A208" s="4">
        <v>34000594</v>
      </c>
      <c r="B208" s="5" t="s">
        <v>601</v>
      </c>
      <c r="C208" s="52">
        <v>3333333.3333333335</v>
      </c>
      <c r="D208" s="52">
        <v>446666.66666666663</v>
      </c>
      <c r="E208" s="48">
        <v>416666.66666666669</v>
      </c>
      <c r="F208" s="48">
        <v>55833.333333333314</v>
      </c>
      <c r="G208" s="48">
        <v>416666.66666666669</v>
      </c>
      <c r="H208" s="48">
        <v>55833.333333333314</v>
      </c>
      <c r="I208" s="48">
        <v>416666.66666666669</v>
      </c>
      <c r="J208" s="48">
        <v>55833.333333333314</v>
      </c>
      <c r="K208" s="48">
        <v>416666.66666666669</v>
      </c>
      <c r="L208" s="48">
        <v>55833.333333333314</v>
      </c>
      <c r="M208" s="48">
        <v>416666.66666666669</v>
      </c>
      <c r="N208" s="48">
        <v>55833.333333333314</v>
      </c>
      <c r="O208" s="48">
        <v>416666.66666666669</v>
      </c>
      <c r="P208" s="48">
        <v>55833.333333333314</v>
      </c>
      <c r="Q208" s="48">
        <v>416666.66666666669</v>
      </c>
      <c r="R208" s="48">
        <v>55833.333333333314</v>
      </c>
      <c r="S208" s="48">
        <v>416666.66666666669</v>
      </c>
      <c r="T208" s="48">
        <v>55833.333333333314</v>
      </c>
      <c r="U208" s="48"/>
      <c r="V208" s="48"/>
      <c r="W208" s="48"/>
      <c r="X208" s="48"/>
      <c r="Y208" s="48"/>
      <c r="Z208" s="48"/>
      <c r="AA208" s="48"/>
      <c r="AB208" s="48"/>
      <c r="AC208" s="54">
        <f t="shared" si="14"/>
        <v>1.1641532182693481E-10</v>
      </c>
      <c r="AD208" s="54">
        <f t="shared" si="14"/>
        <v>1.1641532182693481E-10</v>
      </c>
      <c r="AE208" s="2">
        <f t="shared" si="15"/>
        <v>446666.66666666651</v>
      </c>
    </row>
    <row r="209" spans="1:31" x14ac:dyDescent="0.2">
      <c r="A209" s="4">
        <v>34000565</v>
      </c>
      <c r="B209" s="5" t="s">
        <v>490</v>
      </c>
      <c r="C209" s="52">
        <v>3333333.3333333335</v>
      </c>
      <c r="D209" s="52">
        <v>446666.66666666663</v>
      </c>
      <c r="E209" s="48">
        <v>416666.66666666669</v>
      </c>
      <c r="F209" s="48">
        <v>55833.333333333314</v>
      </c>
      <c r="G209" s="48">
        <v>416666.66666666669</v>
      </c>
      <c r="H209" s="48">
        <v>55833.333333333314</v>
      </c>
      <c r="I209" s="48">
        <v>416666.66666666669</v>
      </c>
      <c r="J209" s="48">
        <v>55833.333333333314</v>
      </c>
      <c r="K209" s="48">
        <v>416666.66666666669</v>
      </c>
      <c r="L209" s="48">
        <v>55833.333333333314</v>
      </c>
      <c r="M209" s="48">
        <v>416666.66666666669</v>
      </c>
      <c r="N209" s="48">
        <v>55833.333333333314</v>
      </c>
      <c r="O209" s="48">
        <v>416666.66666666669</v>
      </c>
      <c r="P209" s="48">
        <v>55833.333333333314</v>
      </c>
      <c r="Q209" s="48">
        <v>416666.66666666669</v>
      </c>
      <c r="R209" s="48">
        <v>55833.333333333314</v>
      </c>
      <c r="S209" s="48">
        <v>416666.66666666669</v>
      </c>
      <c r="T209" s="48">
        <v>55833.333333333314</v>
      </c>
      <c r="U209" s="48"/>
      <c r="V209" s="48"/>
      <c r="W209" s="48"/>
      <c r="X209" s="48"/>
      <c r="Y209" s="48"/>
      <c r="Z209" s="48"/>
      <c r="AA209" s="48"/>
      <c r="AB209" s="48"/>
      <c r="AC209" s="54">
        <f t="shared" si="14"/>
        <v>1.1641532182693481E-10</v>
      </c>
      <c r="AD209" s="54">
        <f t="shared" si="14"/>
        <v>1.1641532182693481E-10</v>
      </c>
      <c r="AE209" s="2">
        <f t="shared" si="15"/>
        <v>446666.66666666651</v>
      </c>
    </row>
    <row r="210" spans="1:31" x14ac:dyDescent="0.2">
      <c r="A210" s="4">
        <v>34000259</v>
      </c>
      <c r="B210" s="5" t="s">
        <v>480</v>
      </c>
      <c r="C210" s="52">
        <v>3271200</v>
      </c>
      <c r="D210" s="52">
        <v>328800</v>
      </c>
      <c r="E210" s="48">
        <v>545200</v>
      </c>
      <c r="F210" s="48">
        <v>54800</v>
      </c>
      <c r="G210" s="48">
        <v>545200</v>
      </c>
      <c r="H210" s="48">
        <v>54800</v>
      </c>
      <c r="I210" s="48">
        <v>545200</v>
      </c>
      <c r="J210" s="48">
        <v>54800</v>
      </c>
      <c r="K210" s="48">
        <v>545200</v>
      </c>
      <c r="L210" s="48">
        <v>54800</v>
      </c>
      <c r="M210" s="48">
        <v>545200</v>
      </c>
      <c r="N210" s="48">
        <v>54800</v>
      </c>
      <c r="O210" s="48">
        <v>545200</v>
      </c>
      <c r="P210" s="48">
        <v>54800</v>
      </c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54">
        <f t="shared" si="14"/>
        <v>0</v>
      </c>
      <c r="AD210" s="54">
        <f t="shared" si="14"/>
        <v>0</v>
      </c>
      <c r="AE210" s="2">
        <f t="shared" si="15"/>
        <v>328800</v>
      </c>
    </row>
    <row r="211" spans="1:31" x14ac:dyDescent="0.2">
      <c r="A211" s="4">
        <v>34000393</v>
      </c>
      <c r="B211" s="5" t="s">
        <v>407</v>
      </c>
      <c r="C211" s="52">
        <v>2666666.666666666</v>
      </c>
      <c r="D211" s="52">
        <v>253333.33333333328</v>
      </c>
      <c r="E211" s="48">
        <v>333333.33333333331</v>
      </c>
      <c r="F211" s="48">
        <v>31666.666666666686</v>
      </c>
      <c r="G211" s="48">
        <v>333333.33333333331</v>
      </c>
      <c r="H211" s="48">
        <v>31666.666666666686</v>
      </c>
      <c r="I211" s="48">
        <v>333333.33333333331</v>
      </c>
      <c r="J211" s="48">
        <v>31666.666666666686</v>
      </c>
      <c r="K211" s="48">
        <v>333333.33333333331</v>
      </c>
      <c r="L211" s="48">
        <v>31666.666666666686</v>
      </c>
      <c r="M211" s="48">
        <v>333333.33333333331</v>
      </c>
      <c r="N211" s="48">
        <v>31666.666666666686</v>
      </c>
      <c r="O211" s="48">
        <v>333333.33333333331</v>
      </c>
      <c r="P211" s="48">
        <v>31666.666666666686</v>
      </c>
      <c r="Q211" s="48">
        <v>333333.33333333331</v>
      </c>
      <c r="R211" s="48">
        <v>31666.666666666686</v>
      </c>
      <c r="S211" s="48">
        <v>333333.33333333331</v>
      </c>
      <c r="T211" s="48">
        <v>31666.666666666686</v>
      </c>
      <c r="U211" s="48"/>
      <c r="V211" s="48"/>
      <c r="W211" s="48"/>
      <c r="X211" s="48"/>
      <c r="Y211" s="48"/>
      <c r="Z211" s="48"/>
      <c r="AA211" s="48"/>
      <c r="AB211" s="48"/>
      <c r="AC211" s="54">
        <f t="shared" si="14"/>
        <v>-3.4924596548080444E-10</v>
      </c>
      <c r="AD211" s="54">
        <f t="shared" si="14"/>
        <v>-2.0372681319713593E-10</v>
      </c>
      <c r="AE211" s="2">
        <f t="shared" si="15"/>
        <v>253333.33333333349</v>
      </c>
    </row>
    <row r="212" spans="1:31" x14ac:dyDescent="0.2">
      <c r="A212" s="4">
        <v>34000379</v>
      </c>
      <c r="B212" s="5" t="s">
        <v>484</v>
      </c>
      <c r="C212" s="52">
        <v>5250000.0000000009</v>
      </c>
      <c r="D212" s="52">
        <v>528000.00000000012</v>
      </c>
      <c r="E212" s="48">
        <v>583333.33333333337</v>
      </c>
      <c r="F212" s="48">
        <v>58666.666666666628</v>
      </c>
      <c r="G212" s="48">
        <v>583333.33333333337</v>
      </c>
      <c r="H212" s="48">
        <v>58666.666666666628</v>
      </c>
      <c r="I212" s="48">
        <v>583333.33333333337</v>
      </c>
      <c r="J212" s="48">
        <v>58666.666666666628</v>
      </c>
      <c r="K212" s="48">
        <v>583333.33333333337</v>
      </c>
      <c r="L212" s="48">
        <v>58666.666666666628</v>
      </c>
      <c r="M212" s="48">
        <v>583333.33333333337</v>
      </c>
      <c r="N212" s="48">
        <v>58666.666666666628</v>
      </c>
      <c r="O212" s="48">
        <v>583333.33333333337</v>
      </c>
      <c r="P212" s="48">
        <v>58666.666666666628</v>
      </c>
      <c r="Q212" s="132">
        <v>1750000.0000000005</v>
      </c>
      <c r="R212" s="132">
        <v>176000.00000000035</v>
      </c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54">
        <f t="shared" si="14"/>
        <v>0</v>
      </c>
      <c r="AD212" s="54">
        <f t="shared" si="14"/>
        <v>0</v>
      </c>
      <c r="AE212" s="2">
        <f t="shared" si="15"/>
        <v>528000.00000000012</v>
      </c>
    </row>
    <row r="213" spans="1:31" x14ac:dyDescent="0.2">
      <c r="A213" s="4" t="s">
        <v>342</v>
      </c>
      <c r="B213" s="5" t="s">
        <v>343</v>
      </c>
      <c r="C213" s="52">
        <v>3750000</v>
      </c>
      <c r="D213" s="52">
        <v>502499.99999999994</v>
      </c>
      <c r="E213" s="48">
        <v>416666.66666666669</v>
      </c>
      <c r="F213" s="48">
        <v>55833.333333333314</v>
      </c>
      <c r="G213" s="48">
        <v>416666.66666666669</v>
      </c>
      <c r="H213" s="48">
        <v>55833.333333333314</v>
      </c>
      <c r="I213" s="48">
        <v>416666.66666666669</v>
      </c>
      <c r="J213" s="48">
        <v>55833.333333333314</v>
      </c>
      <c r="K213" s="48">
        <v>416666.66666666669</v>
      </c>
      <c r="L213" s="48">
        <v>55833.333333333314</v>
      </c>
      <c r="M213" s="48">
        <v>416666.66666666669</v>
      </c>
      <c r="N213" s="48">
        <v>55833.333333333314</v>
      </c>
      <c r="O213" s="48">
        <v>416666.66666666669</v>
      </c>
      <c r="P213" s="48">
        <v>55833.333333333314</v>
      </c>
      <c r="Q213" s="48">
        <v>416666.66666666669</v>
      </c>
      <c r="R213" s="48">
        <v>55833.333333333314</v>
      </c>
      <c r="S213" s="48">
        <v>416666.66666666669</v>
      </c>
      <c r="T213" s="48">
        <v>55833.333333333314</v>
      </c>
      <c r="U213" s="48">
        <v>416666.66666666669</v>
      </c>
      <c r="V213" s="48">
        <v>55833.333333333314</v>
      </c>
      <c r="W213" s="48"/>
      <c r="X213" s="48"/>
      <c r="Y213" s="48"/>
      <c r="Z213" s="48"/>
      <c r="AA213" s="48"/>
      <c r="AB213" s="48"/>
      <c r="AC213" s="54">
        <f t="shared" si="14"/>
        <v>1.1641532182693481E-10</v>
      </c>
      <c r="AD213" s="54">
        <f t="shared" si="14"/>
        <v>1.1641532182693481E-10</v>
      </c>
      <c r="AE213" s="2">
        <f t="shared" si="15"/>
        <v>502499.99999999983</v>
      </c>
    </row>
    <row r="214" spans="1:31" x14ac:dyDescent="0.2">
      <c r="A214" s="4">
        <v>34000490</v>
      </c>
      <c r="B214" s="5" t="s">
        <v>486</v>
      </c>
      <c r="C214" s="52">
        <v>7500000</v>
      </c>
      <c r="D214" s="52">
        <v>982499.99999999988</v>
      </c>
      <c r="E214" s="48">
        <v>833333.33333333337</v>
      </c>
      <c r="F214" s="175">
        <v>109166.66666666663</v>
      </c>
      <c r="G214" s="48">
        <v>833333.33333333337</v>
      </c>
      <c r="H214" s="175">
        <v>109166.66666666663</v>
      </c>
      <c r="I214" s="48">
        <v>833333.33333333337</v>
      </c>
      <c r="J214" s="175">
        <v>109166.66666666663</v>
      </c>
      <c r="K214" s="48">
        <v>833333.33333333337</v>
      </c>
      <c r="L214" s="175">
        <v>109166.66666666663</v>
      </c>
      <c r="M214" s="48">
        <v>833333.33333333337</v>
      </c>
      <c r="N214" s="175">
        <v>109166.66666666663</v>
      </c>
      <c r="O214" s="48">
        <v>833333.33333333337</v>
      </c>
      <c r="P214" s="175">
        <v>109166.66666666663</v>
      </c>
      <c r="Q214" s="48">
        <v>833333.33333333337</v>
      </c>
      <c r="R214" s="175">
        <v>109166.66666666663</v>
      </c>
      <c r="S214" s="48">
        <v>833333.33333333337</v>
      </c>
      <c r="T214" s="175">
        <v>109166.66666666663</v>
      </c>
      <c r="U214" s="48">
        <v>833333.33333333337</v>
      </c>
      <c r="V214" s="175">
        <v>109166.66666666663</v>
      </c>
      <c r="W214" s="48"/>
      <c r="X214" s="175"/>
      <c r="Y214" s="48"/>
      <c r="Z214" s="175"/>
      <c r="AA214" s="48"/>
      <c r="AB214" s="175"/>
      <c r="AC214" s="54">
        <f t="shared" si="14"/>
        <v>2.3283064365386963E-10</v>
      </c>
      <c r="AD214" s="54">
        <f t="shared" si="14"/>
        <v>2.3283064365386963E-10</v>
      </c>
      <c r="AE214" s="2">
        <f t="shared" si="15"/>
        <v>982499.99999999965</v>
      </c>
    </row>
    <row r="215" spans="1:31" x14ac:dyDescent="0.2">
      <c r="A215" s="4">
        <v>34000320</v>
      </c>
      <c r="B215" s="5" t="s">
        <v>168</v>
      </c>
      <c r="C215" s="52">
        <v>7500000</v>
      </c>
      <c r="D215" s="52">
        <v>982499.99999999988</v>
      </c>
      <c r="E215" s="48">
        <v>833333.33333333337</v>
      </c>
      <c r="F215" s="48">
        <v>109166.66666666663</v>
      </c>
      <c r="G215" s="48">
        <v>833333.33333333337</v>
      </c>
      <c r="H215" s="48">
        <v>109166.66666666663</v>
      </c>
      <c r="I215" s="48">
        <v>833333.33333333337</v>
      </c>
      <c r="J215" s="48">
        <v>109166.66666666663</v>
      </c>
      <c r="K215" s="48">
        <v>833333.33333333337</v>
      </c>
      <c r="L215" s="48">
        <v>109166.66666666663</v>
      </c>
      <c r="M215" s="48">
        <v>833333.33333333337</v>
      </c>
      <c r="N215" s="48">
        <v>109166.66666666663</v>
      </c>
      <c r="O215" s="48">
        <v>833333.33333333337</v>
      </c>
      <c r="P215" s="48">
        <v>109166.66666666663</v>
      </c>
      <c r="Q215" s="48">
        <v>833333.33333333337</v>
      </c>
      <c r="R215" s="48">
        <v>109166.66666666663</v>
      </c>
      <c r="S215" s="132">
        <v>1666666.666666667</v>
      </c>
      <c r="T215" s="132">
        <v>218333.33333333349</v>
      </c>
      <c r="U215" s="48"/>
      <c r="V215" s="48"/>
      <c r="W215" s="48"/>
      <c r="X215" s="48"/>
      <c r="Y215" s="48"/>
      <c r="Z215" s="48"/>
      <c r="AA215" s="48"/>
      <c r="AB215" s="48"/>
      <c r="AC215" s="54">
        <f t="shared" si="14"/>
        <v>0</v>
      </c>
      <c r="AD215" s="54">
        <f t="shared" si="14"/>
        <v>0</v>
      </c>
      <c r="AE215" s="2">
        <f t="shared" si="15"/>
        <v>982499.99999999988</v>
      </c>
    </row>
    <row r="216" spans="1:31" x14ac:dyDescent="0.2">
      <c r="A216" s="4">
        <v>34000728</v>
      </c>
      <c r="B216" s="5" t="s">
        <v>616</v>
      </c>
      <c r="C216" s="52">
        <v>8333333.333333333</v>
      </c>
      <c r="D216" s="52">
        <v>1091666.6666666665</v>
      </c>
      <c r="E216" s="48">
        <v>833333.33333333337</v>
      </c>
      <c r="F216" s="48">
        <v>109166.66666666663</v>
      </c>
      <c r="G216" s="48">
        <v>833333.33333333337</v>
      </c>
      <c r="H216" s="48">
        <v>109166.66666666663</v>
      </c>
      <c r="I216" s="48">
        <v>833333.33333333337</v>
      </c>
      <c r="J216" s="48">
        <v>109166.66666666663</v>
      </c>
      <c r="K216" s="48">
        <v>833333.33333333337</v>
      </c>
      <c r="L216" s="48">
        <v>109166.66666666663</v>
      </c>
      <c r="M216" s="48">
        <v>833333.33333333337</v>
      </c>
      <c r="N216" s="48">
        <v>109166.66666666663</v>
      </c>
      <c r="O216" s="48">
        <v>833333.33333333337</v>
      </c>
      <c r="P216" s="48">
        <v>109166.66666666663</v>
      </c>
      <c r="Q216" s="48">
        <v>833333.33333333337</v>
      </c>
      <c r="R216" s="48">
        <v>109166.66666666663</v>
      </c>
      <c r="S216" s="48">
        <v>833333.33333333337</v>
      </c>
      <c r="T216" s="48">
        <v>109166.66666666663</v>
      </c>
      <c r="U216" s="48">
        <v>833333.33333333337</v>
      </c>
      <c r="V216" s="48">
        <v>109166.66666666663</v>
      </c>
      <c r="W216" s="48">
        <v>833333.33333333337</v>
      </c>
      <c r="X216" s="48">
        <v>109166.66666666663</v>
      </c>
      <c r="Y216" s="48"/>
      <c r="Z216" s="48"/>
      <c r="AA216" s="48"/>
      <c r="AB216" s="48"/>
      <c r="AC216" s="54">
        <f t="shared" si="14"/>
        <v>2.3283064365386963E-10</v>
      </c>
      <c r="AD216" s="54">
        <f t="shared" si="14"/>
        <v>2.3283064365386963E-10</v>
      </c>
      <c r="AE216" s="2">
        <f t="shared" si="15"/>
        <v>1091666.6666666663</v>
      </c>
    </row>
    <row r="217" spans="1:31" x14ac:dyDescent="0.2">
      <c r="A217" s="4">
        <v>34000388</v>
      </c>
      <c r="B217" s="5" t="s">
        <v>538</v>
      </c>
      <c r="C217" s="52">
        <v>8333333.333333333</v>
      </c>
      <c r="D217" s="52">
        <v>1091666.6666666665</v>
      </c>
      <c r="E217" s="48">
        <v>833333.33333333337</v>
      </c>
      <c r="F217" s="48">
        <v>109166.66666666663</v>
      </c>
      <c r="G217" s="48">
        <v>833333.33333333337</v>
      </c>
      <c r="H217" s="48">
        <v>109166.66666666663</v>
      </c>
      <c r="I217" s="48">
        <v>833333.33333333337</v>
      </c>
      <c r="J217" s="48">
        <v>109166.66666666663</v>
      </c>
      <c r="K217" s="48">
        <v>833333.33333333337</v>
      </c>
      <c r="L217" s="48">
        <v>109166.66666666663</v>
      </c>
      <c r="M217" s="48">
        <v>833333.33333333337</v>
      </c>
      <c r="N217" s="48">
        <v>109166.66666666663</v>
      </c>
      <c r="O217" s="48">
        <v>833333.33333333337</v>
      </c>
      <c r="P217" s="48">
        <v>109166.66666666663</v>
      </c>
      <c r="Q217" s="48">
        <v>833333.33333333337</v>
      </c>
      <c r="R217" s="48">
        <v>109166.66666666663</v>
      </c>
      <c r="S217" s="48">
        <v>833333.33333333337</v>
      </c>
      <c r="T217" s="48">
        <v>109166.66666666663</v>
      </c>
      <c r="U217" s="48">
        <v>833333.33333333337</v>
      </c>
      <c r="V217" s="48">
        <v>109166.66666666663</v>
      </c>
      <c r="W217" s="48">
        <v>833333.33333333337</v>
      </c>
      <c r="X217" s="48">
        <v>109166.66666666663</v>
      </c>
      <c r="Y217" s="48"/>
      <c r="Z217" s="48"/>
      <c r="AA217" s="48"/>
      <c r="AB217" s="48"/>
      <c r="AC217" s="54">
        <f t="shared" si="14"/>
        <v>2.3283064365386963E-10</v>
      </c>
      <c r="AD217" s="54">
        <f t="shared" si="14"/>
        <v>2.3283064365386963E-10</v>
      </c>
      <c r="AE217" s="2">
        <f t="shared" si="15"/>
        <v>1091666.6666666663</v>
      </c>
    </row>
    <row r="218" spans="1:31" x14ac:dyDescent="0.2">
      <c r="A218" s="4">
        <v>34000118</v>
      </c>
      <c r="B218" s="5" t="s">
        <v>476</v>
      </c>
      <c r="C218" s="52">
        <v>3000000</v>
      </c>
      <c r="D218" s="52">
        <v>300000</v>
      </c>
      <c r="E218" s="48">
        <v>750000</v>
      </c>
      <c r="F218" s="48">
        <v>75000</v>
      </c>
      <c r="G218" s="48">
        <v>750000</v>
      </c>
      <c r="H218" s="48">
        <v>75000</v>
      </c>
      <c r="I218" s="48">
        <v>750000</v>
      </c>
      <c r="J218" s="48">
        <v>75000</v>
      </c>
      <c r="K218" s="48">
        <v>750000</v>
      </c>
      <c r="L218" s="48">
        <v>75000</v>
      </c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54">
        <f t="shared" si="14"/>
        <v>0</v>
      </c>
      <c r="AD218" s="54">
        <f t="shared" si="14"/>
        <v>0</v>
      </c>
      <c r="AE218" s="2">
        <f t="shared" si="15"/>
        <v>300000</v>
      </c>
    </row>
    <row r="219" spans="1:31" x14ac:dyDescent="0.2">
      <c r="A219" s="4">
        <v>34000631</v>
      </c>
      <c r="B219" s="5" t="s">
        <v>247</v>
      </c>
      <c r="C219" s="52">
        <v>1665454.5454545454</v>
      </c>
      <c r="D219" s="52">
        <v>166545.45454545453</v>
      </c>
      <c r="E219" s="48">
        <v>334545.45454545453</v>
      </c>
      <c r="F219" s="48">
        <v>33454.54545454547</v>
      </c>
      <c r="G219" s="48">
        <v>334545.45454545453</v>
      </c>
      <c r="H219" s="48">
        <v>33454.54545454547</v>
      </c>
      <c r="I219" s="48">
        <v>334545.45454545453</v>
      </c>
      <c r="J219" s="48">
        <v>33454.54545454547</v>
      </c>
      <c r="K219" s="48">
        <v>334545.45454545453</v>
      </c>
      <c r="L219" s="48">
        <v>33454.54545454547</v>
      </c>
      <c r="M219" s="48">
        <v>334545.45454545453</v>
      </c>
      <c r="N219" s="48">
        <v>33454.54545454547</v>
      </c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54">
        <f t="shared" si="14"/>
        <v>-7272.7272727274103</v>
      </c>
      <c r="AD219" s="54">
        <f t="shared" si="14"/>
        <v>-727.27272727282252</v>
      </c>
      <c r="AE219" s="2">
        <f t="shared" si="15"/>
        <v>167272.72727272735</v>
      </c>
    </row>
    <row r="220" spans="1:31" x14ac:dyDescent="0.2">
      <c r="A220" s="4">
        <v>34000344</v>
      </c>
      <c r="B220" s="5" t="s">
        <v>399</v>
      </c>
      <c r="C220" s="52">
        <v>2000000</v>
      </c>
      <c r="D220" s="52">
        <v>200000</v>
      </c>
      <c r="E220" s="48">
        <v>500000</v>
      </c>
      <c r="F220" s="48">
        <v>50000</v>
      </c>
      <c r="G220" s="48">
        <v>500000</v>
      </c>
      <c r="H220" s="48">
        <v>50000</v>
      </c>
      <c r="I220" s="48">
        <v>500000</v>
      </c>
      <c r="J220" s="48">
        <v>50000</v>
      </c>
      <c r="K220" s="48">
        <v>500000</v>
      </c>
      <c r="L220" s="48">
        <v>50000</v>
      </c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54">
        <f t="shared" si="14"/>
        <v>0</v>
      </c>
      <c r="AD220" s="54">
        <f t="shared" si="14"/>
        <v>0</v>
      </c>
      <c r="AE220" s="2">
        <f t="shared" si="15"/>
        <v>200000</v>
      </c>
    </row>
    <row r="221" spans="1:31" x14ac:dyDescent="0.2">
      <c r="A221" s="4">
        <v>34000012</v>
      </c>
      <c r="B221" s="5" t="s">
        <v>353</v>
      </c>
      <c r="C221" s="52">
        <v>1166666.6666666665</v>
      </c>
      <c r="D221" s="52">
        <v>128333.33333333333</v>
      </c>
      <c r="E221" s="48">
        <v>166666.66666666666</v>
      </c>
      <c r="F221" s="48">
        <v>18333.333333333343</v>
      </c>
      <c r="G221" s="48">
        <v>166666.66666666666</v>
      </c>
      <c r="H221" s="48">
        <v>18333.333333333343</v>
      </c>
      <c r="I221" s="48">
        <v>166666.66666666666</v>
      </c>
      <c r="J221" s="48">
        <v>18333.333333333343</v>
      </c>
      <c r="K221" s="48">
        <v>166666.66666666666</v>
      </c>
      <c r="L221" s="48">
        <v>18333.333333333343</v>
      </c>
      <c r="M221" s="48">
        <v>166666.66666666666</v>
      </c>
      <c r="N221" s="48">
        <v>18333.333333333343</v>
      </c>
      <c r="O221" s="48">
        <v>166666.66666666666</v>
      </c>
      <c r="P221" s="48">
        <v>18333.333333333343</v>
      </c>
      <c r="Q221" s="48">
        <v>166666.66666666666</v>
      </c>
      <c r="R221" s="48">
        <v>18333.333333333343</v>
      </c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54">
        <f t="shared" si="14"/>
        <v>5.8207660913467407E-11</v>
      </c>
      <c r="AD221" s="54">
        <f t="shared" si="14"/>
        <v>-7.2759576141834259E-11</v>
      </c>
      <c r="AE221" s="2">
        <f t="shared" si="15"/>
        <v>128333.3333333334</v>
      </c>
    </row>
    <row r="222" spans="1:31" x14ac:dyDescent="0.2">
      <c r="A222" s="4">
        <v>34000362</v>
      </c>
      <c r="B222" s="5" t="s">
        <v>379</v>
      </c>
      <c r="C222" s="52">
        <v>4583333.333333333</v>
      </c>
      <c r="D222" s="52">
        <v>614166.66666666663</v>
      </c>
      <c r="E222" s="48">
        <v>416666.66666666669</v>
      </c>
      <c r="F222" s="48">
        <v>55833.333333333314</v>
      </c>
      <c r="G222" s="48">
        <v>416666.66666666669</v>
      </c>
      <c r="H222" s="48">
        <v>55833.333333333314</v>
      </c>
      <c r="I222" s="136">
        <v>416666.66666666669</v>
      </c>
      <c r="J222" s="136">
        <v>55833.333333333314</v>
      </c>
      <c r="K222" s="48">
        <v>416666.66666666669</v>
      </c>
      <c r="L222" s="48">
        <v>55833.333333333314</v>
      </c>
      <c r="M222" s="48">
        <v>416666.66666666669</v>
      </c>
      <c r="N222" s="48">
        <v>55833.333333333314</v>
      </c>
      <c r="O222" s="48">
        <v>416666.66666666669</v>
      </c>
      <c r="P222" s="48">
        <v>55833.333333333314</v>
      </c>
      <c r="Q222" s="48">
        <v>416666.66666666669</v>
      </c>
      <c r="R222" s="48">
        <v>55833.333333333314</v>
      </c>
      <c r="S222" s="48">
        <v>416666.66666666669</v>
      </c>
      <c r="T222" s="48">
        <v>55833.333333333314</v>
      </c>
      <c r="U222" s="48">
        <v>416666.66666666669</v>
      </c>
      <c r="V222" s="48">
        <v>55833.333333333314</v>
      </c>
      <c r="W222" s="48">
        <v>416666.66666666669</v>
      </c>
      <c r="X222" s="48">
        <v>55833.333333333314</v>
      </c>
      <c r="Y222" s="48">
        <v>416666.66666666669</v>
      </c>
      <c r="Z222" s="48">
        <v>55833.333333333314</v>
      </c>
      <c r="AA222" s="48"/>
      <c r="AB222" s="48"/>
      <c r="AC222" s="54">
        <f t="shared" si="14"/>
        <v>1.1641532182693481E-10</v>
      </c>
      <c r="AD222" s="54">
        <f t="shared" si="14"/>
        <v>1.1641532182693481E-10</v>
      </c>
      <c r="AE222" s="2">
        <f t="shared" si="15"/>
        <v>614166.66666666651</v>
      </c>
    </row>
    <row r="223" spans="1:31" x14ac:dyDescent="0.2">
      <c r="A223" s="4">
        <v>34000125</v>
      </c>
      <c r="B223" s="5" t="s">
        <v>603</v>
      </c>
      <c r="C223" s="52">
        <v>9166666.666666666</v>
      </c>
      <c r="D223" s="52">
        <v>1200833.3333333333</v>
      </c>
      <c r="E223" s="48">
        <v>833333.33333333337</v>
      </c>
      <c r="F223" s="48">
        <v>109166.66666666663</v>
      </c>
      <c r="G223" s="48">
        <v>833333.33333333337</v>
      </c>
      <c r="H223" s="48">
        <v>109166.66666666663</v>
      </c>
      <c r="I223" s="136">
        <v>833333.33333333337</v>
      </c>
      <c r="J223" s="136">
        <v>109166.66666666663</v>
      </c>
      <c r="K223" s="48">
        <v>833333.33333333337</v>
      </c>
      <c r="L223" s="48">
        <v>109166.66666666663</v>
      </c>
      <c r="M223" s="48">
        <v>833333.33333333337</v>
      </c>
      <c r="N223" s="48">
        <v>109166.66666666663</v>
      </c>
      <c r="O223" s="48">
        <v>833333.33333333337</v>
      </c>
      <c r="P223" s="48">
        <v>109166.66666666663</v>
      </c>
      <c r="Q223" s="48">
        <v>833333.33333333337</v>
      </c>
      <c r="R223" s="48">
        <v>109166.66666666663</v>
      </c>
      <c r="S223" s="48">
        <v>833333.33333333337</v>
      </c>
      <c r="T223" s="48">
        <v>109166.66666666663</v>
      </c>
      <c r="U223" s="48">
        <v>833333.33333333337</v>
      </c>
      <c r="V223" s="48">
        <v>109166.66666666663</v>
      </c>
      <c r="W223" s="48">
        <v>833333.33333333337</v>
      </c>
      <c r="X223" s="48">
        <v>109166.66666666663</v>
      </c>
      <c r="Y223" s="48">
        <v>833333.33333333337</v>
      </c>
      <c r="Z223" s="48">
        <v>109166.66666666663</v>
      </c>
      <c r="AA223" s="48"/>
      <c r="AB223" s="48"/>
      <c r="AC223" s="54">
        <f t="shared" si="14"/>
        <v>2.3283064365386963E-10</v>
      </c>
      <c r="AD223" s="54">
        <f t="shared" si="14"/>
        <v>2.3283064365386963E-10</v>
      </c>
      <c r="AE223" s="2">
        <f t="shared" si="15"/>
        <v>1200833.333333333</v>
      </c>
    </row>
    <row r="224" spans="1:31" x14ac:dyDescent="0.2">
      <c r="A224" s="4">
        <v>34000100</v>
      </c>
      <c r="B224" s="5" t="s">
        <v>244</v>
      </c>
      <c r="C224" s="52">
        <v>5500000</v>
      </c>
      <c r="D224" s="52">
        <v>550000</v>
      </c>
      <c r="E224" s="48">
        <v>500000</v>
      </c>
      <c r="F224" s="48">
        <v>50000</v>
      </c>
      <c r="G224" s="48">
        <v>500000</v>
      </c>
      <c r="H224" s="48">
        <v>50000</v>
      </c>
      <c r="I224" s="136">
        <v>500000</v>
      </c>
      <c r="J224" s="136">
        <v>50000</v>
      </c>
      <c r="K224" s="48">
        <v>500000</v>
      </c>
      <c r="L224" s="48">
        <v>50000</v>
      </c>
      <c r="M224" s="48">
        <v>500000</v>
      </c>
      <c r="N224" s="48">
        <v>50000</v>
      </c>
      <c r="O224" s="48">
        <v>500000</v>
      </c>
      <c r="P224" s="48">
        <v>50000</v>
      </c>
      <c r="Q224" s="48">
        <v>500000</v>
      </c>
      <c r="R224" s="48">
        <v>50000</v>
      </c>
      <c r="S224" s="132">
        <v>2000000</v>
      </c>
      <c r="T224" s="132">
        <v>200000</v>
      </c>
      <c r="U224" s="48"/>
      <c r="V224" s="48"/>
      <c r="W224" s="48"/>
      <c r="X224" s="48"/>
      <c r="Y224" s="48"/>
      <c r="Z224" s="48"/>
      <c r="AA224" s="48"/>
      <c r="AB224" s="48"/>
      <c r="AC224" s="54">
        <f t="shared" si="14"/>
        <v>0</v>
      </c>
      <c r="AD224" s="54">
        <f t="shared" si="14"/>
        <v>0</v>
      </c>
      <c r="AE224" s="2">
        <f t="shared" si="15"/>
        <v>550000</v>
      </c>
    </row>
    <row r="225" spans="1:31" x14ac:dyDescent="0.2">
      <c r="A225" s="4">
        <v>34000680</v>
      </c>
      <c r="B225" s="5" t="s">
        <v>617</v>
      </c>
      <c r="C225" s="52">
        <v>4583333.333333333</v>
      </c>
      <c r="D225" s="52">
        <v>614166.66666666663</v>
      </c>
      <c r="E225" s="48">
        <v>416666.66666666669</v>
      </c>
      <c r="F225" s="48">
        <v>55833.333333333314</v>
      </c>
      <c r="G225" s="48">
        <v>416666.66666666669</v>
      </c>
      <c r="H225" s="48">
        <v>55833.333333333314</v>
      </c>
      <c r="I225" s="136">
        <v>416666.66666666669</v>
      </c>
      <c r="J225" s="136">
        <v>55833.333333333314</v>
      </c>
      <c r="K225" s="48">
        <v>416666.66666666669</v>
      </c>
      <c r="L225" s="48">
        <v>55833.333333333314</v>
      </c>
      <c r="M225" s="48">
        <v>416666.66666666669</v>
      </c>
      <c r="N225" s="48">
        <v>55833.333333333314</v>
      </c>
      <c r="O225" s="48">
        <v>416666.66666666669</v>
      </c>
      <c r="P225" s="48">
        <v>55833.333333333314</v>
      </c>
      <c r="Q225" s="48">
        <v>416666.66666666669</v>
      </c>
      <c r="R225" s="48">
        <v>55833.333333333314</v>
      </c>
      <c r="S225" s="48">
        <v>416666.66666666669</v>
      </c>
      <c r="T225" s="48">
        <v>55833.333333333314</v>
      </c>
      <c r="U225" s="48">
        <v>416666.66666666669</v>
      </c>
      <c r="V225" s="48">
        <v>55833.333333333314</v>
      </c>
      <c r="W225" s="48">
        <v>416666.66666666669</v>
      </c>
      <c r="X225" s="48">
        <v>55833.333333333314</v>
      </c>
      <c r="Y225" s="48">
        <v>416666.66666666669</v>
      </c>
      <c r="Z225" s="48">
        <v>55833.333333333314</v>
      </c>
      <c r="AA225" s="48"/>
      <c r="AB225" s="48"/>
      <c r="AC225" s="54">
        <f t="shared" si="14"/>
        <v>1.1641532182693481E-10</v>
      </c>
      <c r="AD225" s="54">
        <f t="shared" si="14"/>
        <v>1.1641532182693481E-10</v>
      </c>
      <c r="AE225" s="2">
        <f t="shared" si="15"/>
        <v>614166.66666666651</v>
      </c>
    </row>
    <row r="226" spans="1:31" x14ac:dyDescent="0.2">
      <c r="A226" s="4">
        <v>34000405</v>
      </c>
      <c r="B226" s="5" t="s">
        <v>178</v>
      </c>
      <c r="C226" s="52">
        <v>2750000</v>
      </c>
      <c r="D226" s="52">
        <v>275000</v>
      </c>
      <c r="E226" s="48">
        <v>250000</v>
      </c>
      <c r="F226" s="48">
        <v>25000</v>
      </c>
      <c r="G226" s="132">
        <v>2500000</v>
      </c>
      <c r="H226" s="132">
        <v>250000</v>
      </c>
      <c r="I226" s="136"/>
      <c r="J226" s="136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54">
        <f t="shared" si="14"/>
        <v>0</v>
      </c>
      <c r="AD226" s="54">
        <f t="shared" si="14"/>
        <v>0</v>
      </c>
      <c r="AE226" s="2">
        <f t="shared" si="15"/>
        <v>275000</v>
      </c>
    </row>
    <row r="227" spans="1:31" x14ac:dyDescent="0.2">
      <c r="A227" s="4" t="s">
        <v>139</v>
      </c>
      <c r="B227" s="5" t="s">
        <v>140</v>
      </c>
      <c r="C227" s="52">
        <v>800000</v>
      </c>
      <c r="D227" s="52">
        <v>80000</v>
      </c>
      <c r="E227" s="48">
        <v>100000</v>
      </c>
      <c r="F227" s="48">
        <v>10000</v>
      </c>
      <c r="G227" s="48">
        <v>100000</v>
      </c>
      <c r="H227" s="48">
        <v>10000</v>
      </c>
      <c r="I227" s="136">
        <v>100000</v>
      </c>
      <c r="J227" s="136">
        <v>10000</v>
      </c>
      <c r="K227" s="48">
        <v>100000</v>
      </c>
      <c r="L227" s="48">
        <v>10000</v>
      </c>
      <c r="M227" s="48">
        <v>100000</v>
      </c>
      <c r="N227" s="48">
        <v>10000</v>
      </c>
      <c r="O227" s="48">
        <v>100000</v>
      </c>
      <c r="P227" s="48">
        <v>10000</v>
      </c>
      <c r="Q227" s="48">
        <v>100000</v>
      </c>
      <c r="R227" s="48">
        <v>10000</v>
      </c>
      <c r="S227" s="48">
        <v>100000</v>
      </c>
      <c r="T227" s="48">
        <v>10000</v>
      </c>
      <c r="U227" s="48"/>
      <c r="V227" s="48"/>
      <c r="W227" s="48"/>
      <c r="X227" s="48"/>
      <c r="Y227" s="48"/>
      <c r="Z227" s="48"/>
      <c r="AA227" s="48"/>
      <c r="AB227" s="48"/>
      <c r="AC227" s="54">
        <f t="shared" si="14"/>
        <v>0</v>
      </c>
      <c r="AD227" s="54">
        <f t="shared" si="14"/>
        <v>0</v>
      </c>
      <c r="AE227" s="2">
        <f t="shared" si="15"/>
        <v>80000</v>
      </c>
    </row>
    <row r="228" spans="1:31" x14ac:dyDescent="0.2">
      <c r="A228" s="4">
        <v>34000534</v>
      </c>
      <c r="B228" s="5" t="s">
        <v>381</v>
      </c>
      <c r="C228" s="52">
        <v>10000000</v>
      </c>
      <c r="D228" s="52">
        <v>1310000</v>
      </c>
      <c r="E228" s="48">
        <v>833333.33333333337</v>
      </c>
      <c r="F228" s="48">
        <v>109166.66666666663</v>
      </c>
      <c r="G228" s="48">
        <v>833333.33333333337</v>
      </c>
      <c r="H228" s="48">
        <v>109166.66666666663</v>
      </c>
      <c r="I228" s="136">
        <v>833333.33333333337</v>
      </c>
      <c r="J228" s="136">
        <v>109166.66666666663</v>
      </c>
      <c r="K228" s="48">
        <v>833333.33333333337</v>
      </c>
      <c r="L228" s="48">
        <v>109166.66666666663</v>
      </c>
      <c r="M228" s="48">
        <v>833333.33333333337</v>
      </c>
      <c r="N228" s="48">
        <v>109166.66666666663</v>
      </c>
      <c r="O228" s="48">
        <v>833333.33333333337</v>
      </c>
      <c r="P228" s="48">
        <v>109166.66666666663</v>
      </c>
      <c r="Q228" s="48">
        <v>833333.33333333337</v>
      </c>
      <c r="R228" s="48">
        <v>109166.66666666663</v>
      </c>
      <c r="S228" s="48">
        <v>833333.33333333337</v>
      </c>
      <c r="T228" s="48">
        <v>109166.66666666663</v>
      </c>
      <c r="U228" s="48">
        <v>833333.33333333337</v>
      </c>
      <c r="V228" s="48">
        <v>109166.66666666663</v>
      </c>
      <c r="W228" s="48">
        <v>833333.33333333337</v>
      </c>
      <c r="X228" s="48">
        <v>109166.66666666663</v>
      </c>
      <c r="Y228" s="48">
        <v>833333.33333333337</v>
      </c>
      <c r="Z228" s="48">
        <v>109166.66666666663</v>
      </c>
      <c r="AA228" s="48">
        <v>833333.33333333337</v>
      </c>
      <c r="AB228" s="48">
        <v>109166.66666666663</v>
      </c>
      <c r="AC228" s="54">
        <f t="shared" si="14"/>
        <v>0</v>
      </c>
      <c r="AD228" s="54">
        <f t="shared" si="14"/>
        <v>6.9849193096160889E-10</v>
      </c>
      <c r="AE228" s="2">
        <f t="shared" si="15"/>
        <v>1309999.9999999995</v>
      </c>
    </row>
    <row r="229" spans="1:31" x14ac:dyDescent="0.2">
      <c r="A229" s="4">
        <v>34000527</v>
      </c>
      <c r="B229" s="5" t="s">
        <v>270</v>
      </c>
      <c r="C229" s="52">
        <v>10000000</v>
      </c>
      <c r="D229" s="52">
        <v>1310000</v>
      </c>
      <c r="E229" s="48">
        <v>833333.33333333337</v>
      </c>
      <c r="F229" s="48">
        <v>109166.66666666663</v>
      </c>
      <c r="G229" s="48">
        <v>833333.33333333337</v>
      </c>
      <c r="H229" s="48">
        <v>109166.66666666663</v>
      </c>
      <c r="I229" s="136">
        <v>833333.33333333337</v>
      </c>
      <c r="J229" s="136">
        <v>109166.66666666663</v>
      </c>
      <c r="K229" s="48">
        <v>833333.33333333337</v>
      </c>
      <c r="L229" s="48">
        <v>109166.66666666663</v>
      </c>
      <c r="M229" s="48">
        <v>833333.33333333337</v>
      </c>
      <c r="N229" s="48">
        <v>109166.66666666663</v>
      </c>
      <c r="O229" s="48">
        <v>833333.33333333337</v>
      </c>
      <c r="P229" s="48">
        <v>109166.66666666663</v>
      </c>
      <c r="Q229" s="48">
        <v>833333.33333333337</v>
      </c>
      <c r="R229" s="48">
        <v>109166.66666666663</v>
      </c>
      <c r="S229" s="48">
        <v>833333.33333333337</v>
      </c>
      <c r="T229" s="48">
        <v>109166.66666666663</v>
      </c>
      <c r="U229" s="48">
        <v>833333.33333333337</v>
      </c>
      <c r="V229" s="48">
        <v>109166.66666666663</v>
      </c>
      <c r="W229" s="48">
        <v>833333.33333333337</v>
      </c>
      <c r="X229" s="48">
        <v>109166.66666666663</v>
      </c>
      <c r="Y229" s="48">
        <v>833333.33333333337</v>
      </c>
      <c r="Z229" s="48">
        <v>109166.66666666663</v>
      </c>
      <c r="AA229" s="48">
        <v>833333.33333333337</v>
      </c>
      <c r="AB229" s="48">
        <v>109166.66666666663</v>
      </c>
      <c r="AC229" s="54">
        <f t="shared" si="14"/>
        <v>0</v>
      </c>
      <c r="AD229" s="54">
        <f t="shared" si="14"/>
        <v>6.9849193096160889E-10</v>
      </c>
      <c r="AE229" s="2">
        <f t="shared" si="15"/>
        <v>1309999.9999999995</v>
      </c>
    </row>
    <row r="230" spans="1:31" x14ac:dyDescent="0.2">
      <c r="A230" s="4">
        <v>34000453</v>
      </c>
      <c r="B230" s="5" t="s">
        <v>562</v>
      </c>
      <c r="C230" s="52">
        <v>8800000</v>
      </c>
      <c r="D230" s="52">
        <v>884000</v>
      </c>
      <c r="E230" s="48">
        <v>733333.33333333337</v>
      </c>
      <c r="F230" s="48">
        <v>73666.666666666628</v>
      </c>
      <c r="G230" s="48">
        <v>733333.33333333337</v>
      </c>
      <c r="H230" s="48">
        <v>73666.666666666628</v>
      </c>
      <c r="I230" s="136">
        <v>733333.33333333337</v>
      </c>
      <c r="J230" s="136">
        <v>73666.666666666628</v>
      </c>
      <c r="K230" s="48">
        <v>733333.33333333337</v>
      </c>
      <c r="L230" s="48">
        <v>73666.666666666628</v>
      </c>
      <c r="M230" s="48">
        <v>733333.33333333337</v>
      </c>
      <c r="N230" s="48">
        <v>73666.666666666628</v>
      </c>
      <c r="O230" s="48">
        <v>733333.33333333337</v>
      </c>
      <c r="P230" s="48">
        <v>73666.666666666628</v>
      </c>
      <c r="Q230" s="48">
        <v>733333.33333333337</v>
      </c>
      <c r="R230" s="48">
        <v>73666.666666666628</v>
      </c>
      <c r="S230" s="48">
        <v>733333.33333333337</v>
      </c>
      <c r="T230" s="48">
        <v>73666.666666666628</v>
      </c>
      <c r="U230" s="48">
        <v>733333.33333333337</v>
      </c>
      <c r="V230" s="48">
        <v>73666.666666666628</v>
      </c>
      <c r="W230" s="48">
        <v>733333.33333333337</v>
      </c>
      <c r="X230" s="48">
        <v>73666.666666666628</v>
      </c>
      <c r="Y230" s="48">
        <v>733333.33333333337</v>
      </c>
      <c r="Z230" s="48">
        <v>73666.666666666628</v>
      </c>
      <c r="AA230" s="48">
        <v>733333.33333333337</v>
      </c>
      <c r="AB230" s="48">
        <v>73666.666666666628</v>
      </c>
      <c r="AC230" s="54">
        <f t="shared" si="14"/>
        <v>1.1641532182693481E-9</v>
      </c>
      <c r="AD230" s="54">
        <f t="shared" si="14"/>
        <v>4.6566128730773926E-10</v>
      </c>
      <c r="AE230" s="2">
        <f t="shared" si="15"/>
        <v>883999.99999999953</v>
      </c>
    </row>
    <row r="231" spans="1:31" x14ac:dyDescent="0.2">
      <c r="A231" s="4">
        <v>34000128</v>
      </c>
      <c r="B231" s="5" t="s">
        <v>578</v>
      </c>
      <c r="C231" s="52">
        <v>5999000</v>
      </c>
      <c r="D231" s="52">
        <v>601000</v>
      </c>
      <c r="E231" s="48">
        <v>499916.66666666669</v>
      </c>
      <c r="F231" s="48">
        <v>50083.333333333314</v>
      </c>
      <c r="G231" s="48">
        <v>499916.66666666669</v>
      </c>
      <c r="H231" s="48">
        <v>50083.333333333314</v>
      </c>
      <c r="I231" s="136">
        <v>499916.66666666669</v>
      </c>
      <c r="J231" s="136">
        <v>50083.333333333314</v>
      </c>
      <c r="K231" s="48">
        <v>499916.66666666669</v>
      </c>
      <c r="L231" s="48">
        <v>50083.333333333314</v>
      </c>
      <c r="M231" s="48">
        <v>499916.66666666669</v>
      </c>
      <c r="N231" s="48">
        <v>50083.333333333314</v>
      </c>
      <c r="O231" s="48">
        <v>499916.66666666669</v>
      </c>
      <c r="P231" s="48">
        <v>50083.333333333314</v>
      </c>
      <c r="Q231" s="48">
        <v>499916.66666666669</v>
      </c>
      <c r="R231" s="48">
        <v>50083.333333333314</v>
      </c>
      <c r="S231" s="48">
        <v>499916.66666666669</v>
      </c>
      <c r="T231" s="48">
        <v>50083.333333333314</v>
      </c>
      <c r="U231" s="48">
        <v>499916.66666666669</v>
      </c>
      <c r="V231" s="48">
        <v>50083.333333333314</v>
      </c>
      <c r="W231" s="48">
        <v>499916.66666666669</v>
      </c>
      <c r="X231" s="48">
        <v>50083.333333333314</v>
      </c>
      <c r="Y231" s="48">
        <v>499916.66666666669</v>
      </c>
      <c r="Z231" s="48">
        <v>50083.333333333314</v>
      </c>
      <c r="AA231" s="48">
        <v>499916.66666666669</v>
      </c>
      <c r="AB231" s="48">
        <v>50083.333333333314</v>
      </c>
      <c r="AC231" s="54">
        <f t="shared" si="14"/>
        <v>-5.8207660913467407E-10</v>
      </c>
      <c r="AD231" s="54">
        <f t="shared" si="14"/>
        <v>2.9103830456733704E-10</v>
      </c>
      <c r="AE231" s="2">
        <f t="shared" si="15"/>
        <v>600999.99999999977</v>
      </c>
    </row>
    <row r="232" spans="1:31" x14ac:dyDescent="0.2">
      <c r="A232" s="4">
        <v>34000484</v>
      </c>
      <c r="B232" s="5" t="s">
        <v>129</v>
      </c>
      <c r="C232" s="52">
        <v>3999000</v>
      </c>
      <c r="D232" s="52">
        <v>405000</v>
      </c>
      <c r="E232" s="48">
        <v>333250</v>
      </c>
      <c r="F232" s="48">
        <v>33750</v>
      </c>
      <c r="G232" s="48">
        <v>333250</v>
      </c>
      <c r="H232" s="48">
        <v>33750</v>
      </c>
      <c r="I232" s="136">
        <v>333250</v>
      </c>
      <c r="J232" s="136">
        <v>33750</v>
      </c>
      <c r="K232" s="48">
        <v>333250</v>
      </c>
      <c r="L232" s="48">
        <v>33750</v>
      </c>
      <c r="M232" s="48">
        <v>333250</v>
      </c>
      <c r="N232" s="48">
        <v>33750</v>
      </c>
      <c r="O232" s="48">
        <v>333250</v>
      </c>
      <c r="P232" s="48">
        <v>33750</v>
      </c>
      <c r="Q232" s="48">
        <v>333250</v>
      </c>
      <c r="R232" s="48">
        <v>33750</v>
      </c>
      <c r="S232" s="48">
        <v>333250</v>
      </c>
      <c r="T232" s="48">
        <v>33750</v>
      </c>
      <c r="U232" s="48">
        <v>333250</v>
      </c>
      <c r="V232" s="48">
        <v>33750</v>
      </c>
      <c r="W232" s="48">
        <v>333250</v>
      </c>
      <c r="X232" s="48">
        <v>33750</v>
      </c>
      <c r="Y232" s="48">
        <v>333250</v>
      </c>
      <c r="Z232" s="48">
        <v>33750</v>
      </c>
      <c r="AA232" s="48">
        <v>333250</v>
      </c>
      <c r="AB232" s="48">
        <v>33750</v>
      </c>
      <c r="AC232" s="54">
        <f t="shared" si="14"/>
        <v>0</v>
      </c>
      <c r="AD232" s="54">
        <f t="shared" si="14"/>
        <v>0</v>
      </c>
      <c r="AE232" s="2">
        <f t="shared" si="15"/>
        <v>405000</v>
      </c>
    </row>
    <row r="233" spans="1:31" x14ac:dyDescent="0.2">
      <c r="A233" s="4">
        <v>34000603</v>
      </c>
      <c r="B233" s="5" t="s">
        <v>311</v>
      </c>
      <c r="C233" s="52">
        <v>3699000</v>
      </c>
      <c r="D233" s="52">
        <v>375000</v>
      </c>
      <c r="E233" s="48"/>
      <c r="F233" s="48"/>
      <c r="G233" s="48">
        <v>616500</v>
      </c>
      <c r="H233" s="48">
        <v>62500</v>
      </c>
      <c r="I233" s="136">
        <v>616500</v>
      </c>
      <c r="J233" s="136">
        <v>62500</v>
      </c>
      <c r="K233" s="132">
        <f>I233*4</f>
        <v>2466000</v>
      </c>
      <c r="L233" s="132">
        <f>J233*4</f>
        <v>250000</v>
      </c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54">
        <f t="shared" si="14"/>
        <v>0</v>
      </c>
      <c r="AD233" s="54">
        <f t="shared" si="14"/>
        <v>0</v>
      </c>
      <c r="AE233" s="2">
        <f t="shared" si="15"/>
        <v>375000</v>
      </c>
    </row>
    <row r="234" spans="1:31" x14ac:dyDescent="0.2">
      <c r="A234" s="4">
        <v>34000701</v>
      </c>
      <c r="B234" s="5" t="s">
        <v>433</v>
      </c>
      <c r="C234" s="52">
        <v>1999000</v>
      </c>
      <c r="D234" s="52">
        <v>203000</v>
      </c>
      <c r="E234" s="48"/>
      <c r="F234" s="48"/>
      <c r="G234" s="48">
        <v>333166.66666666669</v>
      </c>
      <c r="H234" s="48">
        <v>33833.333333333314</v>
      </c>
      <c r="I234" s="136">
        <v>333166.66666666669</v>
      </c>
      <c r="J234" s="136">
        <v>33833.333333333314</v>
      </c>
      <c r="K234" s="48">
        <v>333166.66666666669</v>
      </c>
      <c r="L234" s="48">
        <v>33833.333333333314</v>
      </c>
      <c r="M234" s="48">
        <v>333166.66666666669</v>
      </c>
      <c r="N234" s="48">
        <v>33833.333333333314</v>
      </c>
      <c r="O234" s="48">
        <v>333166.66666666669</v>
      </c>
      <c r="P234" s="48">
        <v>33833.333333333314</v>
      </c>
      <c r="Q234" s="132">
        <v>333166.66666666634</v>
      </c>
      <c r="R234" s="132">
        <v>33833.33333333343</v>
      </c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54">
        <f t="shared" si="14"/>
        <v>0</v>
      </c>
      <c r="AD234" s="54">
        <f t="shared" si="14"/>
        <v>0</v>
      </c>
      <c r="AE234" s="2">
        <f t="shared" si="15"/>
        <v>203000</v>
      </c>
    </row>
    <row r="235" spans="1:31" x14ac:dyDescent="0.2">
      <c r="A235" s="4">
        <v>34000514</v>
      </c>
      <c r="B235" s="5" t="s">
        <v>694</v>
      </c>
      <c r="C235" s="52">
        <v>5000000</v>
      </c>
      <c r="D235" s="52">
        <v>670000</v>
      </c>
      <c r="E235" s="48"/>
      <c r="F235" s="48"/>
      <c r="G235" s="48">
        <v>416666.66666666669</v>
      </c>
      <c r="H235" s="48">
        <v>55833.333333333314</v>
      </c>
      <c r="I235" s="136">
        <v>416666.66666666669</v>
      </c>
      <c r="J235" s="136">
        <v>55833.333333333314</v>
      </c>
      <c r="K235" s="48">
        <v>416666.66666666669</v>
      </c>
      <c r="L235" s="48">
        <v>55833.333333333314</v>
      </c>
      <c r="M235" s="48">
        <v>416666.66666666669</v>
      </c>
      <c r="N235" s="48">
        <v>55833.333333333314</v>
      </c>
      <c r="O235" s="48">
        <v>416666.66666666669</v>
      </c>
      <c r="P235" s="48">
        <v>55833.333333333314</v>
      </c>
      <c r="Q235" s="48">
        <v>416666.66666666669</v>
      </c>
      <c r="R235" s="48">
        <v>55833.333333333314</v>
      </c>
      <c r="S235" s="48">
        <v>416666.66666666669</v>
      </c>
      <c r="T235" s="48">
        <v>55833.333333333314</v>
      </c>
      <c r="U235" s="48">
        <v>416666.66666666669</v>
      </c>
      <c r="V235" s="48">
        <v>55833.333333333314</v>
      </c>
      <c r="W235" s="48">
        <v>416666.66666666669</v>
      </c>
      <c r="X235" s="48">
        <v>55833.333333333314</v>
      </c>
      <c r="Y235" s="48">
        <v>416666.66666666669</v>
      </c>
      <c r="Z235" s="48">
        <v>55833.333333333314</v>
      </c>
      <c r="AA235" s="48">
        <v>416666.66666666669</v>
      </c>
      <c r="AB235" s="48">
        <v>55833.333333333314</v>
      </c>
      <c r="AC235" s="54">
        <f>+C235-E235-G235-I235-K235-M235-O235-Q235-S235-U235-W235-Y235-AA235</f>
        <v>416666.6666666668</v>
      </c>
      <c r="AD235" s="54">
        <f t="shared" si="14"/>
        <v>55833.333333333663</v>
      </c>
      <c r="AE235" s="2">
        <f t="shared" si="15"/>
        <v>614166.66666666651</v>
      </c>
    </row>
    <row r="236" spans="1:31" x14ac:dyDescent="0.2">
      <c r="A236" s="4">
        <v>34000277</v>
      </c>
      <c r="B236" s="5" t="s">
        <v>238</v>
      </c>
      <c r="C236" s="52">
        <v>10000000</v>
      </c>
      <c r="D236" s="52">
        <v>1310000</v>
      </c>
      <c r="E236" s="48"/>
      <c r="F236" s="48"/>
      <c r="G236" s="48">
        <v>833333.33333333337</v>
      </c>
      <c r="H236" s="48">
        <v>109166.66666666663</v>
      </c>
      <c r="I236" s="136">
        <v>833333.33333333337</v>
      </c>
      <c r="J236" s="136">
        <v>109166.66666666663</v>
      </c>
      <c r="K236" s="48">
        <v>833333.33333333337</v>
      </c>
      <c r="L236" s="48">
        <v>109166.66666666663</v>
      </c>
      <c r="M236" s="48">
        <v>833333.33333333337</v>
      </c>
      <c r="N236" s="48">
        <v>109166.66666666663</v>
      </c>
      <c r="O236" s="48">
        <v>833333.33333333337</v>
      </c>
      <c r="P236" s="48">
        <v>109166.66666666663</v>
      </c>
      <c r="Q236" s="48">
        <v>833333.33333333337</v>
      </c>
      <c r="R236" s="48">
        <v>109166.66666666663</v>
      </c>
      <c r="S236" s="48">
        <v>833333.33333333337</v>
      </c>
      <c r="T236" s="48">
        <v>109166.66666666663</v>
      </c>
      <c r="U236" s="48">
        <v>833333.33333333337</v>
      </c>
      <c r="V236" s="48">
        <v>109166.66666666663</v>
      </c>
      <c r="W236" s="48">
        <v>833333.33333333337</v>
      </c>
      <c r="X236" s="48">
        <v>109166.66666666663</v>
      </c>
      <c r="Y236" s="132">
        <v>2500000.0000000005</v>
      </c>
      <c r="Z236" s="132">
        <v>327500.00000000058</v>
      </c>
      <c r="AA236" s="48"/>
      <c r="AB236" s="48"/>
      <c r="AC236" s="54">
        <f t="shared" si="14"/>
        <v>0</v>
      </c>
      <c r="AD236" s="54">
        <f t="shared" si="14"/>
        <v>0</v>
      </c>
      <c r="AE236" s="2">
        <f t="shared" si="15"/>
        <v>1310000.0000000002</v>
      </c>
    </row>
    <row r="237" spans="1:31" x14ac:dyDescent="0.2">
      <c r="A237" s="4">
        <v>34000807</v>
      </c>
      <c r="B237" s="5" t="s">
        <v>423</v>
      </c>
      <c r="C237" s="52">
        <v>8000000</v>
      </c>
      <c r="D237" s="52">
        <v>976000</v>
      </c>
      <c r="E237" s="48"/>
      <c r="F237" s="48"/>
      <c r="G237" s="48">
        <v>666666.66666666663</v>
      </c>
      <c r="H237" s="48">
        <v>81333.333333333372</v>
      </c>
      <c r="I237" s="136">
        <v>666666.66666666663</v>
      </c>
      <c r="J237" s="136">
        <v>81333.333333333372</v>
      </c>
      <c r="K237" s="48">
        <v>666666.66666666663</v>
      </c>
      <c r="L237" s="48">
        <v>81333.333333333372</v>
      </c>
      <c r="M237" s="48">
        <v>666666.66666666663</v>
      </c>
      <c r="N237" s="48">
        <v>81333.333333333372</v>
      </c>
      <c r="O237" s="48">
        <v>666666.66666666663</v>
      </c>
      <c r="P237" s="48">
        <v>81333.333333333372</v>
      </c>
      <c r="Q237" s="48">
        <v>666666.66666666663</v>
      </c>
      <c r="R237" s="48">
        <v>81333.333333333372</v>
      </c>
      <c r="S237" s="48">
        <v>666666.66666666663</v>
      </c>
      <c r="T237" s="48">
        <v>81333.333333333372</v>
      </c>
      <c r="U237" s="48">
        <v>666666.66666666663</v>
      </c>
      <c r="V237" s="48">
        <v>81333.333333333372</v>
      </c>
      <c r="W237" s="48">
        <v>666666.66666666663</v>
      </c>
      <c r="X237" s="48">
        <v>81333.333333333372</v>
      </c>
      <c r="Y237" s="48">
        <v>666666.66666666663</v>
      </c>
      <c r="Z237" s="48">
        <v>81333.333333333372</v>
      </c>
      <c r="AA237" s="48">
        <v>666666.66666666663</v>
      </c>
      <c r="AB237" s="48">
        <v>81333.333333333372</v>
      </c>
      <c r="AC237" s="54">
        <f t="shared" si="14"/>
        <v>666666.66666666593</v>
      </c>
      <c r="AD237" s="54">
        <f t="shared" si="14"/>
        <v>81333.333333332906</v>
      </c>
      <c r="AE237" s="2">
        <f t="shared" si="15"/>
        <v>894666.66666666709</v>
      </c>
    </row>
    <row r="238" spans="1:31" x14ac:dyDescent="0.2">
      <c r="A238" s="4">
        <v>34000758</v>
      </c>
      <c r="B238" s="5" t="s">
        <v>474</v>
      </c>
      <c r="C238" s="52">
        <v>6500000</v>
      </c>
      <c r="D238" s="52">
        <v>700000</v>
      </c>
      <c r="E238" s="48"/>
      <c r="F238" s="48"/>
      <c r="G238" s="48">
        <v>541666.66666666663</v>
      </c>
      <c r="H238" s="48">
        <v>58333.333333333372</v>
      </c>
      <c r="I238" s="136">
        <v>541666.66666666663</v>
      </c>
      <c r="J238" s="136">
        <v>58333.333333333372</v>
      </c>
      <c r="K238" s="48">
        <v>541666.66666666663</v>
      </c>
      <c r="L238" s="48">
        <v>58333.333333333372</v>
      </c>
      <c r="M238" s="48">
        <v>541666.66666666663</v>
      </c>
      <c r="N238" s="48">
        <v>58333.333333333372</v>
      </c>
      <c r="O238" s="48">
        <v>541666.66666666663</v>
      </c>
      <c r="P238" s="48">
        <v>58333.333333333372</v>
      </c>
      <c r="Q238" s="48">
        <v>541666.66666666663</v>
      </c>
      <c r="R238" s="48">
        <v>58333.333333333372</v>
      </c>
      <c r="S238" s="48">
        <v>541666.66666666663</v>
      </c>
      <c r="T238" s="48">
        <v>58333.333333333372</v>
      </c>
      <c r="U238" s="48">
        <v>541666.66666666663</v>
      </c>
      <c r="V238" s="48">
        <v>58333.333333333372</v>
      </c>
      <c r="W238" s="48">
        <v>541666.66666666663</v>
      </c>
      <c r="X238" s="48">
        <v>58333.333333333372</v>
      </c>
      <c r="Y238" s="48">
        <v>541666.66666666663</v>
      </c>
      <c r="Z238" s="48">
        <v>58333.333333333372</v>
      </c>
      <c r="AA238" s="48">
        <v>541666.66666666663</v>
      </c>
      <c r="AB238" s="48">
        <v>58333.333333333372</v>
      </c>
      <c r="AC238" s="54">
        <f t="shared" si="14"/>
        <v>541666.6666666664</v>
      </c>
      <c r="AD238" s="54">
        <f t="shared" si="14"/>
        <v>58333.333333332906</v>
      </c>
      <c r="AE238" s="2">
        <f t="shared" si="15"/>
        <v>641666.66666666709</v>
      </c>
    </row>
    <row r="239" spans="1:31" x14ac:dyDescent="0.2">
      <c r="A239" s="4">
        <v>34000101</v>
      </c>
      <c r="B239" s="5" t="s">
        <v>687</v>
      </c>
      <c r="C239" s="52">
        <v>4650000</v>
      </c>
      <c r="D239" s="52">
        <v>510000</v>
      </c>
      <c r="E239" s="48"/>
      <c r="F239" s="48"/>
      <c r="G239" s="48"/>
      <c r="H239" s="48"/>
      <c r="I239" s="136"/>
      <c r="J239" s="136"/>
      <c r="K239" s="48">
        <v>387500</v>
      </c>
      <c r="L239" s="48">
        <v>42500</v>
      </c>
      <c r="M239" s="48">
        <v>387500</v>
      </c>
      <c r="N239" s="48">
        <v>42500</v>
      </c>
      <c r="O239" s="48">
        <v>387500</v>
      </c>
      <c r="P239" s="48">
        <v>42500</v>
      </c>
      <c r="Q239" s="48">
        <v>387500</v>
      </c>
      <c r="R239" s="48">
        <v>42500</v>
      </c>
      <c r="S239" s="48">
        <v>387500</v>
      </c>
      <c r="T239" s="48">
        <v>42500</v>
      </c>
      <c r="U239" s="48">
        <v>387500</v>
      </c>
      <c r="V239" s="48">
        <v>42500</v>
      </c>
      <c r="W239" s="48">
        <v>387500</v>
      </c>
      <c r="X239" s="48">
        <v>42500</v>
      </c>
      <c r="Y239" s="48">
        <v>387500</v>
      </c>
      <c r="Z239" s="48">
        <v>42500</v>
      </c>
      <c r="AA239" s="48">
        <v>387500</v>
      </c>
      <c r="AB239" s="48">
        <v>42500</v>
      </c>
      <c r="AC239" s="54">
        <f t="shared" si="14"/>
        <v>1162500</v>
      </c>
      <c r="AD239" s="54">
        <f t="shared" si="14"/>
        <v>127500</v>
      </c>
      <c r="AE239" s="2">
        <f t="shared" si="15"/>
        <v>382500</v>
      </c>
    </row>
    <row r="240" spans="1:31" x14ac:dyDescent="0.2">
      <c r="A240" s="4">
        <v>34000298</v>
      </c>
      <c r="B240" s="5" t="s">
        <v>389</v>
      </c>
      <c r="C240" s="52">
        <v>6399000</v>
      </c>
      <c r="D240" s="52">
        <v>657000</v>
      </c>
      <c r="E240" s="48"/>
      <c r="F240" s="48"/>
      <c r="G240" s="48"/>
      <c r="H240" s="48"/>
      <c r="I240" s="136"/>
      <c r="J240" s="136"/>
      <c r="K240" s="48">
        <v>533250</v>
      </c>
      <c r="L240" s="48">
        <v>54750</v>
      </c>
      <c r="M240" s="48">
        <v>533250</v>
      </c>
      <c r="N240" s="48">
        <v>54750</v>
      </c>
      <c r="O240" s="48">
        <v>533250</v>
      </c>
      <c r="P240" s="48">
        <v>54750</v>
      </c>
      <c r="Q240" s="48">
        <v>533250</v>
      </c>
      <c r="R240" s="48">
        <v>54750</v>
      </c>
      <c r="S240" s="48">
        <v>533250</v>
      </c>
      <c r="T240" s="48">
        <v>54750</v>
      </c>
      <c r="U240" s="48">
        <v>533250</v>
      </c>
      <c r="V240" s="48">
        <v>54750</v>
      </c>
      <c r="W240" s="48">
        <v>533250</v>
      </c>
      <c r="X240" s="48">
        <v>54750</v>
      </c>
      <c r="Y240" s="48">
        <v>533250</v>
      </c>
      <c r="Z240" s="48">
        <v>54750</v>
      </c>
      <c r="AA240" s="48">
        <v>533250</v>
      </c>
      <c r="AB240" s="48">
        <v>54750</v>
      </c>
      <c r="AC240" s="54">
        <f t="shared" si="14"/>
        <v>1599750</v>
      </c>
      <c r="AD240" s="54">
        <f t="shared" si="14"/>
        <v>164250</v>
      </c>
      <c r="AE240" s="2">
        <f t="shared" si="15"/>
        <v>492750</v>
      </c>
    </row>
    <row r="241" spans="1:31" x14ac:dyDescent="0.2">
      <c r="A241" s="4">
        <v>34000453</v>
      </c>
      <c r="B241" s="5" t="s">
        <v>562</v>
      </c>
      <c r="C241" s="52">
        <v>5000000</v>
      </c>
      <c r="D241" s="52">
        <v>500000</v>
      </c>
      <c r="E241" s="48"/>
      <c r="F241" s="48"/>
      <c r="G241" s="48"/>
      <c r="H241" s="48"/>
      <c r="I241" s="136"/>
      <c r="J241" s="136"/>
      <c r="K241" s="48">
        <v>500000</v>
      </c>
      <c r="L241" s="48">
        <v>50000</v>
      </c>
      <c r="M241" s="48">
        <v>500000</v>
      </c>
      <c r="N241" s="48">
        <v>50000</v>
      </c>
      <c r="O241" s="48">
        <v>500000</v>
      </c>
      <c r="P241" s="48">
        <v>50000</v>
      </c>
      <c r="Q241" s="48">
        <v>500000</v>
      </c>
      <c r="R241" s="48">
        <v>50000</v>
      </c>
      <c r="S241" s="48">
        <v>500000</v>
      </c>
      <c r="T241" s="48">
        <v>50000</v>
      </c>
      <c r="U241" s="48">
        <v>500000</v>
      </c>
      <c r="V241" s="48">
        <v>50000</v>
      </c>
      <c r="W241" s="48">
        <v>500000</v>
      </c>
      <c r="X241" s="48">
        <v>50000</v>
      </c>
      <c r="Y241" s="48">
        <v>500000</v>
      </c>
      <c r="Z241" s="48">
        <v>50000</v>
      </c>
      <c r="AA241" s="48">
        <v>500000</v>
      </c>
      <c r="AB241" s="48">
        <v>50000</v>
      </c>
      <c r="AC241" s="54">
        <f t="shared" si="14"/>
        <v>500000</v>
      </c>
      <c r="AD241" s="54">
        <f t="shared" si="14"/>
        <v>50000</v>
      </c>
      <c r="AE241" s="2">
        <f t="shared" si="15"/>
        <v>450000</v>
      </c>
    </row>
    <row r="242" spans="1:31" x14ac:dyDescent="0.2">
      <c r="A242" s="4">
        <v>34000132</v>
      </c>
      <c r="B242" s="5" t="s">
        <v>599</v>
      </c>
      <c r="C242" s="52">
        <v>4999000</v>
      </c>
      <c r="D242" s="52">
        <v>521000</v>
      </c>
      <c r="E242" s="48"/>
      <c r="F242" s="48"/>
      <c r="G242" s="48"/>
      <c r="H242" s="48"/>
      <c r="I242" s="136"/>
      <c r="J242" s="136"/>
      <c r="K242" s="48">
        <v>416583.33333333331</v>
      </c>
      <c r="L242" s="48">
        <v>43416.666666666686</v>
      </c>
      <c r="M242" s="48">
        <v>416583.33333333331</v>
      </c>
      <c r="N242" s="48">
        <v>43416.666666666686</v>
      </c>
      <c r="O242" s="48">
        <v>416583.33333333331</v>
      </c>
      <c r="P242" s="48">
        <v>43416.666666666686</v>
      </c>
      <c r="Q242" s="48">
        <v>416583.33333333331</v>
      </c>
      <c r="R242" s="48">
        <v>43416.666666666686</v>
      </c>
      <c r="S242" s="48">
        <v>416583.33333333331</v>
      </c>
      <c r="T242" s="48">
        <v>43416.666666666686</v>
      </c>
      <c r="U242" s="48">
        <v>416583.33333333331</v>
      </c>
      <c r="V242" s="48">
        <v>43416.666666666686</v>
      </c>
      <c r="W242" s="48">
        <v>416583.33333333331</v>
      </c>
      <c r="X242" s="48">
        <v>43416.666666666686</v>
      </c>
      <c r="Y242" s="48">
        <v>416583.33333333331</v>
      </c>
      <c r="Z242" s="48">
        <v>43416.666666666686</v>
      </c>
      <c r="AA242" s="48">
        <v>416583.33333333331</v>
      </c>
      <c r="AB242" s="48">
        <v>43416.666666666686</v>
      </c>
      <c r="AC242" s="54">
        <f t="shared" si="14"/>
        <v>1249749.9999999998</v>
      </c>
      <c r="AD242" s="54">
        <f t="shared" si="14"/>
        <v>130249.99999999983</v>
      </c>
      <c r="AE242" s="2">
        <f t="shared" si="15"/>
        <v>390750.00000000017</v>
      </c>
    </row>
    <row r="243" spans="1:31" x14ac:dyDescent="0.2">
      <c r="A243" s="4">
        <v>34000104</v>
      </c>
      <c r="B243" s="5" t="s">
        <v>607</v>
      </c>
      <c r="C243" s="52">
        <v>3025000</v>
      </c>
      <c r="D243" s="52">
        <v>311000</v>
      </c>
      <c r="E243" s="48"/>
      <c r="F243" s="48"/>
      <c r="G243" s="48"/>
      <c r="H243" s="48"/>
      <c r="I243" s="136"/>
      <c r="J243" s="136"/>
      <c r="K243" s="48">
        <v>252083.33333333334</v>
      </c>
      <c r="L243" s="48">
        <v>25916.666666666657</v>
      </c>
      <c r="M243" s="48">
        <v>252083.33333333334</v>
      </c>
      <c r="N243" s="48">
        <v>25916.666666666657</v>
      </c>
      <c r="O243" s="48">
        <v>252083.33333333334</v>
      </c>
      <c r="P243" s="48">
        <v>25916.666666666657</v>
      </c>
      <c r="Q243" s="48">
        <v>252083.33333333334</v>
      </c>
      <c r="R243" s="48">
        <v>25916.666666666657</v>
      </c>
      <c r="S243" s="48">
        <v>252083.33333333334</v>
      </c>
      <c r="T243" s="48">
        <v>25916.666666666657</v>
      </c>
      <c r="U243" s="48">
        <v>252083.33333333334</v>
      </c>
      <c r="V243" s="48">
        <v>25916.666666666657</v>
      </c>
      <c r="W243" s="48">
        <v>252083.33333333334</v>
      </c>
      <c r="X243" s="48">
        <v>25916.666666666657</v>
      </c>
      <c r="Y243" s="48">
        <v>252083.33333333334</v>
      </c>
      <c r="Z243" s="48">
        <v>25916.666666666657</v>
      </c>
      <c r="AA243" s="48">
        <v>252083.33333333334</v>
      </c>
      <c r="AB243" s="48">
        <v>25916.666666666657</v>
      </c>
      <c r="AC243" s="54">
        <f t="shared" si="14"/>
        <v>756249.99999999977</v>
      </c>
      <c r="AD243" s="54">
        <f t="shared" si="14"/>
        <v>77750.000000000116</v>
      </c>
      <c r="AE243" s="2">
        <f t="shared" si="15"/>
        <v>233249.99999999991</v>
      </c>
    </row>
    <row r="244" spans="1:31" x14ac:dyDescent="0.2">
      <c r="A244" s="4">
        <v>34000412</v>
      </c>
      <c r="B244" s="5" t="s">
        <v>409</v>
      </c>
      <c r="C244" s="52">
        <v>5000000</v>
      </c>
      <c r="D244" s="52">
        <v>520000</v>
      </c>
      <c r="E244" s="48"/>
      <c r="F244" s="48"/>
      <c r="G244" s="48"/>
      <c r="H244" s="48"/>
      <c r="I244" s="136"/>
      <c r="J244" s="136"/>
      <c r="K244" s="48">
        <v>416666.66666666669</v>
      </c>
      <c r="L244" s="48">
        <v>43333.333333333314</v>
      </c>
      <c r="M244" s="48">
        <v>416666.66666666669</v>
      </c>
      <c r="N244" s="48">
        <v>43333.333333333314</v>
      </c>
      <c r="O244" s="48">
        <v>416666.66666666669</v>
      </c>
      <c r="P244" s="48">
        <v>43333.333333333314</v>
      </c>
      <c r="Q244" s="48">
        <v>416666.66666666669</v>
      </c>
      <c r="R244" s="48">
        <v>43333.333333333314</v>
      </c>
      <c r="S244" s="48">
        <v>416666.66666666669</v>
      </c>
      <c r="T244" s="48">
        <v>43333.333333333314</v>
      </c>
      <c r="U244" s="48">
        <v>416666.66666666669</v>
      </c>
      <c r="V244" s="48">
        <v>43333.333333333314</v>
      </c>
      <c r="W244" s="48">
        <v>416666.66666666669</v>
      </c>
      <c r="X244" s="48">
        <v>43333.333333333314</v>
      </c>
      <c r="Y244" s="48">
        <v>416666.66666666669</v>
      </c>
      <c r="Z244" s="48">
        <v>43333.333333333314</v>
      </c>
      <c r="AA244" s="48">
        <v>416666.66666666669</v>
      </c>
      <c r="AB244" s="48">
        <v>43333.333333333314</v>
      </c>
      <c r="AC244" s="54">
        <f t="shared" si="14"/>
        <v>1250000.0000000002</v>
      </c>
      <c r="AD244" s="54">
        <f t="shared" si="14"/>
        <v>130000.00000000017</v>
      </c>
      <c r="AE244" s="2">
        <f t="shared" si="15"/>
        <v>389999.99999999983</v>
      </c>
    </row>
    <row r="245" spans="1:31" x14ac:dyDescent="0.2">
      <c r="A245" s="4">
        <v>34000344</v>
      </c>
      <c r="B245" s="5" t="s">
        <v>399</v>
      </c>
      <c r="C245" s="52">
        <v>3000000</v>
      </c>
      <c r="D245" s="52">
        <v>300000</v>
      </c>
      <c r="E245" s="48"/>
      <c r="F245" s="48"/>
      <c r="G245" s="48"/>
      <c r="H245" s="48"/>
      <c r="I245" s="136"/>
      <c r="J245" s="136"/>
      <c r="K245" s="48">
        <v>500000</v>
      </c>
      <c r="L245" s="48">
        <v>50000</v>
      </c>
      <c r="M245" s="48">
        <v>500000</v>
      </c>
      <c r="N245" s="48">
        <v>50000</v>
      </c>
      <c r="O245" s="48">
        <v>500000</v>
      </c>
      <c r="P245" s="48">
        <v>50000</v>
      </c>
      <c r="Q245" s="48">
        <v>500000</v>
      </c>
      <c r="R245" s="48">
        <v>50000</v>
      </c>
      <c r="S245" s="132">
        <v>1000000</v>
      </c>
      <c r="T245" s="132">
        <v>100000</v>
      </c>
      <c r="U245" s="48"/>
      <c r="V245" s="48"/>
      <c r="W245" s="48"/>
      <c r="X245" s="48"/>
      <c r="Y245" s="48"/>
      <c r="Z245" s="48"/>
      <c r="AA245" s="48"/>
      <c r="AB245" s="48"/>
      <c r="AC245" s="54">
        <f t="shared" si="14"/>
        <v>0</v>
      </c>
      <c r="AD245" s="54">
        <f t="shared" si="14"/>
        <v>0</v>
      </c>
      <c r="AE245" s="2">
        <f t="shared" si="15"/>
        <v>300000</v>
      </c>
    </row>
    <row r="246" spans="1:31" x14ac:dyDescent="0.2">
      <c r="A246" s="4">
        <v>34000776</v>
      </c>
      <c r="B246" s="5" t="s">
        <v>614</v>
      </c>
      <c r="C246" s="52">
        <v>3999000</v>
      </c>
      <c r="D246" s="52">
        <v>417000</v>
      </c>
      <c r="E246" s="48"/>
      <c r="F246" s="48"/>
      <c r="G246" s="48"/>
      <c r="H246" s="48"/>
      <c r="I246" s="136"/>
      <c r="J246" s="136"/>
      <c r="K246" s="48">
        <v>333250</v>
      </c>
      <c r="L246" s="48">
        <v>34750</v>
      </c>
      <c r="M246" s="48">
        <v>333250</v>
      </c>
      <c r="N246" s="48">
        <v>34750</v>
      </c>
      <c r="O246" s="48">
        <v>333250</v>
      </c>
      <c r="P246" s="48">
        <v>34750</v>
      </c>
      <c r="Q246" s="48">
        <v>333250</v>
      </c>
      <c r="R246" s="48">
        <v>34750</v>
      </c>
      <c r="S246" s="48">
        <v>333250</v>
      </c>
      <c r="T246" s="48">
        <v>34750</v>
      </c>
      <c r="U246" s="48">
        <v>333250</v>
      </c>
      <c r="V246" s="48">
        <v>34750</v>
      </c>
      <c r="W246" s="48">
        <v>333250</v>
      </c>
      <c r="X246" s="48">
        <v>34750</v>
      </c>
      <c r="Y246" s="48">
        <v>333250</v>
      </c>
      <c r="Z246" s="48">
        <v>34750</v>
      </c>
      <c r="AA246" s="48">
        <v>333250</v>
      </c>
      <c r="AB246" s="48">
        <v>34750</v>
      </c>
      <c r="AC246" s="54">
        <f t="shared" si="14"/>
        <v>999750</v>
      </c>
      <c r="AD246" s="54">
        <f t="shared" si="14"/>
        <v>104250</v>
      </c>
      <c r="AE246" s="2">
        <f t="shared" si="15"/>
        <v>312750</v>
      </c>
    </row>
    <row r="247" spans="1:31" x14ac:dyDescent="0.2">
      <c r="A247" s="4" t="s">
        <v>342</v>
      </c>
      <c r="B247" s="5" t="s">
        <v>343</v>
      </c>
      <c r="C247" s="52">
        <v>5000000</v>
      </c>
      <c r="D247" s="52">
        <v>670000</v>
      </c>
      <c r="E247" s="48"/>
      <c r="F247" s="48"/>
      <c r="G247" s="48"/>
      <c r="H247" s="48"/>
      <c r="I247" s="136"/>
      <c r="J247" s="136"/>
      <c r="K247" s="48">
        <v>416666.66666666669</v>
      </c>
      <c r="L247" s="48">
        <v>55833.333333333314</v>
      </c>
      <c r="M247" s="48">
        <v>416666.66666666669</v>
      </c>
      <c r="N247" s="48">
        <v>55833.333333333314</v>
      </c>
      <c r="O247" s="48">
        <v>416666.66666666669</v>
      </c>
      <c r="P247" s="48">
        <v>55833.333333333314</v>
      </c>
      <c r="Q247" s="48">
        <v>416666.66666666669</v>
      </c>
      <c r="R247" s="48">
        <v>55833.333333333314</v>
      </c>
      <c r="S247" s="48">
        <v>416666.66666666669</v>
      </c>
      <c r="T247" s="48">
        <v>55833.333333333314</v>
      </c>
      <c r="U247" s="48">
        <v>416666.66666666669</v>
      </c>
      <c r="V247" s="48">
        <v>55833.333333333314</v>
      </c>
      <c r="W247" s="48">
        <v>416666.66666666669</v>
      </c>
      <c r="X247" s="48">
        <v>55833.333333333314</v>
      </c>
      <c r="Y247" s="48">
        <v>416666.66666666669</v>
      </c>
      <c r="Z247" s="48">
        <v>55833.333333333314</v>
      </c>
      <c r="AA247" s="48">
        <v>416666.66666666669</v>
      </c>
      <c r="AB247" s="48">
        <v>55833.333333333314</v>
      </c>
      <c r="AC247" s="54">
        <f t="shared" si="14"/>
        <v>1250000.0000000002</v>
      </c>
      <c r="AD247" s="54">
        <f t="shared" si="14"/>
        <v>167500.00000000029</v>
      </c>
      <c r="AE247" s="2">
        <f t="shared" si="15"/>
        <v>502499.99999999983</v>
      </c>
    </row>
    <row r="248" spans="1:31" x14ac:dyDescent="0.2">
      <c r="A248" s="4">
        <v>34000282</v>
      </c>
      <c r="B248" s="5" t="s">
        <v>574</v>
      </c>
      <c r="C248" s="52">
        <v>5000000</v>
      </c>
      <c r="D248" s="52">
        <v>670000</v>
      </c>
      <c r="E248" s="48"/>
      <c r="F248" s="48"/>
      <c r="G248" s="48"/>
      <c r="H248" s="48"/>
      <c r="I248" s="136"/>
      <c r="J248" s="136"/>
      <c r="K248" s="48">
        <v>416666.66666666669</v>
      </c>
      <c r="L248" s="48">
        <v>55833.333333333314</v>
      </c>
      <c r="M248" s="48">
        <v>416666.66666666669</v>
      </c>
      <c r="N248" s="48">
        <v>55833.333333333314</v>
      </c>
      <c r="O248" s="48">
        <v>416666.66666666669</v>
      </c>
      <c r="P248" s="48">
        <v>55833.333333333314</v>
      </c>
      <c r="Q248" s="48">
        <v>416666.66666666669</v>
      </c>
      <c r="R248" s="48">
        <v>55833.333333333314</v>
      </c>
      <c r="S248" s="48">
        <v>416666.66666666669</v>
      </c>
      <c r="T248" s="48">
        <v>55833.333333333314</v>
      </c>
      <c r="U248" s="48">
        <v>416666.66666666669</v>
      </c>
      <c r="V248" s="48">
        <v>55833.333333333314</v>
      </c>
      <c r="W248" s="48">
        <v>416666.66666666669</v>
      </c>
      <c r="X248" s="48">
        <v>55833.333333333314</v>
      </c>
      <c r="Y248" s="48">
        <v>416666.66666666669</v>
      </c>
      <c r="Z248" s="48">
        <v>55833.333333333314</v>
      </c>
      <c r="AA248" s="48">
        <v>416666.66666666669</v>
      </c>
      <c r="AB248" s="48">
        <v>55833.333333333314</v>
      </c>
      <c r="AC248" s="54">
        <f t="shared" ref="AC248:AD278" si="16">+C248-E248-G248-I248-K248-M248-O248-Q248-S248-U248-W248-Y248-AA248</f>
        <v>1250000.0000000002</v>
      </c>
      <c r="AD248" s="54">
        <f t="shared" si="16"/>
        <v>167500.00000000029</v>
      </c>
      <c r="AE248" s="2">
        <f t="shared" ref="AE248:AE294" si="17">F248+H248+J248+L248+N248+P248+R248+T248+V248+X248+Z248+AB248</f>
        <v>502499.99999999983</v>
      </c>
    </row>
    <row r="249" spans="1:31" x14ac:dyDescent="0.2">
      <c r="A249" s="4">
        <v>34000765</v>
      </c>
      <c r="B249" s="5" t="s">
        <v>457</v>
      </c>
      <c r="C249" s="52">
        <v>4000000</v>
      </c>
      <c r="D249" s="52">
        <v>536000</v>
      </c>
      <c r="E249" s="48"/>
      <c r="F249" s="48"/>
      <c r="G249" s="48"/>
      <c r="H249" s="48"/>
      <c r="I249" s="136"/>
      <c r="J249" s="136"/>
      <c r="K249" s="48">
        <v>333333.33333333331</v>
      </c>
      <c r="L249" s="48">
        <v>44666.666666666686</v>
      </c>
      <c r="M249" s="48">
        <v>333333.33333333331</v>
      </c>
      <c r="N249" s="48">
        <v>44666.666666666686</v>
      </c>
      <c r="O249" s="48">
        <v>333333.33333333331</v>
      </c>
      <c r="P249" s="48">
        <v>44666.666666666686</v>
      </c>
      <c r="Q249" s="48">
        <v>333333.33333333331</v>
      </c>
      <c r="R249" s="48">
        <v>44666.666666666686</v>
      </c>
      <c r="S249" s="48">
        <v>333333.33333333331</v>
      </c>
      <c r="T249" s="48">
        <v>44666.666666666686</v>
      </c>
      <c r="U249" s="48">
        <v>333333.33333333331</v>
      </c>
      <c r="V249" s="48">
        <v>44666.666666666686</v>
      </c>
      <c r="W249" s="48">
        <v>333333.33333333331</v>
      </c>
      <c r="X249" s="48">
        <v>44666.666666666686</v>
      </c>
      <c r="Y249" s="48">
        <v>333333.33333333331</v>
      </c>
      <c r="Z249" s="48">
        <v>44666.666666666686</v>
      </c>
      <c r="AA249" s="48">
        <v>333333.33333333331</v>
      </c>
      <c r="AB249" s="48">
        <v>44666.666666666686</v>
      </c>
      <c r="AC249" s="54">
        <f t="shared" si="16"/>
        <v>999999.99999999953</v>
      </c>
      <c r="AD249" s="54">
        <f t="shared" si="16"/>
        <v>133999.99999999983</v>
      </c>
      <c r="AE249" s="2">
        <f t="shared" si="17"/>
        <v>402000.00000000017</v>
      </c>
    </row>
    <row r="250" spans="1:31" x14ac:dyDescent="0.2">
      <c r="A250" s="4">
        <v>34000516</v>
      </c>
      <c r="B250" s="5" t="s">
        <v>280</v>
      </c>
      <c r="C250" s="52">
        <v>3000000</v>
      </c>
      <c r="D250" s="52">
        <v>336000</v>
      </c>
      <c r="E250" s="48"/>
      <c r="F250" s="48"/>
      <c r="G250" s="48"/>
      <c r="H250" s="48"/>
      <c r="I250" s="136"/>
      <c r="J250" s="136"/>
      <c r="K250" s="48">
        <v>500000</v>
      </c>
      <c r="L250" s="48">
        <v>56000</v>
      </c>
      <c r="M250" s="48">
        <v>500000</v>
      </c>
      <c r="N250" s="48">
        <v>56000</v>
      </c>
      <c r="O250" s="48">
        <v>500000</v>
      </c>
      <c r="P250" s="48">
        <v>56000</v>
      </c>
      <c r="Q250" s="48">
        <v>500000</v>
      </c>
      <c r="R250" s="48">
        <v>56000</v>
      </c>
      <c r="S250" s="48">
        <v>500000</v>
      </c>
      <c r="T250" s="48">
        <v>56000</v>
      </c>
      <c r="U250" s="48">
        <v>500000</v>
      </c>
      <c r="V250" s="48">
        <v>56000</v>
      </c>
      <c r="W250" s="48"/>
      <c r="X250" s="48"/>
      <c r="Y250" s="48"/>
      <c r="Z250" s="48"/>
      <c r="AA250" s="48"/>
      <c r="AB250" s="48"/>
      <c r="AC250" s="54">
        <f t="shared" si="16"/>
        <v>0</v>
      </c>
      <c r="AD250" s="54">
        <f t="shared" si="16"/>
        <v>0</v>
      </c>
      <c r="AE250" s="2">
        <f t="shared" si="17"/>
        <v>336000</v>
      </c>
    </row>
    <row r="251" spans="1:31" x14ac:dyDescent="0.2">
      <c r="A251" s="4">
        <v>34000379</v>
      </c>
      <c r="B251" s="5" t="s">
        <v>484</v>
      </c>
      <c r="C251" s="52">
        <v>10000000</v>
      </c>
      <c r="D251" s="52">
        <v>1310000</v>
      </c>
      <c r="E251" s="48"/>
      <c r="F251" s="48"/>
      <c r="G251" s="48"/>
      <c r="H251" s="48"/>
      <c r="I251" s="136"/>
      <c r="J251" s="136"/>
      <c r="K251" s="48">
        <v>833333.33333333337</v>
      </c>
      <c r="L251" s="48">
        <v>109166.66666666663</v>
      </c>
      <c r="M251" s="48">
        <v>833333.33333333337</v>
      </c>
      <c r="N251" s="48">
        <v>109166.66666666663</v>
      </c>
      <c r="O251" s="48">
        <v>833333.33333333337</v>
      </c>
      <c r="P251" s="48">
        <v>109166.66666666663</v>
      </c>
      <c r="Q251" s="48">
        <v>833333.33333333337</v>
      </c>
      <c r="R251" s="48">
        <v>109166.66666666663</v>
      </c>
      <c r="S251" s="132">
        <v>6666666.666666667</v>
      </c>
      <c r="T251" s="132">
        <v>873333.33333333372</v>
      </c>
      <c r="U251" s="48"/>
      <c r="V251" s="48"/>
      <c r="W251" s="48"/>
      <c r="X251" s="48"/>
      <c r="Y251" s="48"/>
      <c r="Z251" s="48"/>
      <c r="AA251" s="48"/>
      <c r="AB251" s="48"/>
      <c r="AC251" s="54">
        <f t="shared" si="16"/>
        <v>0</v>
      </c>
      <c r="AD251" s="54">
        <f t="shared" si="16"/>
        <v>0</v>
      </c>
      <c r="AE251" s="2">
        <f t="shared" si="17"/>
        <v>1310000.0000000002</v>
      </c>
    </row>
    <row r="252" spans="1:31" x14ac:dyDescent="0.2">
      <c r="A252" s="4">
        <v>34000344</v>
      </c>
      <c r="B252" s="5" t="s">
        <v>399</v>
      </c>
      <c r="C252" s="52">
        <v>3000000</v>
      </c>
      <c r="D252" s="52">
        <v>300000</v>
      </c>
      <c r="E252" s="48"/>
      <c r="F252" s="48"/>
      <c r="G252" s="48"/>
      <c r="H252" s="48"/>
      <c r="I252" s="136"/>
      <c r="J252" s="136"/>
      <c r="K252" s="48"/>
      <c r="L252" s="48"/>
      <c r="M252" s="48">
        <v>500000</v>
      </c>
      <c r="N252" s="48">
        <v>50000</v>
      </c>
      <c r="O252" s="48">
        <v>500000</v>
      </c>
      <c r="P252" s="48">
        <v>50000</v>
      </c>
      <c r="Q252" s="48">
        <v>500000</v>
      </c>
      <c r="R252" s="48">
        <v>50000</v>
      </c>
      <c r="S252" s="48">
        <v>1500000</v>
      </c>
      <c r="T252" s="48">
        <v>150000</v>
      </c>
      <c r="U252" s="48"/>
      <c r="V252" s="48"/>
      <c r="W252" s="48"/>
      <c r="X252" s="48"/>
      <c r="Y252" s="48"/>
      <c r="Z252" s="48"/>
      <c r="AA252" s="48"/>
      <c r="AB252" s="48"/>
      <c r="AC252" s="54">
        <f t="shared" si="16"/>
        <v>0</v>
      </c>
      <c r="AD252" s="54">
        <f t="shared" si="16"/>
        <v>0</v>
      </c>
      <c r="AE252" s="2">
        <f t="shared" si="17"/>
        <v>300000</v>
      </c>
    </row>
    <row r="253" spans="1:31" x14ac:dyDescent="0.2">
      <c r="A253" s="4">
        <v>34000422</v>
      </c>
      <c r="B253" s="5" t="s">
        <v>294</v>
      </c>
      <c r="C253" s="52">
        <v>10000000</v>
      </c>
      <c r="D253" s="52">
        <v>1310000</v>
      </c>
      <c r="E253" s="48"/>
      <c r="F253" s="48"/>
      <c r="G253" s="48"/>
      <c r="H253" s="48"/>
      <c r="I253" s="136"/>
      <c r="J253" s="136"/>
      <c r="K253" s="48"/>
      <c r="L253" s="48"/>
      <c r="M253" s="48">
        <v>833333.33333333337</v>
      </c>
      <c r="N253" s="48">
        <v>109166.66666666663</v>
      </c>
      <c r="O253" s="48">
        <v>833333.33333333337</v>
      </c>
      <c r="P253" s="48">
        <v>109166.66666666663</v>
      </c>
      <c r="Q253" s="48">
        <v>833333.33333333337</v>
      </c>
      <c r="R253" s="48">
        <v>109166.66666666663</v>
      </c>
      <c r="S253" s="48">
        <v>833333.33333333337</v>
      </c>
      <c r="T253" s="48">
        <v>109166.66666666663</v>
      </c>
      <c r="U253" s="48">
        <v>833333.33333333337</v>
      </c>
      <c r="V253" s="48">
        <v>109166.66666666663</v>
      </c>
      <c r="W253" s="48">
        <v>833333.33333333337</v>
      </c>
      <c r="X253" s="48">
        <v>109166.66666666663</v>
      </c>
      <c r="Y253" s="48">
        <v>833333.33333333337</v>
      </c>
      <c r="Z253" s="48">
        <v>109166.66666666663</v>
      </c>
      <c r="AA253" s="48">
        <v>833333.33333333337</v>
      </c>
      <c r="AB253" s="48">
        <v>109166.66666666663</v>
      </c>
      <c r="AC253" s="54">
        <f t="shared" si="16"/>
        <v>3333333.333333334</v>
      </c>
      <c r="AD253" s="54">
        <f t="shared" si="16"/>
        <v>436666.66666666721</v>
      </c>
      <c r="AE253" s="2">
        <f t="shared" si="17"/>
        <v>873333.33333333302</v>
      </c>
    </row>
    <row r="254" spans="1:31" x14ac:dyDescent="0.2">
      <c r="A254" s="4">
        <v>34000215</v>
      </c>
      <c r="B254" s="5" t="s">
        <v>137</v>
      </c>
      <c r="C254" s="52">
        <v>7000000</v>
      </c>
      <c r="D254" s="52">
        <v>500000</v>
      </c>
      <c r="E254" s="48"/>
      <c r="F254" s="48"/>
      <c r="G254" s="48"/>
      <c r="H254" s="48"/>
      <c r="I254" s="136"/>
      <c r="J254" s="136"/>
      <c r="K254" s="132">
        <v>2333333.333333334</v>
      </c>
      <c r="L254" s="132">
        <v>166666.66666666698</v>
      </c>
      <c r="M254" s="48">
        <v>583333.33333333337</v>
      </c>
      <c r="N254" s="48">
        <v>41666.666666666628</v>
      </c>
      <c r="O254" s="48">
        <v>583333.33333333337</v>
      </c>
      <c r="P254" s="48">
        <v>41666.666666666628</v>
      </c>
      <c r="Q254" s="48">
        <v>583333.33333333337</v>
      </c>
      <c r="R254" s="48">
        <v>41666.666666666628</v>
      </c>
      <c r="S254" s="48">
        <v>583333.33333333337</v>
      </c>
      <c r="T254" s="48">
        <v>41666.666666666628</v>
      </c>
      <c r="U254" s="48">
        <v>583333.33333333337</v>
      </c>
      <c r="V254" s="48">
        <v>41666.666666666628</v>
      </c>
      <c r="W254" s="48">
        <v>583333.33333333337</v>
      </c>
      <c r="X254" s="48">
        <v>41666.666666666628</v>
      </c>
      <c r="Y254" s="48">
        <v>583333.33333333337</v>
      </c>
      <c r="Z254" s="48">
        <v>41666.666666666628</v>
      </c>
      <c r="AA254" s="48">
        <v>583333.33333333337</v>
      </c>
      <c r="AB254" s="48">
        <v>41666.666666666628</v>
      </c>
      <c r="AC254" s="54">
        <f t="shared" si="16"/>
        <v>-1.6298145055770874E-9</v>
      </c>
      <c r="AD254" s="54">
        <f t="shared" si="16"/>
        <v>0</v>
      </c>
      <c r="AE254" s="2">
        <f t="shared" si="17"/>
        <v>500000</v>
      </c>
    </row>
    <row r="255" spans="1:31" x14ac:dyDescent="0.2">
      <c r="A255" s="4">
        <v>34000364</v>
      </c>
      <c r="B255" s="5" t="s">
        <v>258</v>
      </c>
      <c r="C255" s="52">
        <v>10000000</v>
      </c>
      <c r="D255" s="52">
        <v>1310000</v>
      </c>
      <c r="E255" s="48"/>
      <c r="F255" s="48"/>
      <c r="G255" s="48"/>
      <c r="H255" s="48"/>
      <c r="I255" s="136"/>
      <c r="J255" s="136"/>
      <c r="K255" s="48"/>
      <c r="L255" s="48"/>
      <c r="M255" s="48"/>
      <c r="N255" s="48"/>
      <c r="O255" s="48">
        <v>833333.33333333337</v>
      </c>
      <c r="P255" s="48">
        <v>109166.66666666663</v>
      </c>
      <c r="Q255" s="48">
        <v>833333.33333333337</v>
      </c>
      <c r="R255" s="48">
        <v>109166.66666666663</v>
      </c>
      <c r="S255" s="48">
        <v>833333.33333333337</v>
      </c>
      <c r="T255" s="48">
        <v>109166.66666666663</v>
      </c>
      <c r="U255" s="48">
        <v>833333.33333333337</v>
      </c>
      <c r="V255" s="48">
        <v>109166.66666666663</v>
      </c>
      <c r="W255" s="132">
        <v>6666666.666666667</v>
      </c>
      <c r="X255" s="132">
        <v>873333.33333333372</v>
      </c>
      <c r="Y255" s="48"/>
      <c r="Z255" s="48"/>
      <c r="AA255" s="48"/>
      <c r="AB255" s="48"/>
      <c r="AC255" s="54">
        <f t="shared" si="16"/>
        <v>0</v>
      </c>
      <c r="AD255" s="54">
        <f t="shared" si="16"/>
        <v>0</v>
      </c>
      <c r="AE255" s="2">
        <f t="shared" si="17"/>
        <v>1310000.0000000002</v>
      </c>
    </row>
    <row r="256" spans="1:31" x14ac:dyDescent="0.2">
      <c r="A256" s="4" t="s">
        <v>139</v>
      </c>
      <c r="B256" s="5" t="s">
        <v>140</v>
      </c>
      <c r="C256" s="52">
        <v>3000000</v>
      </c>
      <c r="D256" s="52">
        <v>303000</v>
      </c>
      <c r="E256" s="48"/>
      <c r="F256" s="48"/>
      <c r="G256" s="48"/>
      <c r="H256" s="48"/>
      <c r="I256" s="136"/>
      <c r="J256" s="136"/>
      <c r="K256" s="48"/>
      <c r="L256" s="48"/>
      <c r="M256" s="48"/>
      <c r="N256" s="48"/>
      <c r="O256" s="177">
        <v>333333</v>
      </c>
      <c r="P256" s="177">
        <v>33667</v>
      </c>
      <c r="Q256" s="177">
        <v>333333</v>
      </c>
      <c r="R256" s="177">
        <v>33667</v>
      </c>
      <c r="S256" s="177">
        <v>333333</v>
      </c>
      <c r="T256" s="177">
        <v>33667</v>
      </c>
      <c r="U256" s="177">
        <v>333333</v>
      </c>
      <c r="V256" s="177">
        <v>33667</v>
      </c>
      <c r="W256" s="177">
        <v>333333</v>
      </c>
      <c r="X256" s="177">
        <v>33667</v>
      </c>
      <c r="Y256" s="177">
        <v>333333</v>
      </c>
      <c r="Z256" s="177">
        <v>33667</v>
      </c>
      <c r="AA256" s="177">
        <v>333333</v>
      </c>
      <c r="AB256" s="177">
        <v>33667</v>
      </c>
      <c r="AC256" s="54">
        <f t="shared" si="16"/>
        <v>666669</v>
      </c>
      <c r="AD256" s="54">
        <f t="shared" si="16"/>
        <v>67331</v>
      </c>
      <c r="AE256" s="2">
        <f t="shared" si="17"/>
        <v>235669</v>
      </c>
    </row>
    <row r="257" spans="1:31" x14ac:dyDescent="0.2">
      <c r="A257" s="4">
        <v>34000631</v>
      </c>
      <c r="B257" s="5" t="s">
        <v>247</v>
      </c>
      <c r="C257" s="52">
        <v>2000000</v>
      </c>
      <c r="D257" s="52">
        <v>200000</v>
      </c>
      <c r="E257" s="48"/>
      <c r="F257" s="48"/>
      <c r="G257" s="48"/>
      <c r="H257" s="48"/>
      <c r="I257" s="136"/>
      <c r="J257" s="136"/>
      <c r="K257" s="48"/>
      <c r="L257" s="48"/>
      <c r="M257" s="48"/>
      <c r="N257" s="48"/>
      <c r="O257" s="48">
        <v>200000</v>
      </c>
      <c r="P257" s="48">
        <v>20000</v>
      </c>
      <c r="Q257" s="48">
        <v>200000</v>
      </c>
      <c r="R257" s="48">
        <v>20000</v>
      </c>
      <c r="S257" s="48">
        <v>200000</v>
      </c>
      <c r="T257" s="48">
        <v>20000</v>
      </c>
      <c r="U257" s="48">
        <v>200000</v>
      </c>
      <c r="V257" s="48">
        <v>20000</v>
      </c>
      <c r="W257" s="48">
        <v>200000</v>
      </c>
      <c r="X257" s="48">
        <v>20000</v>
      </c>
      <c r="Y257" s="48">
        <v>200000</v>
      </c>
      <c r="Z257" s="48">
        <v>20000</v>
      </c>
      <c r="AA257" s="48">
        <v>200000</v>
      </c>
      <c r="AB257" s="48">
        <v>20000</v>
      </c>
      <c r="AC257" s="54">
        <f>+C257-E257-G257-I257-K257-M257-O257-Q257-S257-U257-W257-Y257-AA257</f>
        <v>600000</v>
      </c>
      <c r="AD257" s="54">
        <f>+D257-F257-H257-J257-L257-N257-P257-R257-T257-V257-X257-Z257-AB257</f>
        <v>60000</v>
      </c>
      <c r="AE257" s="2">
        <f t="shared" si="17"/>
        <v>140000</v>
      </c>
    </row>
    <row r="258" spans="1:31" x14ac:dyDescent="0.2">
      <c r="A258" s="4">
        <v>34000780</v>
      </c>
      <c r="B258" s="5" t="s">
        <v>320</v>
      </c>
      <c r="C258" s="52">
        <v>10000000</v>
      </c>
      <c r="D258" s="52">
        <v>1310000</v>
      </c>
      <c r="E258" s="48"/>
      <c r="F258" s="48"/>
      <c r="G258" s="48"/>
      <c r="H258" s="48"/>
      <c r="I258" s="136"/>
      <c r="J258" s="136"/>
      <c r="K258" s="48"/>
      <c r="L258" s="48"/>
      <c r="M258" s="48"/>
      <c r="N258" s="48"/>
      <c r="O258" s="48">
        <v>833333.33333333337</v>
      </c>
      <c r="P258" s="48">
        <v>109166.66666666663</v>
      </c>
      <c r="Q258" s="48">
        <v>833333.33333333337</v>
      </c>
      <c r="R258" s="48">
        <v>109166.66666666663</v>
      </c>
      <c r="S258" s="48">
        <v>833333.33333333337</v>
      </c>
      <c r="T258" s="48">
        <v>109166.66666666663</v>
      </c>
      <c r="U258" s="48">
        <v>833333.33333333337</v>
      </c>
      <c r="V258" s="48">
        <v>109166.66666666663</v>
      </c>
      <c r="W258" s="48">
        <v>833333.33333333337</v>
      </c>
      <c r="X258" s="48">
        <v>109166.66666666663</v>
      </c>
      <c r="Y258" s="48">
        <v>833333.33333333337</v>
      </c>
      <c r="Z258" s="48">
        <v>109166.66666666663</v>
      </c>
      <c r="AA258" s="48">
        <v>833333.33333333337</v>
      </c>
      <c r="AB258" s="48">
        <v>109166.66666666663</v>
      </c>
      <c r="AC258" s="54">
        <f t="shared" si="16"/>
        <v>4166666.6666666674</v>
      </c>
      <c r="AD258" s="54">
        <f t="shared" si="16"/>
        <v>545833.33333333384</v>
      </c>
      <c r="AE258" s="2">
        <f t="shared" si="17"/>
        <v>764166.6666666664</v>
      </c>
    </row>
    <row r="259" spans="1:31" x14ac:dyDescent="0.2">
      <c r="A259" s="4">
        <v>34000601</v>
      </c>
      <c r="B259" s="5" t="s">
        <v>652</v>
      </c>
      <c r="C259" s="52">
        <v>3375000</v>
      </c>
      <c r="D259" s="52">
        <v>375000</v>
      </c>
      <c r="E259" s="48"/>
      <c r="F259" s="48"/>
      <c r="G259" s="48"/>
      <c r="H259" s="48"/>
      <c r="I259" s="136"/>
      <c r="J259" s="136"/>
      <c r="K259" s="48"/>
      <c r="L259" s="48"/>
      <c r="M259" s="48"/>
      <c r="N259" s="48"/>
      <c r="O259" s="48">
        <v>281250</v>
      </c>
      <c r="P259" s="48">
        <v>31250</v>
      </c>
      <c r="Q259" s="48">
        <v>281250</v>
      </c>
      <c r="R259" s="48">
        <v>31250</v>
      </c>
      <c r="S259" s="48">
        <v>281250</v>
      </c>
      <c r="T259" s="48">
        <v>31250</v>
      </c>
      <c r="U259" s="48">
        <v>281250</v>
      </c>
      <c r="V259" s="48">
        <v>31250</v>
      </c>
      <c r="W259" s="48">
        <v>281250</v>
      </c>
      <c r="X259" s="48">
        <v>31250</v>
      </c>
      <c r="Y259" s="48">
        <v>281250</v>
      </c>
      <c r="Z259" s="48">
        <v>31250</v>
      </c>
      <c r="AA259" s="48">
        <v>281250</v>
      </c>
      <c r="AB259" s="48">
        <v>31250</v>
      </c>
      <c r="AC259" s="54">
        <f t="shared" si="16"/>
        <v>1406250</v>
      </c>
      <c r="AD259" s="54">
        <f t="shared" si="16"/>
        <v>156250</v>
      </c>
      <c r="AE259" s="2">
        <f t="shared" si="17"/>
        <v>218750</v>
      </c>
    </row>
    <row r="260" spans="1:31" x14ac:dyDescent="0.2">
      <c r="A260" s="4">
        <v>34000394</v>
      </c>
      <c r="B260" s="5" t="s">
        <v>535</v>
      </c>
      <c r="C260" s="52">
        <v>7500000</v>
      </c>
      <c r="D260" s="52">
        <v>780000</v>
      </c>
      <c r="E260" s="48"/>
      <c r="F260" s="48"/>
      <c r="G260" s="48"/>
      <c r="H260" s="48"/>
      <c r="I260" s="136"/>
      <c r="J260" s="136"/>
      <c r="K260" s="48"/>
      <c r="L260" s="48"/>
      <c r="M260" s="48"/>
      <c r="N260" s="48"/>
      <c r="O260" s="48"/>
      <c r="P260" s="48"/>
      <c r="Q260" s="48">
        <v>625000</v>
      </c>
      <c r="R260" s="48">
        <v>65000</v>
      </c>
      <c r="S260" s="48">
        <v>625000</v>
      </c>
      <c r="T260" s="48">
        <v>65000</v>
      </c>
      <c r="U260" s="48">
        <v>625000</v>
      </c>
      <c r="V260" s="48">
        <v>65000</v>
      </c>
      <c r="W260" s="48">
        <v>625000</v>
      </c>
      <c r="X260" s="48">
        <v>65000</v>
      </c>
      <c r="Y260" s="48">
        <v>625000</v>
      </c>
      <c r="Z260" s="48">
        <v>65000</v>
      </c>
      <c r="AA260" s="48">
        <v>625000</v>
      </c>
      <c r="AB260" s="48">
        <v>65000</v>
      </c>
      <c r="AC260" s="54">
        <f t="shared" si="16"/>
        <v>3750000</v>
      </c>
      <c r="AD260" s="54">
        <f t="shared" si="16"/>
        <v>390000</v>
      </c>
      <c r="AE260" s="2">
        <f t="shared" si="17"/>
        <v>390000</v>
      </c>
    </row>
    <row r="261" spans="1:31" x14ac:dyDescent="0.2">
      <c r="A261" s="4">
        <v>34000379</v>
      </c>
      <c r="B261" s="5" t="s">
        <v>484</v>
      </c>
      <c r="C261" s="52">
        <v>4000000</v>
      </c>
      <c r="D261" s="52">
        <v>404000</v>
      </c>
      <c r="E261" s="48"/>
      <c r="F261" s="48"/>
      <c r="G261" s="48"/>
      <c r="H261" s="48"/>
      <c r="I261" s="136"/>
      <c r="J261" s="136"/>
      <c r="K261" s="48"/>
      <c r="L261" s="48"/>
      <c r="M261" s="48"/>
      <c r="N261" s="48"/>
      <c r="O261" s="48"/>
      <c r="P261" s="48"/>
      <c r="Q261" s="48">
        <v>666667</v>
      </c>
      <c r="R261" s="48">
        <v>67333</v>
      </c>
      <c r="S261" s="48">
        <v>666667</v>
      </c>
      <c r="T261" s="48">
        <v>67333</v>
      </c>
      <c r="U261" s="48">
        <v>666667</v>
      </c>
      <c r="V261" s="48">
        <v>67333</v>
      </c>
      <c r="W261" s="48">
        <v>666667</v>
      </c>
      <c r="X261" s="48">
        <v>67333</v>
      </c>
      <c r="Y261" s="48">
        <v>666667</v>
      </c>
      <c r="Z261" s="48">
        <v>67333</v>
      </c>
      <c r="AA261" s="48">
        <v>666667</v>
      </c>
      <c r="AB261" s="48">
        <v>67333</v>
      </c>
      <c r="AC261" s="54">
        <f t="shared" si="16"/>
        <v>-2</v>
      </c>
      <c r="AD261" s="54">
        <f>+D261-F261-H261-J261-L261-N261-P261-R261-T261-V261-X261-Z261-AB261</f>
        <v>2</v>
      </c>
      <c r="AE261" s="2">
        <f t="shared" si="17"/>
        <v>403998</v>
      </c>
    </row>
    <row r="262" spans="1:31" x14ac:dyDescent="0.2">
      <c r="A262" s="4">
        <v>34000259</v>
      </c>
      <c r="B262" s="5" t="s">
        <v>480</v>
      </c>
      <c r="C262" s="52">
        <v>3999000</v>
      </c>
      <c r="D262" s="52">
        <v>401000</v>
      </c>
      <c r="E262" s="48"/>
      <c r="F262" s="48"/>
      <c r="G262" s="48"/>
      <c r="H262" s="48"/>
      <c r="I262" s="136"/>
      <c r="J262" s="136"/>
      <c r="K262" s="48"/>
      <c r="L262" s="48"/>
      <c r="M262" s="48"/>
      <c r="N262" s="48"/>
      <c r="O262" s="48"/>
      <c r="P262" s="48"/>
      <c r="Q262" s="48">
        <v>399900</v>
      </c>
      <c r="R262" s="48">
        <v>40100</v>
      </c>
      <c r="S262" s="48">
        <v>399900</v>
      </c>
      <c r="T262" s="48">
        <v>40100</v>
      </c>
      <c r="U262" s="48">
        <v>399900</v>
      </c>
      <c r="V262" s="48">
        <v>40100</v>
      </c>
      <c r="W262" s="48">
        <v>399900</v>
      </c>
      <c r="X262" s="48">
        <v>40100</v>
      </c>
      <c r="Y262" s="48">
        <v>399900</v>
      </c>
      <c r="Z262" s="48">
        <v>40100</v>
      </c>
      <c r="AA262" s="48">
        <v>399900</v>
      </c>
      <c r="AB262" s="48">
        <v>40100</v>
      </c>
      <c r="AC262" s="54">
        <f t="shared" si="16"/>
        <v>1599600</v>
      </c>
      <c r="AD262" s="54">
        <f t="shared" si="16"/>
        <v>160400</v>
      </c>
      <c r="AE262" s="2">
        <f t="shared" si="17"/>
        <v>240600</v>
      </c>
    </row>
    <row r="263" spans="1:31" x14ac:dyDescent="0.2">
      <c r="A263" s="4">
        <v>34000643</v>
      </c>
      <c r="B263" s="5" t="s">
        <v>375</v>
      </c>
      <c r="C263" s="52">
        <v>2999000</v>
      </c>
      <c r="D263" s="52">
        <v>301000</v>
      </c>
      <c r="E263" s="48"/>
      <c r="F263" s="48"/>
      <c r="G263" s="48"/>
      <c r="H263" s="48"/>
      <c r="I263" s="136"/>
      <c r="J263" s="136"/>
      <c r="K263" s="48"/>
      <c r="L263" s="48"/>
      <c r="M263" s="48"/>
      <c r="N263" s="48"/>
      <c r="O263" s="48"/>
      <c r="P263" s="48"/>
      <c r="Q263" s="48"/>
      <c r="R263" s="48"/>
      <c r="S263" s="48">
        <v>249916.66666666666</v>
      </c>
      <c r="T263" s="48">
        <v>25083.333333333343</v>
      </c>
      <c r="U263" s="48">
        <v>249916.66666666666</v>
      </c>
      <c r="V263" s="48">
        <v>25083.333333333343</v>
      </c>
      <c r="W263" s="48">
        <v>249916.66666666666</v>
      </c>
      <c r="X263" s="48">
        <v>25083.333333333343</v>
      </c>
      <c r="Y263" s="48">
        <v>249916.66666666666</v>
      </c>
      <c r="Z263" s="48">
        <v>25083.333333333343</v>
      </c>
      <c r="AA263" s="48">
        <v>249916.66666666666</v>
      </c>
      <c r="AB263" s="48">
        <v>25083.333333333343</v>
      </c>
      <c r="AC263" s="54">
        <f t="shared" si="16"/>
        <v>1749416.666666667</v>
      </c>
      <c r="AD263" s="54">
        <f t="shared" si="16"/>
        <v>175583.33333333326</v>
      </c>
      <c r="AE263" s="2">
        <f t="shared" si="17"/>
        <v>125416.66666666672</v>
      </c>
    </row>
    <row r="264" spans="1:31" ht="10.9" customHeight="1" x14ac:dyDescent="0.2">
      <c r="A264" s="4">
        <v>34000698</v>
      </c>
      <c r="B264" s="5" t="s">
        <v>648</v>
      </c>
      <c r="C264" s="52">
        <v>9249000</v>
      </c>
      <c r="D264" s="52">
        <v>927000</v>
      </c>
      <c r="E264" s="48"/>
      <c r="F264" s="48"/>
      <c r="G264" s="48"/>
      <c r="H264" s="48"/>
      <c r="I264" s="136"/>
      <c r="J264" s="136"/>
      <c r="K264" s="48"/>
      <c r="L264" s="48"/>
      <c r="M264" s="48"/>
      <c r="N264" s="48"/>
      <c r="O264" s="48"/>
      <c r="P264" s="48"/>
      <c r="Q264" s="48"/>
      <c r="R264" s="48"/>
      <c r="S264" s="48">
        <v>770750</v>
      </c>
      <c r="T264" s="48">
        <v>77250</v>
      </c>
      <c r="U264" s="48">
        <v>770750</v>
      </c>
      <c r="V264" s="48">
        <v>77250</v>
      </c>
      <c r="W264" s="48">
        <v>770750</v>
      </c>
      <c r="X264" s="48">
        <v>77250</v>
      </c>
      <c r="Y264" s="48">
        <v>770750</v>
      </c>
      <c r="Z264" s="48">
        <v>77250</v>
      </c>
      <c r="AA264" s="48">
        <v>770750</v>
      </c>
      <c r="AB264" s="48">
        <v>77250</v>
      </c>
      <c r="AC264" s="54">
        <f t="shared" si="16"/>
        <v>5395250</v>
      </c>
      <c r="AD264" s="54">
        <f t="shared" si="16"/>
        <v>540750</v>
      </c>
      <c r="AE264" s="2">
        <f t="shared" si="17"/>
        <v>386250</v>
      </c>
    </row>
    <row r="265" spans="1:31" x14ac:dyDescent="0.2">
      <c r="A265" s="4">
        <v>34000215</v>
      </c>
      <c r="B265" s="5" t="s">
        <v>137</v>
      </c>
      <c r="C265" s="52">
        <v>5500000</v>
      </c>
      <c r="D265" s="52">
        <v>500000</v>
      </c>
      <c r="E265" s="48"/>
      <c r="F265" s="48"/>
      <c r="G265" s="48"/>
      <c r="H265" s="48"/>
      <c r="I265" s="136"/>
      <c r="J265" s="136"/>
      <c r="K265" s="48"/>
      <c r="L265" s="48"/>
      <c r="M265" s="48"/>
      <c r="N265" s="48"/>
      <c r="O265" s="48"/>
      <c r="P265" s="48"/>
      <c r="Q265" s="132">
        <v>3208333.3333333335</v>
      </c>
      <c r="R265" s="132">
        <v>291666.66666666657</v>
      </c>
      <c r="S265" s="48">
        <v>458333.33333333331</v>
      </c>
      <c r="T265" s="48">
        <v>41666.666666666686</v>
      </c>
      <c r="U265" s="48">
        <v>458333.33333333331</v>
      </c>
      <c r="V265" s="48">
        <v>41666.666666666686</v>
      </c>
      <c r="W265" s="48">
        <v>458333.33333333331</v>
      </c>
      <c r="X265" s="48">
        <v>41666.666666666686</v>
      </c>
      <c r="Y265" s="48">
        <v>458333.33333333331</v>
      </c>
      <c r="Z265" s="48">
        <v>41666.666666666686</v>
      </c>
      <c r="AA265" s="48">
        <v>458333.33333333331</v>
      </c>
      <c r="AB265" s="48">
        <v>41666.666666666686</v>
      </c>
      <c r="AC265" s="54">
        <f t="shared" si="16"/>
        <v>0</v>
      </c>
      <c r="AD265" s="54">
        <f t="shared" si="16"/>
        <v>0</v>
      </c>
      <c r="AE265" s="2">
        <f t="shared" si="17"/>
        <v>500000</v>
      </c>
    </row>
    <row r="266" spans="1:31" x14ac:dyDescent="0.2">
      <c r="A266" s="4">
        <v>34000012</v>
      </c>
      <c r="B266" s="5" t="s">
        <v>353</v>
      </c>
      <c r="C266" s="52">
        <v>3855000</v>
      </c>
      <c r="D266" s="52">
        <v>393000</v>
      </c>
      <c r="E266" s="48"/>
      <c r="F266" s="48"/>
      <c r="G266" s="48"/>
      <c r="H266" s="48"/>
      <c r="I266" s="136"/>
      <c r="J266" s="136"/>
      <c r="K266" s="48"/>
      <c r="L266" s="48"/>
      <c r="M266" s="48"/>
      <c r="N266" s="48"/>
      <c r="O266" s="48"/>
      <c r="P266" s="48"/>
      <c r="Q266" s="48"/>
      <c r="R266" s="48"/>
      <c r="S266" s="48">
        <v>321250</v>
      </c>
      <c r="T266" s="48">
        <v>32750</v>
      </c>
      <c r="U266" s="48">
        <v>321250</v>
      </c>
      <c r="V266" s="48">
        <v>32750</v>
      </c>
      <c r="W266" s="48">
        <v>321250</v>
      </c>
      <c r="X266" s="48">
        <v>32750</v>
      </c>
      <c r="Y266" s="48">
        <v>321250</v>
      </c>
      <c r="Z266" s="48">
        <v>32750</v>
      </c>
      <c r="AA266" s="48">
        <v>321250</v>
      </c>
      <c r="AB266" s="48">
        <v>32750</v>
      </c>
      <c r="AC266" s="54">
        <f t="shared" si="16"/>
        <v>2248750</v>
      </c>
      <c r="AD266" s="54">
        <f t="shared" si="16"/>
        <v>229250</v>
      </c>
      <c r="AE266" s="2">
        <f t="shared" si="17"/>
        <v>163750</v>
      </c>
    </row>
    <row r="267" spans="1:31" x14ac:dyDescent="0.2">
      <c r="A267" s="4">
        <v>34000634</v>
      </c>
      <c r="B267" s="5" t="s">
        <v>589</v>
      </c>
      <c r="C267" s="52">
        <v>3999000</v>
      </c>
      <c r="D267" s="52">
        <v>405000</v>
      </c>
      <c r="E267" s="48"/>
      <c r="F267" s="48"/>
      <c r="G267" s="48"/>
      <c r="H267" s="48"/>
      <c r="I267" s="136"/>
      <c r="J267" s="136"/>
      <c r="K267" s="48"/>
      <c r="L267" s="48"/>
      <c r="M267" s="48"/>
      <c r="N267" s="48"/>
      <c r="O267" s="48"/>
      <c r="P267" s="48"/>
      <c r="Q267" s="48"/>
      <c r="R267" s="48"/>
      <c r="S267" s="48">
        <v>333250</v>
      </c>
      <c r="T267" s="48">
        <v>33750</v>
      </c>
      <c r="U267" s="48">
        <v>333250</v>
      </c>
      <c r="V267" s="48">
        <v>33750</v>
      </c>
      <c r="W267" s="48">
        <v>333250</v>
      </c>
      <c r="X267" s="48">
        <v>33750</v>
      </c>
      <c r="Y267" s="48">
        <v>333250</v>
      </c>
      <c r="Z267" s="48">
        <v>33750</v>
      </c>
      <c r="AA267" s="48">
        <v>333250</v>
      </c>
      <c r="AB267" s="48">
        <v>33750</v>
      </c>
      <c r="AC267" s="54">
        <f t="shared" si="16"/>
        <v>2332750</v>
      </c>
      <c r="AD267" s="54">
        <f t="shared" si="16"/>
        <v>236250</v>
      </c>
      <c r="AE267" s="2">
        <f t="shared" si="17"/>
        <v>168750</v>
      </c>
    </row>
    <row r="268" spans="1:31" x14ac:dyDescent="0.2">
      <c r="A268" s="4">
        <v>34000510</v>
      </c>
      <c r="B268" s="5" t="s">
        <v>160</v>
      </c>
      <c r="C268" s="52">
        <v>4399000</v>
      </c>
      <c r="D268" s="52">
        <v>461000</v>
      </c>
      <c r="E268" s="48"/>
      <c r="F268" s="48"/>
      <c r="G268" s="48"/>
      <c r="H268" s="48"/>
      <c r="I268" s="136"/>
      <c r="J268" s="136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>
        <v>366583.33333333331</v>
      </c>
      <c r="V268" s="48">
        <v>38416.666666666686</v>
      </c>
      <c r="W268" s="48">
        <v>366583.33333333331</v>
      </c>
      <c r="X268" s="48">
        <v>38416.666666666686</v>
      </c>
      <c r="Y268" s="48">
        <v>366583.33333333331</v>
      </c>
      <c r="Z268" s="48">
        <v>38416.666666666686</v>
      </c>
      <c r="AA268" s="48">
        <v>366583.33333333331</v>
      </c>
      <c r="AB268" s="48">
        <v>38416.666666666686</v>
      </c>
      <c r="AC268" s="54">
        <f t="shared" si="16"/>
        <v>2932666.666666666</v>
      </c>
      <c r="AD268" s="54">
        <f t="shared" si="16"/>
        <v>307333.33333333326</v>
      </c>
      <c r="AE268" s="2">
        <f t="shared" si="17"/>
        <v>153666.66666666674</v>
      </c>
    </row>
    <row r="269" spans="1:31" x14ac:dyDescent="0.2">
      <c r="A269" s="4">
        <v>34000337</v>
      </c>
      <c r="B269" s="5" t="s">
        <v>238</v>
      </c>
      <c r="C269" s="52">
        <v>2499000</v>
      </c>
      <c r="D269" s="52">
        <v>321000</v>
      </c>
      <c r="E269" s="48"/>
      <c r="F269" s="48"/>
      <c r="G269" s="48"/>
      <c r="H269" s="48"/>
      <c r="I269" s="136"/>
      <c r="J269" s="136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>
        <v>208250</v>
      </c>
      <c r="X269" s="48">
        <v>26750</v>
      </c>
      <c r="Y269" s="48">
        <v>208250</v>
      </c>
      <c r="Z269" s="48">
        <v>26750</v>
      </c>
      <c r="AA269" s="48">
        <v>208250</v>
      </c>
      <c r="AB269" s="48">
        <v>26750</v>
      </c>
      <c r="AC269" s="54">
        <f t="shared" si="16"/>
        <v>1874250</v>
      </c>
      <c r="AD269" s="54">
        <f t="shared" si="16"/>
        <v>240750</v>
      </c>
      <c r="AE269" s="2">
        <f t="shared" si="17"/>
        <v>80250</v>
      </c>
    </row>
    <row r="270" spans="1:31" x14ac:dyDescent="0.2">
      <c r="A270" s="4">
        <v>34000106</v>
      </c>
      <c r="B270" s="5" t="s">
        <v>472</v>
      </c>
      <c r="C270" s="52">
        <v>9000000</v>
      </c>
      <c r="D270" s="52">
        <v>900000</v>
      </c>
      <c r="E270" s="48"/>
      <c r="F270" s="48"/>
      <c r="G270" s="48"/>
      <c r="H270" s="48"/>
      <c r="I270" s="136"/>
      <c r="J270" s="136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>
        <v>750000</v>
      </c>
      <c r="X270" s="48">
        <v>75000</v>
      </c>
      <c r="Y270" s="48">
        <v>750000</v>
      </c>
      <c r="Z270" s="48">
        <v>75000</v>
      </c>
      <c r="AA270" s="48">
        <v>750000</v>
      </c>
      <c r="AB270" s="48">
        <v>75000</v>
      </c>
      <c r="AC270" s="54">
        <f t="shared" si="16"/>
        <v>6750000</v>
      </c>
      <c r="AD270" s="54">
        <f t="shared" si="16"/>
        <v>675000</v>
      </c>
      <c r="AE270" s="2">
        <f t="shared" si="17"/>
        <v>225000</v>
      </c>
    </row>
    <row r="271" spans="1:31" x14ac:dyDescent="0.2">
      <c r="A271" s="4">
        <v>34000129</v>
      </c>
      <c r="B271" s="5" t="s">
        <v>564</v>
      </c>
      <c r="C271" s="52">
        <v>5000000</v>
      </c>
      <c r="D271" s="52">
        <v>520000</v>
      </c>
      <c r="E271" s="48"/>
      <c r="F271" s="48"/>
      <c r="G271" s="48"/>
      <c r="H271" s="48"/>
      <c r="I271" s="136"/>
      <c r="J271" s="136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>
        <v>833333.33333333337</v>
      </c>
      <c r="X271" s="48">
        <v>86666.666666666628</v>
      </c>
      <c r="Y271" s="48">
        <v>833333.33333333337</v>
      </c>
      <c r="Z271" s="48">
        <v>86666.666666666628</v>
      </c>
      <c r="AA271" s="48">
        <v>833333.33333333337</v>
      </c>
      <c r="AB271" s="48">
        <v>86666.666666666628</v>
      </c>
      <c r="AC271" s="54">
        <f t="shared" si="16"/>
        <v>2499999.9999999995</v>
      </c>
      <c r="AD271" s="54">
        <f t="shared" si="16"/>
        <v>260000.00000000012</v>
      </c>
      <c r="AE271" s="2">
        <f t="shared" si="17"/>
        <v>259999.99999999988</v>
      </c>
    </row>
    <row r="272" spans="1:31" x14ac:dyDescent="0.2">
      <c r="A272" s="4">
        <v>34000277</v>
      </c>
      <c r="B272" s="5" t="s">
        <v>238</v>
      </c>
      <c r="C272" s="52">
        <v>10027000</v>
      </c>
      <c r="D272" s="52">
        <v>1013000</v>
      </c>
      <c r="E272" s="48"/>
      <c r="F272" s="48"/>
      <c r="G272" s="48"/>
      <c r="H272" s="48"/>
      <c r="I272" s="136"/>
      <c r="J272" s="136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>
        <v>835583.33333333337</v>
      </c>
      <c r="Z272" s="48">
        <v>84416.666666666628</v>
      </c>
      <c r="AA272" s="48">
        <v>835583.33333333337</v>
      </c>
      <c r="AB272" s="48">
        <v>84416.666666666628</v>
      </c>
      <c r="AC272" s="54">
        <f t="shared" si="16"/>
        <v>8355833.333333333</v>
      </c>
      <c r="AD272" s="54">
        <f t="shared" si="16"/>
        <v>844166.66666666674</v>
      </c>
      <c r="AE272" s="2">
        <f t="shared" si="17"/>
        <v>168833.33333333326</v>
      </c>
    </row>
    <row r="273" spans="1:31" x14ac:dyDescent="0.2">
      <c r="A273" s="4">
        <v>34000125</v>
      </c>
      <c r="B273" s="5" t="s">
        <v>603</v>
      </c>
      <c r="C273" s="52">
        <v>10000000</v>
      </c>
      <c r="D273" s="52">
        <v>1040000</v>
      </c>
      <c r="E273" s="48"/>
      <c r="F273" s="48"/>
      <c r="G273" s="48"/>
      <c r="H273" s="48"/>
      <c r="I273" s="136"/>
      <c r="J273" s="136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>
        <v>833333.33333333337</v>
      </c>
      <c r="AB273" s="48">
        <v>86666.666666666628</v>
      </c>
      <c r="AC273" s="54">
        <f t="shared" si="16"/>
        <v>9166666.666666666</v>
      </c>
      <c r="AD273" s="54">
        <f t="shared" si="16"/>
        <v>953333.33333333337</v>
      </c>
      <c r="AE273" s="2">
        <f t="shared" si="17"/>
        <v>86666.666666666628</v>
      </c>
    </row>
    <row r="274" spans="1:31" x14ac:dyDescent="0.2">
      <c r="A274" s="4">
        <v>34000363</v>
      </c>
      <c r="B274" s="5" t="s">
        <v>236</v>
      </c>
      <c r="C274" s="52">
        <v>7499000</v>
      </c>
      <c r="D274" s="52">
        <v>751000</v>
      </c>
      <c r="E274" s="48"/>
      <c r="F274" s="48"/>
      <c r="G274" s="48"/>
      <c r="H274" s="48"/>
      <c r="I274" s="136"/>
      <c r="J274" s="136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>
        <v>624916.66666666663</v>
      </c>
      <c r="Z274" s="48">
        <v>62583.333333333372</v>
      </c>
      <c r="AA274" s="48">
        <v>624916.66666666663</v>
      </c>
      <c r="AB274" s="48">
        <v>62583.333333333372</v>
      </c>
      <c r="AC274" s="54">
        <f t="shared" si="16"/>
        <v>6249166.666666666</v>
      </c>
      <c r="AD274" s="54">
        <f t="shared" si="16"/>
        <v>625833.33333333326</v>
      </c>
      <c r="AE274" s="2">
        <f t="shared" si="17"/>
        <v>125166.66666666674</v>
      </c>
    </row>
    <row r="275" spans="1:31" x14ac:dyDescent="0.2">
      <c r="A275" s="4">
        <v>34000082</v>
      </c>
      <c r="B275" s="5" t="s">
        <v>328</v>
      </c>
      <c r="C275" s="52">
        <v>5000000</v>
      </c>
      <c r="D275" s="52">
        <v>490000</v>
      </c>
      <c r="E275" s="48"/>
      <c r="F275" s="48"/>
      <c r="G275" s="48"/>
      <c r="H275" s="48"/>
      <c r="I275" s="136"/>
      <c r="J275" s="136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132">
        <v>4166666.6666666665</v>
      </c>
      <c r="Z275" s="132">
        <v>408333.33333333337</v>
      </c>
      <c r="AA275" s="48">
        <v>833333.33333333337</v>
      </c>
      <c r="AB275" s="48">
        <v>81666.666666666628</v>
      </c>
      <c r="AC275" s="54">
        <f t="shared" si="16"/>
        <v>0</v>
      </c>
      <c r="AD275" s="54">
        <f t="shared" si="16"/>
        <v>0</v>
      </c>
      <c r="AE275" s="2">
        <f t="shared" si="17"/>
        <v>490000</v>
      </c>
    </row>
    <row r="276" spans="1:31" x14ac:dyDescent="0.2">
      <c r="A276" s="4">
        <v>34000012</v>
      </c>
      <c r="B276" s="5" t="s">
        <v>353</v>
      </c>
      <c r="C276" s="52">
        <v>1425000</v>
      </c>
      <c r="D276" s="52">
        <v>165000</v>
      </c>
      <c r="E276" s="53"/>
      <c r="F276" s="53"/>
      <c r="G276" s="53"/>
      <c r="H276" s="53"/>
      <c r="I276" s="54"/>
      <c r="J276" s="54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4"/>
      <c r="Z276" s="54"/>
      <c r="AA276" s="53"/>
      <c r="AB276" s="53"/>
      <c r="AC276" s="54">
        <f t="shared" si="16"/>
        <v>1425000</v>
      </c>
      <c r="AD276" s="54">
        <f t="shared" si="16"/>
        <v>165000</v>
      </c>
      <c r="AE276" s="2">
        <f t="shared" si="17"/>
        <v>0</v>
      </c>
    </row>
    <row r="277" spans="1:31" x14ac:dyDescent="0.2">
      <c r="A277" s="4">
        <v>34000118</v>
      </c>
      <c r="B277" s="5" t="s">
        <v>476</v>
      </c>
      <c r="C277" s="52">
        <v>4999000</v>
      </c>
      <c r="D277" s="52">
        <v>521000</v>
      </c>
      <c r="E277" s="53"/>
      <c r="F277" s="53"/>
      <c r="G277" s="53"/>
      <c r="H277" s="53"/>
      <c r="I277" s="54"/>
      <c r="J277" s="54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4"/>
      <c r="Z277" s="54"/>
      <c r="AA277" s="53"/>
      <c r="AB277" s="53"/>
      <c r="AC277" s="54">
        <f t="shared" si="16"/>
        <v>4999000</v>
      </c>
      <c r="AD277" s="54">
        <f t="shared" si="16"/>
        <v>521000</v>
      </c>
      <c r="AE277" s="2">
        <f t="shared" si="17"/>
        <v>0</v>
      </c>
    </row>
    <row r="278" spans="1:31" x14ac:dyDescent="0.2">
      <c r="A278" s="4">
        <v>34000100</v>
      </c>
      <c r="B278" s="5" t="s">
        <v>244</v>
      </c>
      <c r="C278" s="52">
        <v>5000000</v>
      </c>
      <c r="D278" s="52">
        <v>520000</v>
      </c>
      <c r="E278" s="53"/>
      <c r="F278" s="53"/>
      <c r="G278" s="53"/>
      <c r="H278" s="53"/>
      <c r="I278" s="54"/>
      <c r="J278" s="54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4"/>
      <c r="Z278" s="54"/>
      <c r="AA278" s="53"/>
      <c r="AB278" s="53"/>
      <c r="AC278" s="54">
        <f t="shared" si="16"/>
        <v>5000000</v>
      </c>
      <c r="AD278" s="54">
        <f t="shared" si="16"/>
        <v>520000</v>
      </c>
      <c r="AE278" s="2">
        <f t="shared" si="17"/>
        <v>0</v>
      </c>
    </row>
    <row r="279" spans="1:31" x14ac:dyDescent="0.2">
      <c r="A279" s="4">
        <v>34000265</v>
      </c>
      <c r="B279" s="5" t="s">
        <v>373</v>
      </c>
      <c r="C279" s="52">
        <v>28500000</v>
      </c>
      <c r="D279" s="52">
        <v>2800000</v>
      </c>
      <c r="E279" s="53"/>
      <c r="F279" s="53"/>
      <c r="G279" s="53"/>
      <c r="H279" s="53"/>
      <c r="I279" s="54"/>
      <c r="J279" s="54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>
        <v>2375000</v>
      </c>
      <c r="V279" s="53">
        <v>233333.33333333334</v>
      </c>
      <c r="W279" s="53">
        <v>2375000</v>
      </c>
      <c r="X279" s="53">
        <v>233333.33333333334</v>
      </c>
      <c r="Y279" s="53">
        <v>2375000</v>
      </c>
      <c r="Z279" s="53">
        <v>233333.33333333334</v>
      </c>
      <c r="AA279" s="53">
        <v>2375000</v>
      </c>
      <c r="AB279" s="53">
        <v>233333.33333333334</v>
      </c>
      <c r="AC279" s="54">
        <f t="shared" ref="AC279:AD294" si="18">+C279-E279-G279-I279-K279-M279-O279-Q279-S279-U279-W279-Y279-AA279</f>
        <v>19000000</v>
      </c>
      <c r="AD279" s="54">
        <f t="shared" si="18"/>
        <v>1866666.6666666663</v>
      </c>
      <c r="AE279" s="2">
        <f t="shared" si="17"/>
        <v>933333.33333333337</v>
      </c>
    </row>
    <row r="280" spans="1:31" x14ac:dyDescent="0.2">
      <c r="A280" s="4">
        <v>34000009</v>
      </c>
      <c r="B280" s="5" t="s">
        <v>395</v>
      </c>
      <c r="C280" s="52">
        <v>22000000</v>
      </c>
      <c r="D280" s="52">
        <v>5500000</v>
      </c>
      <c r="E280" s="53"/>
      <c r="F280" s="53"/>
      <c r="G280" s="53"/>
      <c r="H280" s="53"/>
      <c r="I280" s="54"/>
      <c r="J280" s="54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>
        <v>611111.11111111112</v>
      </c>
      <c r="V280" s="53">
        <v>152777.77777777778</v>
      </c>
      <c r="W280" s="53">
        <v>611111.11111111112</v>
      </c>
      <c r="X280" s="53">
        <v>152777.77777777778</v>
      </c>
      <c r="Y280" s="53">
        <v>611111.11111111112</v>
      </c>
      <c r="Z280" s="53">
        <v>152777.77777777778</v>
      </c>
      <c r="AA280" s="53">
        <v>611111.11111111112</v>
      </c>
      <c r="AB280" s="53">
        <v>152777.77777777778</v>
      </c>
      <c r="AC280" s="54">
        <f t="shared" si="18"/>
        <v>19555555.555555552</v>
      </c>
      <c r="AD280" s="54">
        <f t="shared" si="18"/>
        <v>4888888.8888888881</v>
      </c>
      <c r="AE280" s="2">
        <f t="shared" si="17"/>
        <v>611111.11111111112</v>
      </c>
    </row>
    <row r="281" spans="1:31" x14ac:dyDescent="0.2">
      <c r="A281" s="4">
        <v>34000653</v>
      </c>
      <c r="B281" s="5" t="s">
        <v>131</v>
      </c>
      <c r="C281" s="52">
        <v>25575000</v>
      </c>
      <c r="D281" s="52">
        <v>4468500</v>
      </c>
      <c r="E281" s="53"/>
      <c r="F281" s="53"/>
      <c r="G281" s="53"/>
      <c r="H281" s="53"/>
      <c r="I281" s="54"/>
      <c r="J281" s="54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>
        <v>1065625</v>
      </c>
      <c r="V281" s="53">
        <v>186187.5</v>
      </c>
      <c r="W281" s="53">
        <v>1065625</v>
      </c>
      <c r="X281" s="53">
        <v>186187.5</v>
      </c>
      <c r="Y281" s="53">
        <v>1065625</v>
      </c>
      <c r="Z281" s="53">
        <v>186187.5</v>
      </c>
      <c r="AA281" s="53">
        <v>1065625</v>
      </c>
      <c r="AB281" s="53">
        <v>186187.5</v>
      </c>
      <c r="AC281" s="54">
        <f t="shared" si="18"/>
        <v>21312500</v>
      </c>
      <c r="AD281" s="54">
        <f t="shared" si="18"/>
        <v>3723750</v>
      </c>
      <c r="AE281" s="2">
        <f t="shared" si="17"/>
        <v>744750</v>
      </c>
    </row>
    <row r="282" spans="1:31" x14ac:dyDescent="0.2">
      <c r="A282" s="4">
        <v>34000753</v>
      </c>
      <c r="B282" s="5" t="s">
        <v>431</v>
      </c>
      <c r="C282" s="52">
        <v>37000000</v>
      </c>
      <c r="D282" s="52">
        <v>9062500</v>
      </c>
      <c r="E282" s="53"/>
      <c r="F282" s="53"/>
      <c r="G282" s="53"/>
      <c r="H282" s="53"/>
      <c r="I282" s="54"/>
      <c r="J282" s="54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>
        <v>1027777.7777777778</v>
      </c>
      <c r="X282" s="53">
        <v>251736.11111111112</v>
      </c>
      <c r="Y282" s="53">
        <v>1027777.7777777778</v>
      </c>
      <c r="Z282" s="53">
        <v>251736.11111111112</v>
      </c>
      <c r="AA282" s="53">
        <v>1027777.7777777778</v>
      </c>
      <c r="AB282" s="53">
        <v>251736.11111111112</v>
      </c>
      <c r="AC282" s="54">
        <f t="shared" si="18"/>
        <v>33916666.666666672</v>
      </c>
      <c r="AD282" s="54">
        <f t="shared" si="18"/>
        <v>8307291.6666666651</v>
      </c>
      <c r="AE282" s="2">
        <f t="shared" si="17"/>
        <v>755208.33333333337</v>
      </c>
    </row>
    <row r="283" spans="1:31" x14ac:dyDescent="0.2">
      <c r="A283" s="4">
        <v>34000023</v>
      </c>
      <c r="B283" s="5" t="s">
        <v>697</v>
      </c>
      <c r="C283" s="52">
        <v>20050000</v>
      </c>
      <c r="D283" s="52">
        <v>4825000</v>
      </c>
      <c r="E283" s="53"/>
      <c r="F283" s="53"/>
      <c r="G283" s="53"/>
      <c r="H283" s="53"/>
      <c r="I283" s="54"/>
      <c r="J283" s="54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>
        <v>556944.4444444445</v>
      </c>
      <c r="X283" s="53">
        <v>134027.77777777778</v>
      </c>
      <c r="Y283" s="53">
        <v>556944.4444444445</v>
      </c>
      <c r="Z283" s="53">
        <v>134027.77777777778</v>
      </c>
      <c r="AA283" s="53">
        <v>556944.4444444445</v>
      </c>
      <c r="AB283" s="53">
        <v>134027.77777777778</v>
      </c>
      <c r="AC283" s="54">
        <f t="shared" si="18"/>
        <v>18379166.666666668</v>
      </c>
      <c r="AD283" s="54">
        <f t="shared" si="18"/>
        <v>4422916.666666666</v>
      </c>
      <c r="AE283" s="2">
        <f t="shared" si="17"/>
        <v>402083.33333333337</v>
      </c>
    </row>
    <row r="284" spans="1:31" x14ac:dyDescent="0.2">
      <c r="A284" s="4">
        <v>34000405</v>
      </c>
      <c r="B284" s="5" t="s">
        <v>178</v>
      </c>
      <c r="C284" s="52">
        <v>20625000</v>
      </c>
      <c r="D284" s="52">
        <v>5031250</v>
      </c>
      <c r="E284" s="53"/>
      <c r="F284" s="53"/>
      <c r="G284" s="53"/>
      <c r="H284" s="53"/>
      <c r="I284" s="54"/>
      <c r="J284" s="54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>
        <v>572916.66666666663</v>
      </c>
      <c r="X284" s="53">
        <v>139756.94444444444</v>
      </c>
      <c r="Y284" s="53">
        <v>572916.66666666663</v>
      </c>
      <c r="Z284" s="53">
        <v>139756.94444444444</v>
      </c>
      <c r="AA284" s="53">
        <v>572916.66666666663</v>
      </c>
      <c r="AB284" s="53">
        <v>139756.94444444444</v>
      </c>
      <c r="AC284" s="54">
        <f t="shared" si="18"/>
        <v>18906249.999999996</v>
      </c>
      <c r="AD284" s="54">
        <f t="shared" si="18"/>
        <v>4611979.1666666679</v>
      </c>
      <c r="AE284" s="2">
        <f t="shared" si="17"/>
        <v>419270.83333333331</v>
      </c>
    </row>
    <row r="285" spans="1:31" x14ac:dyDescent="0.2">
      <c r="A285" s="4">
        <v>34000571</v>
      </c>
      <c r="B285" s="5" t="s">
        <v>216</v>
      </c>
      <c r="C285" s="52">
        <v>29996300</v>
      </c>
      <c r="D285" s="52">
        <v>5174334</v>
      </c>
      <c r="E285" s="53"/>
      <c r="F285" s="53"/>
      <c r="G285" s="53"/>
      <c r="H285" s="53"/>
      <c r="I285" s="54"/>
      <c r="J285" s="54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48">
        <v>1249845.8333333333</v>
      </c>
      <c r="Z285" s="48">
        <v>215597.25</v>
      </c>
      <c r="AA285" s="53">
        <v>1249845.8333333333</v>
      </c>
      <c r="AB285" s="53">
        <v>215597.25</v>
      </c>
      <c r="AC285" s="54">
        <f t="shared" si="18"/>
        <v>27496608.333333336</v>
      </c>
      <c r="AD285" s="54">
        <f t="shared" si="18"/>
        <v>4743139.5</v>
      </c>
      <c r="AE285" s="2">
        <f t="shared" si="17"/>
        <v>431194.5</v>
      </c>
    </row>
    <row r="286" spans="1:31" x14ac:dyDescent="0.2">
      <c r="A286" s="4">
        <v>34000014</v>
      </c>
      <c r="B286" s="5" t="s">
        <v>698</v>
      </c>
      <c r="C286" s="52">
        <v>33750000</v>
      </c>
      <c r="D286" s="52">
        <v>5940000</v>
      </c>
      <c r="E286" s="53"/>
      <c r="F286" s="53"/>
      <c r="G286" s="53"/>
      <c r="H286" s="53"/>
      <c r="I286" s="54"/>
      <c r="J286" s="54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48">
        <v>1406250</v>
      </c>
      <c r="Z286" s="48">
        <v>247500</v>
      </c>
      <c r="AA286" s="53">
        <v>1406250</v>
      </c>
      <c r="AB286" s="53">
        <v>247500</v>
      </c>
      <c r="AC286" s="54">
        <f t="shared" si="18"/>
        <v>30937500</v>
      </c>
      <c r="AD286" s="54">
        <f t="shared" si="18"/>
        <v>5445000</v>
      </c>
      <c r="AE286" s="2">
        <f t="shared" si="17"/>
        <v>495000</v>
      </c>
    </row>
    <row r="287" spans="1:31" x14ac:dyDescent="0.2">
      <c r="A287" s="4">
        <v>34000298</v>
      </c>
      <c r="B287" s="5" t="s">
        <v>389</v>
      </c>
      <c r="C287" s="52">
        <v>36500000</v>
      </c>
      <c r="D287" s="52">
        <v>8937500</v>
      </c>
      <c r="E287" s="53"/>
      <c r="F287" s="53"/>
      <c r="G287" s="53"/>
      <c r="H287" s="53"/>
      <c r="I287" s="54"/>
      <c r="J287" s="54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48">
        <v>1013888.8888888889</v>
      </c>
      <c r="Z287" s="48">
        <v>248263.88888888888</v>
      </c>
      <c r="AA287" s="53">
        <v>1013888.8888888889</v>
      </c>
      <c r="AB287" s="53">
        <v>248263.88888888888</v>
      </c>
      <c r="AC287" s="54">
        <f t="shared" si="18"/>
        <v>34472222.222222224</v>
      </c>
      <c r="AD287" s="54">
        <f t="shared" si="18"/>
        <v>8440972.2222222239</v>
      </c>
      <c r="AE287" s="2">
        <f t="shared" si="17"/>
        <v>496527.77777777775</v>
      </c>
    </row>
    <row r="288" spans="1:31" x14ac:dyDescent="0.2">
      <c r="A288" s="4" t="s">
        <v>144</v>
      </c>
      <c r="B288" s="5" t="s">
        <v>145</v>
      </c>
      <c r="C288" s="52">
        <v>27000000</v>
      </c>
      <c r="D288" s="52">
        <v>2625000</v>
      </c>
      <c r="E288" s="53"/>
      <c r="F288" s="53"/>
      <c r="G288" s="53"/>
      <c r="H288" s="53"/>
      <c r="I288" s="54"/>
      <c r="J288" s="54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4"/>
      <c r="Z288" s="54"/>
      <c r="AA288" s="53"/>
      <c r="AB288" s="53"/>
      <c r="AC288" s="54">
        <f t="shared" si="18"/>
        <v>27000000</v>
      </c>
      <c r="AD288" s="54">
        <f t="shared" si="18"/>
        <v>2625000</v>
      </c>
      <c r="AE288" s="2">
        <f t="shared" si="17"/>
        <v>0</v>
      </c>
    </row>
    <row r="289" spans="1:31" x14ac:dyDescent="0.2">
      <c r="A289" s="4"/>
      <c r="B289" s="5"/>
      <c r="C289" s="52"/>
      <c r="D289" s="52"/>
      <c r="E289" s="53"/>
      <c r="F289" s="53"/>
      <c r="G289" s="53"/>
      <c r="H289" s="53"/>
      <c r="I289" s="54"/>
      <c r="J289" s="54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4"/>
      <c r="Z289" s="54"/>
      <c r="AA289" s="53"/>
      <c r="AB289" s="53"/>
      <c r="AC289" s="54">
        <f t="shared" si="18"/>
        <v>0</v>
      </c>
      <c r="AD289" s="54">
        <f t="shared" si="18"/>
        <v>0</v>
      </c>
      <c r="AE289" s="2">
        <f t="shared" si="17"/>
        <v>0</v>
      </c>
    </row>
    <row r="290" spans="1:31" x14ac:dyDescent="0.2">
      <c r="A290" s="4"/>
      <c r="B290" s="5"/>
      <c r="C290" s="52"/>
      <c r="D290" s="52"/>
      <c r="E290" s="53"/>
      <c r="F290" s="53"/>
      <c r="G290" s="53"/>
      <c r="H290" s="53"/>
      <c r="I290" s="54"/>
      <c r="J290" s="54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4"/>
      <c r="Z290" s="54"/>
      <c r="AA290" s="53"/>
      <c r="AB290" s="53"/>
      <c r="AC290" s="54">
        <f t="shared" si="18"/>
        <v>0</v>
      </c>
      <c r="AD290" s="54">
        <f t="shared" si="18"/>
        <v>0</v>
      </c>
      <c r="AE290" s="2">
        <f t="shared" si="17"/>
        <v>0</v>
      </c>
    </row>
    <row r="291" spans="1:31" x14ac:dyDescent="0.2">
      <c r="A291" s="4"/>
      <c r="B291" s="5"/>
      <c r="C291" s="52"/>
      <c r="D291" s="52"/>
      <c r="E291" s="53"/>
      <c r="F291" s="53"/>
      <c r="G291" s="53"/>
      <c r="H291" s="53"/>
      <c r="I291" s="54"/>
      <c r="J291" s="54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4"/>
      <c r="Z291" s="54"/>
      <c r="AA291" s="53"/>
      <c r="AB291" s="53"/>
      <c r="AC291" s="54">
        <f t="shared" si="18"/>
        <v>0</v>
      </c>
      <c r="AD291" s="54">
        <f t="shared" si="18"/>
        <v>0</v>
      </c>
      <c r="AE291" s="2">
        <f t="shared" si="17"/>
        <v>0</v>
      </c>
    </row>
    <row r="292" spans="1:31" x14ac:dyDescent="0.2">
      <c r="A292" s="4"/>
      <c r="B292" s="5"/>
      <c r="C292" s="52"/>
      <c r="D292" s="52"/>
      <c r="E292" s="53"/>
      <c r="F292" s="53"/>
      <c r="G292" s="53"/>
      <c r="H292" s="53"/>
      <c r="I292" s="54"/>
      <c r="J292" s="54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4"/>
      <c r="Z292" s="54"/>
      <c r="AA292" s="53"/>
      <c r="AB292" s="53"/>
      <c r="AC292" s="54">
        <f t="shared" si="18"/>
        <v>0</v>
      </c>
      <c r="AD292" s="54">
        <f t="shared" si="18"/>
        <v>0</v>
      </c>
      <c r="AE292" s="2">
        <f t="shared" si="17"/>
        <v>0</v>
      </c>
    </row>
    <row r="293" spans="1:31" x14ac:dyDescent="0.2">
      <c r="A293" s="4"/>
      <c r="B293" s="5"/>
      <c r="C293" s="52"/>
      <c r="D293" s="52"/>
      <c r="E293" s="53"/>
      <c r="F293" s="53"/>
      <c r="G293" s="53"/>
      <c r="H293" s="53"/>
      <c r="I293" s="54"/>
      <c r="J293" s="54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4"/>
      <c r="Z293" s="54"/>
      <c r="AA293" s="53"/>
      <c r="AB293" s="53"/>
      <c r="AC293" s="54">
        <f t="shared" si="18"/>
        <v>0</v>
      </c>
      <c r="AD293" s="54">
        <f t="shared" si="18"/>
        <v>0</v>
      </c>
      <c r="AE293" s="2">
        <f t="shared" si="17"/>
        <v>0</v>
      </c>
    </row>
    <row r="294" spans="1:31" x14ac:dyDescent="0.2">
      <c r="A294" s="4"/>
      <c r="B294" s="5"/>
      <c r="C294" s="52"/>
      <c r="D294" s="52"/>
      <c r="E294" s="53"/>
      <c r="F294" s="53"/>
      <c r="G294" s="53"/>
      <c r="H294" s="53"/>
      <c r="I294" s="54"/>
      <c r="J294" s="54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4"/>
      <c r="AB294" s="54"/>
      <c r="AC294" s="54">
        <f t="shared" si="18"/>
        <v>0</v>
      </c>
      <c r="AD294" s="54">
        <f t="shared" si="18"/>
        <v>0</v>
      </c>
      <c r="AE294" s="2">
        <f t="shared" si="17"/>
        <v>0</v>
      </c>
    </row>
    <row r="295" spans="1:31" x14ac:dyDescent="0.2">
      <c r="A295" s="329" t="s">
        <v>17</v>
      </c>
      <c r="B295" s="330"/>
      <c r="C295" s="12">
        <f t="shared" ref="C295:AE295" si="19">SUM(C183:C294)</f>
        <v>734703590.90909088</v>
      </c>
      <c r="D295" s="12">
        <f t="shared" si="19"/>
        <v>106106793.09090909</v>
      </c>
      <c r="E295" s="12">
        <f t="shared" si="19"/>
        <v>27115146.969696965</v>
      </c>
      <c r="F295" s="12">
        <f t="shared" si="19"/>
        <v>3165853.0303030293</v>
      </c>
      <c r="G295" s="12">
        <f t="shared" si="19"/>
        <v>35439813.636363626</v>
      </c>
      <c r="H295" s="12">
        <f t="shared" si="19"/>
        <v>3992686.3636363628</v>
      </c>
      <c r="I295" s="12">
        <f t="shared" si="19"/>
        <v>27809813.63636364</v>
      </c>
      <c r="J295" s="12">
        <f t="shared" si="19"/>
        <v>3279686.3636363628</v>
      </c>
      <c r="K295" s="12">
        <f t="shared" si="19"/>
        <v>36706828.787878796</v>
      </c>
      <c r="L295" s="12">
        <f t="shared" si="19"/>
        <v>4161671.2121212115</v>
      </c>
      <c r="M295" s="12">
        <f t="shared" si="19"/>
        <v>32200412.121212121</v>
      </c>
      <c r="N295" s="12">
        <f t="shared" si="19"/>
        <v>3783587.8787878775</v>
      </c>
      <c r="O295" s="12">
        <f t="shared" si="19"/>
        <v>31157116.333333332</v>
      </c>
      <c r="P295" s="12">
        <f t="shared" si="19"/>
        <v>3705383.6666666651</v>
      </c>
      <c r="Q295" s="12">
        <f t="shared" si="19"/>
        <v>37178483.333333336</v>
      </c>
      <c r="R295" s="12">
        <f t="shared" si="19"/>
        <v>4333016.666666666</v>
      </c>
      <c r="S295" s="12">
        <f t="shared" si="19"/>
        <v>36603816.666666664</v>
      </c>
      <c r="T295" s="12">
        <f t="shared" si="19"/>
        <v>4323683.333333333</v>
      </c>
      <c r="U295" s="12">
        <f t="shared" si="19"/>
        <v>26922136.111111108</v>
      </c>
      <c r="V295" s="12">
        <f t="shared" si="19"/>
        <v>3239398.6111111105</v>
      </c>
      <c r="W295" s="12">
        <f t="shared" si="19"/>
        <v>34954691.666666664</v>
      </c>
      <c r="X295" s="12">
        <f t="shared" si="19"/>
        <v>4496502.7777777771</v>
      </c>
      <c r="Y295" s="12">
        <f t="shared" si="19"/>
        <v>37585176.388888888</v>
      </c>
      <c r="Z295" s="12">
        <f t="shared" si="19"/>
        <v>4889863.916666667</v>
      </c>
      <c r="AA295" s="12">
        <f t="shared" si="19"/>
        <v>30918509.72222222</v>
      </c>
      <c r="AB295" s="12">
        <f t="shared" si="19"/>
        <v>4101530.5833333335</v>
      </c>
      <c r="AC295" s="12">
        <f t="shared" si="19"/>
        <v>340111645.53535354</v>
      </c>
      <c r="AD295" s="12">
        <f t="shared" si="19"/>
        <v>58633928.686868683</v>
      </c>
      <c r="AE295" s="12">
        <f t="shared" si="19"/>
        <v>47472864.404040411</v>
      </c>
    </row>
    <row r="296" spans="1:31" x14ac:dyDescent="0.2">
      <c r="AA296" s="2"/>
      <c r="AB296" s="2"/>
    </row>
    <row r="297" spans="1:31" x14ac:dyDescent="0.2">
      <c r="D297" s="13" t="s">
        <v>695</v>
      </c>
      <c r="G297" s="2">
        <f>E295+G295+I295+K295+M295+O295+Q295+S295+U295+W295+Y295+AA295</f>
        <v>394591945.37373739</v>
      </c>
      <c r="O297" s="2"/>
      <c r="Q297" s="2"/>
      <c r="S297" s="2"/>
      <c r="U297" s="2"/>
      <c r="W297" s="2"/>
      <c r="Y297" s="2"/>
    </row>
    <row r="298" spans="1:31" x14ac:dyDescent="0.2">
      <c r="D298" s="13" t="s">
        <v>696</v>
      </c>
      <c r="G298" s="2">
        <f>F295+H295+J295+L295+N295+P295+R295+T295+V295+X295+Z295+AB295</f>
        <v>47472864.404040389</v>
      </c>
      <c r="K298" s="2"/>
      <c r="M298" s="2"/>
      <c r="O298" s="2"/>
      <c r="Q298" s="2"/>
      <c r="S298" s="2"/>
      <c r="U298" s="2"/>
      <c r="W298" s="2"/>
      <c r="Y298" s="2"/>
      <c r="AA298" s="13" t="s">
        <v>547</v>
      </c>
      <c r="AB298" s="174">
        <v>14879673</v>
      </c>
    </row>
    <row r="299" spans="1:31" x14ac:dyDescent="0.2">
      <c r="K299" s="2"/>
      <c r="M299" s="2"/>
      <c r="AA299" s="13" t="s">
        <v>548</v>
      </c>
      <c r="AB299" s="2">
        <f>AC295</f>
        <v>340111645.53535354</v>
      </c>
    </row>
    <row r="300" spans="1:31" x14ac:dyDescent="0.2">
      <c r="D300" t="s">
        <v>701</v>
      </c>
      <c r="E300" s="174">
        <v>400000000</v>
      </c>
    </row>
    <row r="301" spans="1:31" x14ac:dyDescent="0.2">
      <c r="D301" s="13" t="s">
        <v>545</v>
      </c>
      <c r="E301" s="174">
        <v>83039610.444444403</v>
      </c>
      <c r="G301" s="2"/>
      <c r="I301" s="2"/>
    </row>
    <row r="302" spans="1:31" x14ac:dyDescent="0.2">
      <c r="D302" s="13" t="s">
        <v>546</v>
      </c>
      <c r="E302" s="2">
        <f>AC295</f>
        <v>340111645.53535354</v>
      </c>
      <c r="G302" s="2"/>
      <c r="I302" s="2"/>
    </row>
    <row r="303" spans="1:31" x14ac:dyDescent="0.2">
      <c r="D303" s="13" t="s">
        <v>699</v>
      </c>
      <c r="E303" s="2">
        <f>G298</f>
        <v>47472864.404040389</v>
      </c>
    </row>
    <row r="304" spans="1:31" x14ac:dyDescent="0.2">
      <c r="D304" s="13" t="s">
        <v>88</v>
      </c>
      <c r="E304" s="174">
        <v>1349168</v>
      </c>
    </row>
    <row r="305" spans="1:32" x14ac:dyDescent="0.2">
      <c r="D305" s="13" t="s">
        <v>700</v>
      </c>
      <c r="E305" s="174">
        <v>450839</v>
      </c>
    </row>
    <row r="308" spans="1:32" ht="20.25" x14ac:dyDescent="0.3">
      <c r="A308" s="49" t="s">
        <v>76</v>
      </c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</row>
    <row r="309" spans="1:32" ht="15.75" x14ac:dyDescent="0.25">
      <c r="A309" s="50" t="s">
        <v>519</v>
      </c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  <c r="AD309" s="50"/>
    </row>
    <row r="310" spans="1:32" ht="15.75" x14ac:dyDescent="0.25">
      <c r="A310" s="51" t="s">
        <v>843</v>
      </c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</row>
    <row r="311" spans="1:32" x14ac:dyDescent="0.2">
      <c r="A311" s="335" t="s">
        <v>112</v>
      </c>
      <c r="B311" s="335" t="s">
        <v>2</v>
      </c>
      <c r="C311" s="335" t="s">
        <v>518</v>
      </c>
      <c r="D311" s="335" t="s">
        <v>517</v>
      </c>
      <c r="E311" s="338" t="s">
        <v>4</v>
      </c>
      <c r="F311" s="339"/>
      <c r="G311" s="339"/>
      <c r="H311" s="339"/>
      <c r="I311" s="339"/>
      <c r="J311" s="339"/>
      <c r="K311" s="339"/>
      <c r="L311" s="339"/>
      <c r="M311" s="339"/>
      <c r="N311" s="339"/>
      <c r="O311" s="339"/>
      <c r="P311" s="339"/>
      <c r="Q311" s="339"/>
      <c r="R311" s="339"/>
      <c r="S311" s="339"/>
      <c r="T311" s="339"/>
      <c r="U311" s="339"/>
      <c r="V311" s="339"/>
      <c r="W311" s="339"/>
      <c r="X311" s="339"/>
      <c r="Y311" s="339"/>
      <c r="Z311" s="339"/>
      <c r="AA311" s="339"/>
      <c r="AB311" s="340"/>
      <c r="AC311" s="331" t="s">
        <v>3</v>
      </c>
      <c r="AD311" s="332"/>
    </row>
    <row r="312" spans="1:32" x14ac:dyDescent="0.2">
      <c r="A312" s="336"/>
      <c r="B312" s="336"/>
      <c r="C312" s="336"/>
      <c r="D312" s="336"/>
      <c r="E312" s="329" t="s">
        <v>5</v>
      </c>
      <c r="F312" s="330"/>
      <c r="G312" s="329" t="s">
        <v>6</v>
      </c>
      <c r="H312" s="330"/>
      <c r="I312" s="329" t="s">
        <v>7</v>
      </c>
      <c r="J312" s="330"/>
      <c r="K312" s="329" t="s">
        <v>8</v>
      </c>
      <c r="L312" s="330"/>
      <c r="M312" s="329" t="s">
        <v>9</v>
      </c>
      <c r="N312" s="330"/>
      <c r="O312" s="329" t="s">
        <v>10</v>
      </c>
      <c r="P312" s="330"/>
      <c r="Q312" s="329" t="s">
        <v>11</v>
      </c>
      <c r="R312" s="330"/>
      <c r="S312" s="329" t="s">
        <v>12</v>
      </c>
      <c r="T312" s="330"/>
      <c r="U312" s="329" t="s">
        <v>13</v>
      </c>
      <c r="V312" s="330"/>
      <c r="W312" s="329" t="s">
        <v>14</v>
      </c>
      <c r="X312" s="330"/>
      <c r="Y312" s="329" t="s">
        <v>15</v>
      </c>
      <c r="Z312" s="330"/>
      <c r="AA312" s="341" t="s">
        <v>16</v>
      </c>
      <c r="AB312" s="341"/>
      <c r="AC312" s="333"/>
      <c r="AD312" s="334"/>
    </row>
    <row r="313" spans="1:32" x14ac:dyDescent="0.2">
      <c r="A313" s="337"/>
      <c r="B313" s="337"/>
      <c r="C313" s="337"/>
      <c r="D313" s="337"/>
      <c r="E313" s="11" t="s">
        <v>58</v>
      </c>
      <c r="F313" s="11" t="s">
        <v>56</v>
      </c>
      <c r="G313" s="11" t="s">
        <v>58</v>
      </c>
      <c r="H313" s="11" t="s">
        <v>56</v>
      </c>
      <c r="I313" s="11" t="s">
        <v>58</v>
      </c>
      <c r="J313" s="11" t="s">
        <v>56</v>
      </c>
      <c r="K313" s="11" t="s">
        <v>58</v>
      </c>
      <c r="L313" s="11" t="s">
        <v>56</v>
      </c>
      <c r="M313" s="11" t="s">
        <v>58</v>
      </c>
      <c r="N313" s="11" t="s">
        <v>56</v>
      </c>
      <c r="O313" s="11" t="s">
        <v>58</v>
      </c>
      <c r="P313" s="11" t="s">
        <v>56</v>
      </c>
      <c r="Q313" s="11" t="s">
        <v>58</v>
      </c>
      <c r="R313" s="11" t="s">
        <v>56</v>
      </c>
      <c r="S313" s="11" t="s">
        <v>58</v>
      </c>
      <c r="T313" s="11" t="s">
        <v>56</v>
      </c>
      <c r="U313" s="11" t="s">
        <v>58</v>
      </c>
      <c r="V313" s="11" t="s">
        <v>56</v>
      </c>
      <c r="W313" s="11" t="s">
        <v>58</v>
      </c>
      <c r="X313" s="11" t="s">
        <v>56</v>
      </c>
      <c r="Y313" s="11" t="s">
        <v>58</v>
      </c>
      <c r="Z313" s="11" t="s">
        <v>56</v>
      </c>
      <c r="AA313" s="11" t="s">
        <v>58</v>
      </c>
      <c r="AB313" s="11" t="s">
        <v>56</v>
      </c>
      <c r="AC313" s="11" t="s">
        <v>58</v>
      </c>
      <c r="AD313" s="11" t="s">
        <v>56</v>
      </c>
    </row>
    <row r="314" spans="1:32" ht="12.6" customHeight="1" x14ac:dyDescent="0.2">
      <c r="A314" s="4">
        <v>34000514</v>
      </c>
      <c r="B314" s="5" t="s">
        <v>694</v>
      </c>
      <c r="C314" s="178">
        <v>416666.6666666668</v>
      </c>
      <c r="D314" s="178">
        <v>55833.333333333663</v>
      </c>
      <c r="E314" s="48">
        <v>416666.66666666669</v>
      </c>
      <c r="F314" s="48">
        <v>55833.333333333336</v>
      </c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136"/>
      <c r="Z314" s="136"/>
      <c r="AA314" s="48"/>
      <c r="AB314" s="48"/>
      <c r="AC314" s="54">
        <f>+C314-E314-G314-I314-K314-M314-O314-Q314-S314-U314-W314-Y314-AA314</f>
        <v>1.1641532182693481E-10</v>
      </c>
      <c r="AD314" s="54">
        <f>+D314-F314-H314-J314-L314-N314-P314-R314-T314-V314-X314-Z314-AB314</f>
        <v>3.2741809263825417E-10</v>
      </c>
      <c r="AE314" s="2">
        <f>F314+H314+J314+L314+N314+P314+R314+T314+V314+X314+Z314+AB314</f>
        <v>55833.333333333336</v>
      </c>
      <c r="AF314" s="2"/>
    </row>
    <row r="315" spans="1:32" x14ac:dyDescent="0.2">
      <c r="A315" s="4">
        <v>34000807</v>
      </c>
      <c r="B315" s="5" t="s">
        <v>423</v>
      </c>
      <c r="C315" s="178">
        <v>666666.66666666593</v>
      </c>
      <c r="D315" s="178">
        <v>81333.333333332906</v>
      </c>
      <c r="E315" s="48">
        <v>666666.66666666663</v>
      </c>
      <c r="F315" s="48">
        <v>81333.333333333328</v>
      </c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136"/>
      <c r="AB315" s="136"/>
      <c r="AC315" s="54">
        <f t="shared" ref="AC315:AD378" si="20">+C315-E315-G315-I315-K315-M315-O315-Q315-S315-U315-W315-Y315-AA315</f>
        <v>-6.9849193096160889E-10</v>
      </c>
      <c r="AD315" s="54">
        <f t="shared" si="20"/>
        <v>-4.220055416226387E-10</v>
      </c>
      <c r="AE315" s="2">
        <f t="shared" ref="AE315:AE378" si="21">F315+H315+J315+L315+N315+P315+R315+T315+V315+X315+Z315+AB315</f>
        <v>81333.333333333328</v>
      </c>
    </row>
    <row r="316" spans="1:32" x14ac:dyDescent="0.2">
      <c r="A316" s="4">
        <v>34000758</v>
      </c>
      <c r="B316" s="5" t="s">
        <v>474</v>
      </c>
      <c r="C316" s="178">
        <v>541666.6666666664</v>
      </c>
      <c r="D316" s="178">
        <v>58333.333333332906</v>
      </c>
      <c r="E316" s="48">
        <v>541666.66666666663</v>
      </c>
      <c r="F316" s="48">
        <v>58333.333333333336</v>
      </c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54">
        <f t="shared" si="20"/>
        <v>-2.3283064365386963E-10</v>
      </c>
      <c r="AD316" s="54">
        <f t="shared" si="20"/>
        <v>-4.2928149923682213E-10</v>
      </c>
      <c r="AE316" s="2">
        <f t="shared" si="21"/>
        <v>58333.333333333336</v>
      </c>
    </row>
    <row r="317" spans="1:32" x14ac:dyDescent="0.2">
      <c r="A317" s="4">
        <v>34000101</v>
      </c>
      <c r="B317" s="5" t="s">
        <v>687</v>
      </c>
      <c r="C317" s="178">
        <v>1162500</v>
      </c>
      <c r="D317" s="178">
        <v>127500</v>
      </c>
      <c r="E317" s="48">
        <v>387500</v>
      </c>
      <c r="F317" s="48">
        <v>42500</v>
      </c>
      <c r="G317" s="48">
        <v>387500</v>
      </c>
      <c r="H317" s="48">
        <v>42500</v>
      </c>
      <c r="I317" s="48">
        <v>387500</v>
      </c>
      <c r="J317" s="48">
        <v>42500</v>
      </c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54">
        <f t="shared" si="20"/>
        <v>0</v>
      </c>
      <c r="AD317" s="54">
        <f t="shared" si="20"/>
        <v>0</v>
      </c>
      <c r="AE317" s="2">
        <f t="shared" si="21"/>
        <v>127500</v>
      </c>
    </row>
    <row r="318" spans="1:32" x14ac:dyDescent="0.2">
      <c r="A318" s="4">
        <v>34000298</v>
      </c>
      <c r="B318" s="5" t="s">
        <v>389</v>
      </c>
      <c r="C318" s="178">
        <v>1599750</v>
      </c>
      <c r="D318" s="178">
        <v>164250</v>
      </c>
      <c r="E318" s="48">
        <v>533250</v>
      </c>
      <c r="F318" s="48">
        <v>54750</v>
      </c>
      <c r="G318" s="48">
        <v>533250</v>
      </c>
      <c r="H318" s="48">
        <v>54750</v>
      </c>
      <c r="I318" s="48">
        <v>533250</v>
      </c>
      <c r="J318" s="48">
        <v>54750</v>
      </c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54">
        <f t="shared" si="20"/>
        <v>0</v>
      </c>
      <c r="AD318" s="54">
        <f t="shared" si="20"/>
        <v>0</v>
      </c>
      <c r="AE318" s="2">
        <f t="shared" si="21"/>
        <v>164250</v>
      </c>
    </row>
    <row r="319" spans="1:32" x14ac:dyDescent="0.2">
      <c r="A319" s="4">
        <v>34000453</v>
      </c>
      <c r="B319" s="5" t="s">
        <v>562</v>
      </c>
      <c r="C319" s="178">
        <v>500000</v>
      </c>
      <c r="D319" s="178">
        <v>50000</v>
      </c>
      <c r="E319" s="48">
        <v>500000</v>
      </c>
      <c r="F319" s="48">
        <v>50000</v>
      </c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54">
        <f t="shared" si="20"/>
        <v>0</v>
      </c>
      <c r="AD319" s="54">
        <f t="shared" si="20"/>
        <v>0</v>
      </c>
      <c r="AE319" s="2">
        <f t="shared" si="21"/>
        <v>50000</v>
      </c>
    </row>
    <row r="320" spans="1:32" x14ac:dyDescent="0.2">
      <c r="A320" s="4">
        <v>34000132</v>
      </c>
      <c r="B320" s="5" t="s">
        <v>599</v>
      </c>
      <c r="C320" s="178">
        <v>1249749.9999999998</v>
      </c>
      <c r="D320" s="178">
        <v>130249.99999999983</v>
      </c>
      <c r="E320" s="48">
        <v>416583.33333333331</v>
      </c>
      <c r="F320" s="48">
        <v>43416.666666666664</v>
      </c>
      <c r="G320" s="48">
        <v>416583.33333333331</v>
      </c>
      <c r="H320" s="48">
        <v>43416.666666666664</v>
      </c>
      <c r="I320" s="48">
        <v>416583.33333333331</v>
      </c>
      <c r="J320" s="48">
        <v>43416.666666666664</v>
      </c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54">
        <f t="shared" si="20"/>
        <v>-1.1641532182693481E-10</v>
      </c>
      <c r="AD320" s="54">
        <f t="shared" si="20"/>
        <v>-1.6007106751203537E-10</v>
      </c>
      <c r="AE320" s="2">
        <f t="shared" si="21"/>
        <v>130250</v>
      </c>
    </row>
    <row r="321" spans="1:31" x14ac:dyDescent="0.2">
      <c r="A321" s="4">
        <v>34000104</v>
      </c>
      <c r="B321" s="5" t="s">
        <v>607</v>
      </c>
      <c r="C321" s="178">
        <v>756249.99999999977</v>
      </c>
      <c r="D321" s="178">
        <v>77750.000000000116</v>
      </c>
      <c r="E321" s="48">
        <v>252083.33333333334</v>
      </c>
      <c r="F321" s="48">
        <v>25916.666666666668</v>
      </c>
      <c r="G321" s="48">
        <v>252083.33333333334</v>
      </c>
      <c r="H321" s="48">
        <v>25916.666666666668</v>
      </c>
      <c r="I321" s="48">
        <v>252083.33333333334</v>
      </c>
      <c r="J321" s="48">
        <v>25916.666666666668</v>
      </c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54">
        <f t="shared" si="20"/>
        <v>-2.9103830456733704E-10</v>
      </c>
      <c r="AD321" s="54">
        <f t="shared" si="20"/>
        <v>1.0913936421275139E-10</v>
      </c>
      <c r="AE321" s="2">
        <f t="shared" si="21"/>
        <v>77750</v>
      </c>
    </row>
    <row r="322" spans="1:31" x14ac:dyDescent="0.2">
      <c r="A322" s="4">
        <v>34000412</v>
      </c>
      <c r="B322" s="5" t="s">
        <v>409</v>
      </c>
      <c r="C322" s="178">
        <v>1250000.0000000002</v>
      </c>
      <c r="D322" s="178">
        <v>130000.00000000017</v>
      </c>
      <c r="E322" s="48">
        <v>416666.66666666669</v>
      </c>
      <c r="F322" s="48">
        <v>43333.333333333336</v>
      </c>
      <c r="G322" s="48">
        <v>416666.66666666669</v>
      </c>
      <c r="H322" s="48">
        <v>43333.333333333336</v>
      </c>
      <c r="I322" s="48">
        <v>416666.66666666669</v>
      </c>
      <c r="J322" s="48">
        <v>43333.333333333336</v>
      </c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54">
        <f t="shared" si="20"/>
        <v>1.1641532182693481E-10</v>
      </c>
      <c r="AD322" s="54">
        <f t="shared" si="20"/>
        <v>1.6007106751203537E-10</v>
      </c>
      <c r="AE322" s="2">
        <f t="shared" si="21"/>
        <v>130000</v>
      </c>
    </row>
    <row r="323" spans="1:31" x14ac:dyDescent="0.2">
      <c r="A323" s="4">
        <v>34000776</v>
      </c>
      <c r="B323" s="5" t="s">
        <v>614</v>
      </c>
      <c r="C323" s="178">
        <v>999750</v>
      </c>
      <c r="D323" s="178">
        <v>104250</v>
      </c>
      <c r="E323" s="48">
        <v>333250</v>
      </c>
      <c r="F323" s="48">
        <v>34750</v>
      </c>
      <c r="G323" s="48">
        <v>333250</v>
      </c>
      <c r="H323" s="48">
        <v>34750</v>
      </c>
      <c r="I323" s="48">
        <v>333250</v>
      </c>
      <c r="J323" s="48">
        <v>34750</v>
      </c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54">
        <f t="shared" si="20"/>
        <v>0</v>
      </c>
      <c r="AD323" s="54">
        <f t="shared" si="20"/>
        <v>0</v>
      </c>
      <c r="AE323" s="2">
        <f t="shared" si="21"/>
        <v>104250</v>
      </c>
    </row>
    <row r="324" spans="1:31" x14ac:dyDescent="0.2">
      <c r="A324" s="4" t="s">
        <v>342</v>
      </c>
      <c r="B324" s="5" t="s">
        <v>343</v>
      </c>
      <c r="C324" s="178">
        <v>1250000.0000000002</v>
      </c>
      <c r="D324" s="178">
        <v>167500.00000000029</v>
      </c>
      <c r="E324" s="48">
        <v>416666.66666666669</v>
      </c>
      <c r="F324" s="48">
        <v>55833.333333333336</v>
      </c>
      <c r="G324" s="132">
        <v>416666.66666666669</v>
      </c>
      <c r="H324" s="132">
        <v>55833.333333333336</v>
      </c>
      <c r="I324" s="132">
        <v>416666.66666666669</v>
      </c>
      <c r="J324" s="132">
        <v>55833.333333333336</v>
      </c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54">
        <f t="shared" si="20"/>
        <v>1.1641532182693481E-10</v>
      </c>
      <c r="AD324" s="54">
        <f t="shared" si="20"/>
        <v>2.7648638933897018E-10</v>
      </c>
      <c r="AE324" s="2">
        <f t="shared" si="21"/>
        <v>167500</v>
      </c>
    </row>
    <row r="325" spans="1:31" x14ac:dyDescent="0.2">
      <c r="A325" s="4">
        <v>34000282</v>
      </c>
      <c r="B325" s="5" t="s">
        <v>574</v>
      </c>
      <c r="C325" s="178">
        <v>1250000.0000000002</v>
      </c>
      <c r="D325" s="178">
        <v>167500.00000000029</v>
      </c>
      <c r="E325" s="48">
        <v>416666.66666666669</v>
      </c>
      <c r="F325" s="48">
        <v>55833.333333333336</v>
      </c>
      <c r="G325" s="48">
        <v>416666.66666666669</v>
      </c>
      <c r="H325" s="48">
        <v>55833.333333333336</v>
      </c>
      <c r="I325" s="48">
        <v>416666.66666666669</v>
      </c>
      <c r="J325" s="48">
        <v>55833.333333333336</v>
      </c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54">
        <f t="shared" si="20"/>
        <v>1.1641532182693481E-10</v>
      </c>
      <c r="AD325" s="54">
        <f t="shared" si="20"/>
        <v>2.7648638933897018E-10</v>
      </c>
      <c r="AE325" s="2">
        <f t="shared" si="21"/>
        <v>167500</v>
      </c>
    </row>
    <row r="326" spans="1:31" x14ac:dyDescent="0.2">
      <c r="A326" s="4">
        <v>34000765</v>
      </c>
      <c r="B326" s="5" t="s">
        <v>457</v>
      </c>
      <c r="C326" s="178">
        <v>999999.99999999953</v>
      </c>
      <c r="D326" s="178">
        <v>133999.99999999983</v>
      </c>
      <c r="E326" s="48">
        <v>333333.33333333331</v>
      </c>
      <c r="F326" s="48">
        <v>44666.666666666664</v>
      </c>
      <c r="G326" s="48">
        <v>333333.33333333331</v>
      </c>
      <c r="H326" s="48">
        <v>44666.666666666664</v>
      </c>
      <c r="I326" s="48">
        <v>333333.33333333331</v>
      </c>
      <c r="J326" s="48">
        <v>44666.666666666664</v>
      </c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54">
        <f t="shared" si="20"/>
        <v>-3.4924596548080444E-10</v>
      </c>
      <c r="AD326" s="54">
        <f t="shared" si="20"/>
        <v>-1.6007106751203537E-10</v>
      </c>
      <c r="AE326" s="2">
        <f t="shared" si="21"/>
        <v>134000</v>
      </c>
    </row>
    <row r="327" spans="1:31" x14ac:dyDescent="0.2">
      <c r="A327" s="4">
        <v>34000422</v>
      </c>
      <c r="B327" s="5" t="s">
        <v>294</v>
      </c>
      <c r="C327" s="178">
        <v>3333333.333333334</v>
      </c>
      <c r="D327" s="178">
        <v>436666.66666666721</v>
      </c>
      <c r="E327" s="48">
        <v>833333.33333333337</v>
      </c>
      <c r="F327" s="48">
        <v>109166.66666666667</v>
      </c>
      <c r="G327" s="48">
        <v>833333.33333333337</v>
      </c>
      <c r="H327" s="48">
        <v>109166.66666666667</v>
      </c>
      <c r="I327" s="48">
        <v>833333.33333333337</v>
      </c>
      <c r="J327" s="48">
        <v>109166.66666666667</v>
      </c>
      <c r="K327" s="48">
        <v>833333.33333333337</v>
      </c>
      <c r="L327" s="48">
        <v>109166.66666666667</v>
      </c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54">
        <f t="shared" si="20"/>
        <v>2.3283064365386963E-10</v>
      </c>
      <c r="AD327" s="54">
        <f t="shared" si="20"/>
        <v>4.9476511776447296E-10</v>
      </c>
      <c r="AE327" s="2">
        <f t="shared" si="21"/>
        <v>436666.66666666669</v>
      </c>
    </row>
    <row r="328" spans="1:31" x14ac:dyDescent="0.2">
      <c r="A328" s="4" t="s">
        <v>139</v>
      </c>
      <c r="B328" s="5" t="s">
        <v>140</v>
      </c>
      <c r="C328" s="178">
        <v>666669</v>
      </c>
      <c r="D328" s="178">
        <v>67331</v>
      </c>
      <c r="E328" s="48">
        <v>333333.33333333331</v>
      </c>
      <c r="F328" s="48">
        <v>33666.666666666664</v>
      </c>
      <c r="G328" s="48">
        <v>333333.33333333331</v>
      </c>
      <c r="H328" s="48">
        <v>33666.666666666664</v>
      </c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54">
        <f t="shared" si="20"/>
        <v>2.3333333333721384</v>
      </c>
      <c r="AD328" s="54">
        <f t="shared" si="20"/>
        <v>-2.3333333333284827</v>
      </c>
      <c r="AE328" s="2">
        <f t="shared" si="21"/>
        <v>67333.333333333328</v>
      </c>
    </row>
    <row r="329" spans="1:31" x14ac:dyDescent="0.2">
      <c r="A329" s="4">
        <v>34000631</v>
      </c>
      <c r="B329" s="5" t="s">
        <v>247</v>
      </c>
      <c r="C329" s="178">
        <v>600000</v>
      </c>
      <c r="D329" s="178">
        <v>60000</v>
      </c>
      <c r="E329" s="48">
        <v>200000</v>
      </c>
      <c r="F329" s="175">
        <v>20000</v>
      </c>
      <c r="G329" s="48">
        <v>200000</v>
      </c>
      <c r="H329" s="175">
        <v>20000</v>
      </c>
      <c r="I329" s="48">
        <v>200000</v>
      </c>
      <c r="J329" s="175">
        <v>20000</v>
      </c>
      <c r="K329" s="48"/>
      <c r="L329" s="175"/>
      <c r="M329" s="48"/>
      <c r="N329" s="175"/>
      <c r="O329" s="48"/>
      <c r="P329" s="175"/>
      <c r="Q329" s="48"/>
      <c r="R329" s="175"/>
      <c r="S329" s="48"/>
      <c r="T329" s="175"/>
      <c r="U329" s="48"/>
      <c r="V329" s="175"/>
      <c r="W329" s="48"/>
      <c r="X329" s="175"/>
      <c r="Y329" s="48"/>
      <c r="Z329" s="175"/>
      <c r="AA329" s="48"/>
      <c r="AB329" s="175"/>
      <c r="AC329" s="54">
        <f t="shared" si="20"/>
        <v>0</v>
      </c>
      <c r="AD329" s="54">
        <f t="shared" si="20"/>
        <v>0</v>
      </c>
      <c r="AE329" s="2">
        <f t="shared" si="21"/>
        <v>60000</v>
      </c>
    </row>
    <row r="330" spans="1:31" x14ac:dyDescent="0.2">
      <c r="A330" s="4">
        <v>34000780</v>
      </c>
      <c r="B330" s="5" t="s">
        <v>320</v>
      </c>
      <c r="C330" s="178">
        <v>4166666.6666666674</v>
      </c>
      <c r="D330" s="178">
        <v>545833.33333333384</v>
      </c>
      <c r="E330" s="48">
        <v>833333.33333333337</v>
      </c>
      <c r="F330" s="48">
        <v>109166.66666666667</v>
      </c>
      <c r="G330" s="48">
        <v>833333.33333333337</v>
      </c>
      <c r="H330" s="48">
        <v>109166.66666666667</v>
      </c>
      <c r="I330" s="48">
        <v>833333.33333333337</v>
      </c>
      <c r="J330" s="48">
        <v>109166.66666666667</v>
      </c>
      <c r="K330" s="48">
        <v>833333.33333333337</v>
      </c>
      <c r="L330" s="48">
        <v>109166.66666666667</v>
      </c>
      <c r="M330" s="48">
        <v>833333.33333333337</v>
      </c>
      <c r="N330" s="48">
        <v>109166.66666666667</v>
      </c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54">
        <f t="shared" si="20"/>
        <v>2.3283064365386963E-10</v>
      </c>
      <c r="AD330" s="54">
        <f t="shared" si="20"/>
        <v>4.3655745685100555E-10</v>
      </c>
      <c r="AE330" s="2">
        <f t="shared" si="21"/>
        <v>545833.33333333337</v>
      </c>
    </row>
    <row r="331" spans="1:31" x14ac:dyDescent="0.2">
      <c r="A331" s="4">
        <v>34000601</v>
      </c>
      <c r="B331" s="5" t="s">
        <v>652</v>
      </c>
      <c r="C331" s="178">
        <v>1406250</v>
      </c>
      <c r="D331" s="178">
        <v>156250</v>
      </c>
      <c r="E331" s="48">
        <v>281250</v>
      </c>
      <c r="F331" s="48">
        <v>31250</v>
      </c>
      <c r="G331" s="48">
        <v>281250</v>
      </c>
      <c r="H331" s="48">
        <v>31250</v>
      </c>
      <c r="I331" s="48">
        <v>281250</v>
      </c>
      <c r="J331" s="48">
        <v>31250</v>
      </c>
      <c r="K331" s="48">
        <v>281250</v>
      </c>
      <c r="L331" s="48">
        <v>31250</v>
      </c>
      <c r="M331" s="48">
        <v>281250</v>
      </c>
      <c r="N331" s="48">
        <v>31250</v>
      </c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54">
        <f t="shared" si="20"/>
        <v>0</v>
      </c>
      <c r="AD331" s="54">
        <f t="shared" si="20"/>
        <v>0</v>
      </c>
      <c r="AE331" s="2">
        <f t="shared" si="21"/>
        <v>156250</v>
      </c>
    </row>
    <row r="332" spans="1:31" x14ac:dyDescent="0.2">
      <c r="A332" s="4">
        <v>34000394</v>
      </c>
      <c r="B332" s="5" t="s">
        <v>535</v>
      </c>
      <c r="C332" s="178">
        <v>3750000</v>
      </c>
      <c r="D332" s="178">
        <v>390000</v>
      </c>
      <c r="E332" s="48">
        <v>625000</v>
      </c>
      <c r="F332" s="48">
        <v>65000</v>
      </c>
      <c r="G332" s="48">
        <v>625000</v>
      </c>
      <c r="H332" s="48">
        <v>65000</v>
      </c>
      <c r="I332" s="48">
        <v>625000</v>
      </c>
      <c r="J332" s="48">
        <v>65000</v>
      </c>
      <c r="K332" s="48">
        <v>625000</v>
      </c>
      <c r="L332" s="48">
        <v>65000</v>
      </c>
      <c r="M332" s="48">
        <v>625000</v>
      </c>
      <c r="N332" s="48">
        <v>65000</v>
      </c>
      <c r="O332" s="48">
        <v>625000</v>
      </c>
      <c r="P332" s="48">
        <v>65000</v>
      </c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54">
        <f t="shared" si="20"/>
        <v>0</v>
      </c>
      <c r="AD332" s="54">
        <f t="shared" si="20"/>
        <v>0</v>
      </c>
      <c r="AE332" s="2">
        <f t="shared" si="21"/>
        <v>390000</v>
      </c>
    </row>
    <row r="333" spans="1:31" x14ac:dyDescent="0.2">
      <c r="A333" s="4">
        <v>34000259</v>
      </c>
      <c r="B333" s="5" t="s">
        <v>480</v>
      </c>
      <c r="C333" s="178">
        <v>1599600</v>
      </c>
      <c r="D333" s="178">
        <v>160400</v>
      </c>
      <c r="E333" s="48">
        <v>399900</v>
      </c>
      <c r="F333" s="48">
        <v>40100</v>
      </c>
      <c r="G333" s="48">
        <v>399900</v>
      </c>
      <c r="H333" s="48">
        <v>40100</v>
      </c>
      <c r="I333" s="48">
        <v>399900</v>
      </c>
      <c r="J333" s="48">
        <v>40100</v>
      </c>
      <c r="K333" s="48">
        <v>399900</v>
      </c>
      <c r="L333" s="48">
        <v>40100</v>
      </c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54">
        <f t="shared" si="20"/>
        <v>0</v>
      </c>
      <c r="AD333" s="54">
        <f t="shared" si="20"/>
        <v>0</v>
      </c>
      <c r="AE333" s="2">
        <f t="shared" si="21"/>
        <v>160400</v>
      </c>
    </row>
    <row r="334" spans="1:31" x14ac:dyDescent="0.2">
      <c r="A334" s="4">
        <v>34000643</v>
      </c>
      <c r="B334" s="5" t="s">
        <v>375</v>
      </c>
      <c r="C334" s="178">
        <v>1749416.666666667</v>
      </c>
      <c r="D334" s="178">
        <v>175583.33333333326</v>
      </c>
      <c r="E334" s="48">
        <v>249916.66666666666</v>
      </c>
      <c r="F334" s="48">
        <v>25083.333333333332</v>
      </c>
      <c r="G334" s="48">
        <v>249916.66666666666</v>
      </c>
      <c r="H334" s="48">
        <v>25083.333333333332</v>
      </c>
      <c r="I334" s="48">
        <v>249916.66666666666</v>
      </c>
      <c r="J334" s="48">
        <v>25083.333333333332</v>
      </c>
      <c r="K334" s="48">
        <v>249916.66666666666</v>
      </c>
      <c r="L334" s="48">
        <v>25083.333333333332</v>
      </c>
      <c r="M334" s="48">
        <v>249916.66666666666</v>
      </c>
      <c r="N334" s="48">
        <v>25083.333333333332</v>
      </c>
      <c r="O334" s="48">
        <v>249916.66666666666</v>
      </c>
      <c r="P334" s="48">
        <v>25083.333333333332</v>
      </c>
      <c r="Q334" s="48">
        <v>249916.66666666666</v>
      </c>
      <c r="R334" s="48">
        <v>25083.333333333332</v>
      </c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54">
        <f t="shared" si="20"/>
        <v>2.9103830456733704E-10</v>
      </c>
      <c r="AD334" s="54">
        <f t="shared" si="20"/>
        <v>-6.5483618527650833E-11</v>
      </c>
      <c r="AE334" s="2">
        <f t="shared" si="21"/>
        <v>175583.33333333334</v>
      </c>
    </row>
    <row r="335" spans="1:31" x14ac:dyDescent="0.2">
      <c r="A335" s="4">
        <v>34000698</v>
      </c>
      <c r="B335" s="5" t="s">
        <v>648</v>
      </c>
      <c r="C335" s="178">
        <v>5395250</v>
      </c>
      <c r="D335" s="178">
        <v>540750</v>
      </c>
      <c r="E335" s="132">
        <v>5395250</v>
      </c>
      <c r="F335" s="132">
        <v>540750</v>
      </c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54">
        <f t="shared" si="20"/>
        <v>0</v>
      </c>
      <c r="AD335" s="54">
        <f t="shared" si="20"/>
        <v>0</v>
      </c>
      <c r="AE335" s="2">
        <f t="shared" si="21"/>
        <v>540750</v>
      </c>
    </row>
    <row r="336" spans="1:31" x14ac:dyDescent="0.2">
      <c r="A336" s="4">
        <v>34000012</v>
      </c>
      <c r="B336" s="5" t="s">
        <v>353</v>
      </c>
      <c r="C336" s="178">
        <v>2248750</v>
      </c>
      <c r="D336" s="178">
        <v>229250</v>
      </c>
      <c r="E336" s="48">
        <v>321250</v>
      </c>
      <c r="F336" s="48">
        <v>32750</v>
      </c>
      <c r="G336" s="48">
        <v>321250</v>
      </c>
      <c r="H336" s="48">
        <v>32750</v>
      </c>
      <c r="I336" s="48">
        <v>321250</v>
      </c>
      <c r="J336" s="48">
        <v>32750</v>
      </c>
      <c r="K336" s="48">
        <v>321250</v>
      </c>
      <c r="L336" s="48">
        <v>32750</v>
      </c>
      <c r="M336" s="48">
        <v>321250</v>
      </c>
      <c r="N336" s="48">
        <v>32750</v>
      </c>
      <c r="O336" s="48">
        <v>321250</v>
      </c>
      <c r="P336" s="48">
        <v>32750</v>
      </c>
      <c r="Q336" s="48">
        <v>321250</v>
      </c>
      <c r="R336" s="48">
        <v>32750</v>
      </c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54">
        <f t="shared" si="20"/>
        <v>0</v>
      </c>
      <c r="AD336" s="54">
        <f t="shared" si="20"/>
        <v>0</v>
      </c>
      <c r="AE336" s="2">
        <f t="shared" si="21"/>
        <v>229250</v>
      </c>
    </row>
    <row r="337" spans="1:31" x14ac:dyDescent="0.2">
      <c r="A337" s="4">
        <v>34000634</v>
      </c>
      <c r="B337" s="5" t="s">
        <v>589</v>
      </c>
      <c r="C337" s="178">
        <v>2332750</v>
      </c>
      <c r="D337" s="178">
        <v>236250</v>
      </c>
      <c r="E337" s="48">
        <v>333250</v>
      </c>
      <c r="F337" s="48">
        <v>33750</v>
      </c>
      <c r="G337" s="48">
        <v>333250</v>
      </c>
      <c r="H337" s="48">
        <v>33750</v>
      </c>
      <c r="I337" s="48">
        <v>333250</v>
      </c>
      <c r="J337" s="48">
        <v>33750</v>
      </c>
      <c r="K337" s="48">
        <v>333250</v>
      </c>
      <c r="L337" s="48">
        <v>33750</v>
      </c>
      <c r="M337" s="48">
        <v>333250</v>
      </c>
      <c r="N337" s="48">
        <v>33750</v>
      </c>
      <c r="O337" s="48">
        <v>333250</v>
      </c>
      <c r="P337" s="48">
        <v>33750</v>
      </c>
      <c r="Q337" s="48">
        <v>333250</v>
      </c>
      <c r="R337" s="48">
        <v>33750</v>
      </c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54">
        <f t="shared" si="20"/>
        <v>0</v>
      </c>
      <c r="AD337" s="54">
        <f t="shared" si="20"/>
        <v>0</v>
      </c>
      <c r="AE337" s="2">
        <f t="shared" si="21"/>
        <v>236250</v>
      </c>
    </row>
    <row r="338" spans="1:31" x14ac:dyDescent="0.2">
      <c r="A338" s="4">
        <v>34000510</v>
      </c>
      <c r="B338" s="5" t="s">
        <v>160</v>
      </c>
      <c r="C338" s="178">
        <v>2932666.666666666</v>
      </c>
      <c r="D338" s="178">
        <v>307333.33333333326</v>
      </c>
      <c r="E338" s="48">
        <v>366583.33333333331</v>
      </c>
      <c r="F338" s="48">
        <v>38416.666666666664</v>
      </c>
      <c r="G338" s="48">
        <v>366583.33333333331</v>
      </c>
      <c r="H338" s="48">
        <v>38416.666666666664</v>
      </c>
      <c r="I338" s="48">
        <v>366583.33333333331</v>
      </c>
      <c r="J338" s="48">
        <v>38416.666666666664</v>
      </c>
      <c r="K338" s="48">
        <v>366583.33333333331</v>
      </c>
      <c r="L338" s="48">
        <v>38416.666666666664</v>
      </c>
      <c r="M338" s="48">
        <v>366583.33333333331</v>
      </c>
      <c r="N338" s="48">
        <v>38416.666666666664</v>
      </c>
      <c r="O338" s="48">
        <v>366583.33333333331</v>
      </c>
      <c r="P338" s="48">
        <v>38416.666666666664</v>
      </c>
      <c r="Q338" s="48">
        <v>366583.33333333331</v>
      </c>
      <c r="R338" s="48">
        <v>38416.666666666664</v>
      </c>
      <c r="S338" s="48">
        <v>366583.33333333331</v>
      </c>
      <c r="T338" s="48">
        <v>38416.666666666664</v>
      </c>
      <c r="U338" s="48"/>
      <c r="V338" s="48"/>
      <c r="W338" s="48"/>
      <c r="X338" s="48"/>
      <c r="Y338" s="48"/>
      <c r="Z338" s="48"/>
      <c r="AA338" s="48"/>
      <c r="AB338" s="48"/>
      <c r="AC338" s="54">
        <f t="shared" si="20"/>
        <v>-5.8207660913467407E-10</v>
      </c>
      <c r="AD338" s="54">
        <f t="shared" si="20"/>
        <v>-4.3655745685100555E-11</v>
      </c>
      <c r="AE338" s="2">
        <f t="shared" si="21"/>
        <v>307333.33333333331</v>
      </c>
    </row>
    <row r="339" spans="1:31" x14ac:dyDescent="0.2">
      <c r="A339" s="4">
        <v>34000337</v>
      </c>
      <c r="B339" s="5" t="s">
        <v>238</v>
      </c>
      <c r="C339" s="178">
        <v>1874250</v>
      </c>
      <c r="D339" s="178">
        <v>240750</v>
      </c>
      <c r="E339" s="48">
        <v>208250</v>
      </c>
      <c r="F339" s="48">
        <v>26750</v>
      </c>
      <c r="G339" s="48">
        <v>208250</v>
      </c>
      <c r="H339" s="48">
        <v>26750</v>
      </c>
      <c r="I339" s="48">
        <v>208250</v>
      </c>
      <c r="J339" s="48">
        <v>26750</v>
      </c>
      <c r="K339" s="48">
        <v>208250</v>
      </c>
      <c r="L339" s="48">
        <v>26750</v>
      </c>
      <c r="M339" s="48">
        <v>208250</v>
      </c>
      <c r="N339" s="48">
        <v>26750</v>
      </c>
      <c r="O339" s="48">
        <v>208250</v>
      </c>
      <c r="P339" s="48">
        <v>26750</v>
      </c>
      <c r="Q339" s="48">
        <v>208250</v>
      </c>
      <c r="R339" s="48">
        <v>26750</v>
      </c>
      <c r="S339" s="48">
        <v>208250</v>
      </c>
      <c r="T339" s="48">
        <v>26750</v>
      </c>
      <c r="U339" s="48">
        <v>208250</v>
      </c>
      <c r="V339" s="48">
        <v>26750</v>
      </c>
      <c r="W339" s="48"/>
      <c r="X339" s="48"/>
      <c r="Y339" s="48"/>
      <c r="Z339" s="48"/>
      <c r="AA339" s="48"/>
      <c r="AB339" s="48"/>
      <c r="AC339" s="54">
        <f t="shared" si="20"/>
        <v>0</v>
      </c>
      <c r="AD339" s="54">
        <f t="shared" si="20"/>
        <v>0</v>
      </c>
      <c r="AE339" s="2">
        <f t="shared" si="21"/>
        <v>240750</v>
      </c>
    </row>
    <row r="340" spans="1:31" x14ac:dyDescent="0.2">
      <c r="A340" s="4">
        <v>34000106</v>
      </c>
      <c r="B340" s="5" t="s">
        <v>472</v>
      </c>
      <c r="C340" s="178">
        <v>6750000</v>
      </c>
      <c r="D340" s="178">
        <v>675000</v>
      </c>
      <c r="E340" s="48">
        <v>750000</v>
      </c>
      <c r="F340" s="48">
        <v>75000</v>
      </c>
      <c r="G340" s="48">
        <v>750000</v>
      </c>
      <c r="H340" s="48">
        <v>75000</v>
      </c>
      <c r="I340" s="48">
        <v>750000</v>
      </c>
      <c r="J340" s="48">
        <v>75000</v>
      </c>
      <c r="K340" s="48">
        <v>750000</v>
      </c>
      <c r="L340" s="48">
        <v>75000</v>
      </c>
      <c r="M340" s="48">
        <v>750000</v>
      </c>
      <c r="N340" s="48">
        <v>75000</v>
      </c>
      <c r="O340" s="48">
        <v>750000</v>
      </c>
      <c r="P340" s="48">
        <v>75000</v>
      </c>
      <c r="Q340" s="48">
        <v>750000</v>
      </c>
      <c r="R340" s="48">
        <v>75000</v>
      </c>
      <c r="S340" s="48">
        <v>750000</v>
      </c>
      <c r="T340" s="48">
        <v>75000</v>
      </c>
      <c r="U340" s="48">
        <v>750000</v>
      </c>
      <c r="V340" s="48">
        <v>75000</v>
      </c>
      <c r="W340" s="48"/>
      <c r="X340" s="48"/>
      <c r="Y340" s="48"/>
      <c r="Z340" s="48"/>
      <c r="AA340" s="48"/>
      <c r="AB340" s="48"/>
      <c r="AC340" s="54">
        <f t="shared" si="20"/>
        <v>0</v>
      </c>
      <c r="AD340" s="54">
        <f t="shared" si="20"/>
        <v>0</v>
      </c>
      <c r="AE340" s="2">
        <f t="shared" si="21"/>
        <v>675000</v>
      </c>
    </row>
    <row r="341" spans="1:31" x14ac:dyDescent="0.2">
      <c r="A341" s="4">
        <v>34000129</v>
      </c>
      <c r="B341" s="5" t="s">
        <v>564</v>
      </c>
      <c r="C341" s="178">
        <v>2499999.9999999995</v>
      </c>
      <c r="D341" s="178">
        <v>260000.00000000012</v>
      </c>
      <c r="E341" s="48">
        <v>833333.33333333337</v>
      </c>
      <c r="F341" s="48">
        <v>86666.666666666672</v>
      </c>
      <c r="G341" s="48">
        <v>833333.33333333337</v>
      </c>
      <c r="H341" s="48">
        <v>86666.666666666672</v>
      </c>
      <c r="I341" s="48">
        <v>833333.33333333337</v>
      </c>
      <c r="J341" s="48">
        <v>86666.666666666672</v>
      </c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54">
        <f t="shared" si="20"/>
        <v>-6.9849193096160889E-10</v>
      </c>
      <c r="AD341" s="54">
        <f t="shared" si="20"/>
        <v>8.7311491370201111E-11</v>
      </c>
      <c r="AE341" s="2">
        <f t="shared" si="21"/>
        <v>260000</v>
      </c>
    </row>
    <row r="342" spans="1:31" x14ac:dyDescent="0.2">
      <c r="A342" s="4">
        <v>34000277</v>
      </c>
      <c r="B342" s="5" t="s">
        <v>238</v>
      </c>
      <c r="C342" s="178">
        <v>8355833.333333333</v>
      </c>
      <c r="D342" s="178">
        <v>844166.66666666674</v>
      </c>
      <c r="E342" s="48">
        <v>835583.33333333337</v>
      </c>
      <c r="F342" s="48">
        <v>84416.666666666672</v>
      </c>
      <c r="G342" s="48">
        <v>835583.33333333337</v>
      </c>
      <c r="H342" s="48">
        <v>84416.666666666672</v>
      </c>
      <c r="I342" s="48">
        <v>835583.33333333337</v>
      </c>
      <c r="J342" s="48">
        <v>84416.666666666672</v>
      </c>
      <c r="K342" s="48">
        <v>835583.33333333337</v>
      </c>
      <c r="L342" s="48">
        <v>84416.666666666672</v>
      </c>
      <c r="M342" s="48">
        <v>835583.33333333337</v>
      </c>
      <c r="N342" s="48">
        <v>84416.666666666672</v>
      </c>
      <c r="O342" s="48">
        <v>835583.33333333337</v>
      </c>
      <c r="P342" s="48">
        <v>84416.666666666672</v>
      </c>
      <c r="Q342" s="48">
        <v>835583.33333333337</v>
      </c>
      <c r="R342" s="48">
        <v>84416.666666666672</v>
      </c>
      <c r="S342" s="48">
        <v>835583.33333333337</v>
      </c>
      <c r="T342" s="48">
        <v>84416.666666666672</v>
      </c>
      <c r="U342" s="48">
        <v>835583.33333333337</v>
      </c>
      <c r="V342" s="48">
        <v>84416.666666666672</v>
      </c>
      <c r="W342" s="48">
        <v>835583.33333333337</v>
      </c>
      <c r="X342" s="48">
        <v>84416.666666666672</v>
      </c>
      <c r="Y342" s="48"/>
      <c r="Z342" s="48"/>
      <c r="AA342" s="48"/>
      <c r="AB342" s="48"/>
      <c r="AC342" s="54">
        <f t="shared" si="20"/>
        <v>2.3283064365386963E-10</v>
      </c>
      <c r="AD342" s="54">
        <f t="shared" si="20"/>
        <v>8.7311491370201111E-11</v>
      </c>
      <c r="AE342" s="2">
        <f t="shared" si="21"/>
        <v>844166.66666666663</v>
      </c>
    </row>
    <row r="343" spans="1:31" x14ac:dyDescent="0.2">
      <c r="A343" s="4">
        <v>34000125</v>
      </c>
      <c r="B343" s="5" t="s">
        <v>603</v>
      </c>
      <c r="C343" s="178">
        <v>9166666.666666666</v>
      </c>
      <c r="D343" s="178">
        <v>953333.33333333337</v>
      </c>
      <c r="E343" s="48">
        <v>833333.33333333337</v>
      </c>
      <c r="F343" s="48">
        <v>86666.666666666672</v>
      </c>
      <c r="G343" s="48">
        <v>833333.33333333337</v>
      </c>
      <c r="H343" s="48">
        <v>86666.666666666672</v>
      </c>
      <c r="I343" s="48">
        <v>833333.33333333337</v>
      </c>
      <c r="J343" s="48">
        <v>86666.666666666672</v>
      </c>
      <c r="K343" s="48">
        <v>833333.33333333337</v>
      </c>
      <c r="L343" s="48">
        <v>86666.666666666672</v>
      </c>
      <c r="M343" s="48">
        <v>833333.33333333337</v>
      </c>
      <c r="N343" s="48">
        <v>86666.666666666672</v>
      </c>
      <c r="O343" s="48">
        <v>833333.33333333337</v>
      </c>
      <c r="P343" s="48">
        <v>86666.666666666672</v>
      </c>
      <c r="Q343" s="48">
        <v>833333.33333333337</v>
      </c>
      <c r="R343" s="48">
        <v>86666.666666666672</v>
      </c>
      <c r="S343" s="48">
        <v>833333.33333333337</v>
      </c>
      <c r="T343" s="48">
        <v>86666.666666666672</v>
      </c>
      <c r="U343" s="48">
        <v>833333.33333333337</v>
      </c>
      <c r="V343" s="48">
        <v>86666.666666666672</v>
      </c>
      <c r="W343" s="48">
        <v>833333.33333333337</v>
      </c>
      <c r="X343" s="48">
        <v>86666.666666666672</v>
      </c>
      <c r="Y343" s="48">
        <v>833333.33333333337</v>
      </c>
      <c r="Z343" s="48">
        <v>86666.666666666672</v>
      </c>
      <c r="AA343" s="48"/>
      <c r="AB343" s="48"/>
      <c r="AC343" s="54">
        <f t="shared" si="20"/>
        <v>2.3283064365386963E-10</v>
      </c>
      <c r="AD343" s="54">
        <f t="shared" si="20"/>
        <v>8.7311491370201111E-11</v>
      </c>
      <c r="AE343" s="2">
        <f t="shared" si="21"/>
        <v>953333.33333333326</v>
      </c>
    </row>
    <row r="344" spans="1:31" x14ac:dyDescent="0.2">
      <c r="A344" s="4">
        <v>34000363</v>
      </c>
      <c r="B344" s="5" t="s">
        <v>236</v>
      </c>
      <c r="C344" s="178">
        <v>6249166.666666666</v>
      </c>
      <c r="D344" s="178">
        <v>625833.33333333326</v>
      </c>
      <c r="E344" s="48">
        <v>624916.66666666663</v>
      </c>
      <c r="F344" s="48">
        <v>62583.333333333336</v>
      </c>
      <c r="G344" s="48">
        <v>624916.66666666663</v>
      </c>
      <c r="H344" s="48">
        <v>62583.333333333336</v>
      </c>
      <c r="I344" s="48">
        <v>624916.66666666663</v>
      </c>
      <c r="J344" s="48">
        <v>62583.333333333336</v>
      </c>
      <c r="K344" s="48">
        <v>624916.66666666663</v>
      </c>
      <c r="L344" s="48">
        <v>62583.333333333336</v>
      </c>
      <c r="M344" s="48">
        <v>624916.66666666663</v>
      </c>
      <c r="N344" s="48">
        <v>62583.333333333336</v>
      </c>
      <c r="O344" s="48">
        <v>624916.66666666663</v>
      </c>
      <c r="P344" s="48">
        <v>62583.333333333336</v>
      </c>
      <c r="Q344" s="48">
        <v>624916.66666666663</v>
      </c>
      <c r="R344" s="48">
        <v>62583.333333333336</v>
      </c>
      <c r="S344" s="48">
        <v>624916.66666666663</v>
      </c>
      <c r="T344" s="48">
        <v>62583.333333333336</v>
      </c>
      <c r="U344" s="48">
        <v>624916.66666666663</v>
      </c>
      <c r="V344" s="48">
        <v>62583.333333333336</v>
      </c>
      <c r="W344" s="48">
        <v>624916.66666666663</v>
      </c>
      <c r="X344" s="48">
        <v>62583.333333333336</v>
      </c>
      <c r="Y344" s="48"/>
      <c r="Z344" s="48"/>
      <c r="AA344" s="48"/>
      <c r="AB344" s="48"/>
      <c r="AC344" s="54">
        <f t="shared" si="20"/>
        <v>-6.9849193096160889E-10</v>
      </c>
      <c r="AD344" s="54">
        <f t="shared" si="20"/>
        <v>-7.2759576141834259E-11</v>
      </c>
      <c r="AE344" s="2">
        <f t="shared" si="21"/>
        <v>625833.33333333337</v>
      </c>
    </row>
    <row r="345" spans="1:31" x14ac:dyDescent="0.2">
      <c r="A345" s="4">
        <v>34000012</v>
      </c>
      <c r="B345" s="5" t="s">
        <v>353</v>
      </c>
      <c r="C345" s="178">
        <v>1425000</v>
      </c>
      <c r="D345" s="178">
        <v>165000</v>
      </c>
      <c r="E345" s="48">
        <v>237500</v>
      </c>
      <c r="F345" s="48">
        <v>27500</v>
      </c>
      <c r="G345" s="48">
        <v>237500</v>
      </c>
      <c r="H345" s="48">
        <v>27500</v>
      </c>
      <c r="I345" s="48">
        <v>237500</v>
      </c>
      <c r="J345" s="48">
        <v>27500</v>
      </c>
      <c r="K345" s="48">
        <v>237500</v>
      </c>
      <c r="L345" s="48">
        <v>27500</v>
      </c>
      <c r="M345" s="48">
        <v>237500</v>
      </c>
      <c r="N345" s="48">
        <v>27500</v>
      </c>
      <c r="O345" s="48">
        <v>237500</v>
      </c>
      <c r="P345" s="48">
        <v>27500</v>
      </c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54">
        <f t="shared" si="20"/>
        <v>0</v>
      </c>
      <c r="AD345" s="54">
        <f t="shared" si="20"/>
        <v>0</v>
      </c>
      <c r="AE345" s="2">
        <f t="shared" si="21"/>
        <v>165000</v>
      </c>
    </row>
    <row r="346" spans="1:31" x14ac:dyDescent="0.2">
      <c r="A346" s="4">
        <v>34000118</v>
      </c>
      <c r="B346" s="5" t="s">
        <v>476</v>
      </c>
      <c r="C346" s="178">
        <v>4999000</v>
      </c>
      <c r="D346" s="178">
        <v>521000</v>
      </c>
      <c r="E346" s="48">
        <v>833166.66666666663</v>
      </c>
      <c r="F346" s="48">
        <v>86833.333333333328</v>
      </c>
      <c r="G346" s="48">
        <v>833166.66666666663</v>
      </c>
      <c r="H346" s="48">
        <v>86833.333333333328</v>
      </c>
      <c r="I346" s="48">
        <v>833166.66666666663</v>
      </c>
      <c r="J346" s="48">
        <v>86833.333333333328</v>
      </c>
      <c r="K346" s="48">
        <v>833166.66666666663</v>
      </c>
      <c r="L346" s="48">
        <v>86833.333333333328</v>
      </c>
      <c r="M346" s="48">
        <v>833166.66666666663</v>
      </c>
      <c r="N346" s="48">
        <v>86833.333333333328</v>
      </c>
      <c r="O346" s="48">
        <v>833166.66666666663</v>
      </c>
      <c r="P346" s="48">
        <v>86833.333333333328</v>
      </c>
      <c r="Q346" s="48"/>
      <c r="R346" s="48"/>
      <c r="S346" s="136"/>
      <c r="T346" s="136"/>
      <c r="U346" s="136"/>
      <c r="V346" s="136"/>
      <c r="W346" s="136"/>
      <c r="X346" s="136"/>
      <c r="Y346" s="136"/>
      <c r="Z346" s="136"/>
      <c r="AA346" s="136"/>
      <c r="AB346" s="136"/>
      <c r="AC346" s="54">
        <f t="shared" si="20"/>
        <v>6.9849193096160889E-10</v>
      </c>
      <c r="AD346" s="54">
        <f t="shared" si="20"/>
        <v>8.7311491370201111E-11</v>
      </c>
      <c r="AE346" s="2">
        <f t="shared" si="21"/>
        <v>520999.99999999994</v>
      </c>
    </row>
    <row r="347" spans="1:31" x14ac:dyDescent="0.2">
      <c r="A347" s="4">
        <v>34000100</v>
      </c>
      <c r="B347" s="5" t="s">
        <v>244</v>
      </c>
      <c r="C347" s="178">
        <v>5000000</v>
      </c>
      <c r="D347" s="178">
        <v>520000</v>
      </c>
      <c r="E347" s="48">
        <v>416666.66666666669</v>
      </c>
      <c r="F347" s="48">
        <v>43333.333333333336</v>
      </c>
      <c r="G347" s="48">
        <v>416666.66666666669</v>
      </c>
      <c r="H347" s="48">
        <v>43333.333333333336</v>
      </c>
      <c r="I347" s="48">
        <v>416666.66666666669</v>
      </c>
      <c r="J347" s="48">
        <v>43333.333333333336</v>
      </c>
      <c r="K347" s="48">
        <v>416666.66666666669</v>
      </c>
      <c r="L347" s="48">
        <v>43333.333333333336</v>
      </c>
      <c r="M347" s="48">
        <v>416666.66666666669</v>
      </c>
      <c r="N347" s="48">
        <v>43333.333333333336</v>
      </c>
      <c r="O347" s="48">
        <v>416666.66666666669</v>
      </c>
      <c r="P347" s="48">
        <v>43333.333333333336</v>
      </c>
      <c r="Q347" s="48">
        <v>416666.66666666669</v>
      </c>
      <c r="R347" s="48">
        <v>43333.333333333336</v>
      </c>
      <c r="S347" s="48">
        <v>416666.66666666669</v>
      </c>
      <c r="T347" s="48">
        <v>43333.333333333336</v>
      </c>
      <c r="U347" s="48">
        <v>416666.66666666669</v>
      </c>
      <c r="V347" s="48">
        <v>43333.333333333336</v>
      </c>
      <c r="W347" s="48">
        <v>416666.66666666669</v>
      </c>
      <c r="X347" s="48">
        <v>43333.333333333336</v>
      </c>
      <c r="Y347" s="48">
        <v>416666.66666666669</v>
      </c>
      <c r="Z347" s="48">
        <v>43333.333333333336</v>
      </c>
      <c r="AA347" s="48">
        <v>416666.66666666669</v>
      </c>
      <c r="AB347" s="48">
        <v>43333.333333333336</v>
      </c>
      <c r="AC347" s="54">
        <f t="shared" si="20"/>
        <v>0</v>
      </c>
      <c r="AD347" s="54">
        <f t="shared" si="20"/>
        <v>0</v>
      </c>
      <c r="AE347" s="2">
        <f t="shared" si="21"/>
        <v>519999.99999999994</v>
      </c>
    </row>
    <row r="348" spans="1:31" x14ac:dyDescent="0.2">
      <c r="A348" s="4">
        <v>34000265</v>
      </c>
      <c r="B348" s="5" t="s">
        <v>373</v>
      </c>
      <c r="C348" s="178">
        <v>7000000</v>
      </c>
      <c r="D348" s="178">
        <v>740000</v>
      </c>
      <c r="E348" s="48"/>
      <c r="F348" s="48"/>
      <c r="G348" s="48">
        <v>583333.33333333337</v>
      </c>
      <c r="H348" s="48">
        <v>61666.666666666664</v>
      </c>
      <c r="I348" s="48">
        <v>583333.33333333337</v>
      </c>
      <c r="J348" s="48">
        <v>61666.666666666664</v>
      </c>
      <c r="K348" s="48">
        <v>583333.33333333337</v>
      </c>
      <c r="L348" s="48">
        <v>61666.666666666664</v>
      </c>
      <c r="M348" s="48">
        <v>583333.33333333337</v>
      </c>
      <c r="N348" s="48">
        <v>61666.666666666664</v>
      </c>
      <c r="O348" s="48">
        <v>583333.33333333337</v>
      </c>
      <c r="P348" s="48">
        <v>61666.666666666664</v>
      </c>
      <c r="Q348" s="48">
        <v>583333.33333333337</v>
      </c>
      <c r="R348" s="48">
        <v>61666.666666666664</v>
      </c>
      <c r="S348" s="48">
        <v>583333.33333333337</v>
      </c>
      <c r="T348" s="48">
        <v>61666.666666666664</v>
      </c>
      <c r="U348" s="48">
        <v>583333.33333333337</v>
      </c>
      <c r="V348" s="48">
        <v>61666.666666666664</v>
      </c>
      <c r="W348" s="48">
        <v>583333.33333333337</v>
      </c>
      <c r="X348" s="48">
        <v>61666.666666666664</v>
      </c>
      <c r="Y348" s="48">
        <v>583333.33333333337</v>
      </c>
      <c r="Z348" s="48">
        <v>61666.666666666664</v>
      </c>
      <c r="AA348" s="48">
        <v>583333.33333333337</v>
      </c>
      <c r="AB348" s="48">
        <v>61666.666666666664</v>
      </c>
      <c r="AC348" s="54">
        <f t="shared" si="20"/>
        <v>583333.3333333336</v>
      </c>
      <c r="AD348" s="54">
        <f t="shared" si="20"/>
        <v>61666.666666666737</v>
      </c>
      <c r="AE348" s="2">
        <f t="shared" si="21"/>
        <v>678333.33333333326</v>
      </c>
    </row>
    <row r="349" spans="1:31" x14ac:dyDescent="0.2">
      <c r="A349" s="4">
        <v>34000850</v>
      </c>
      <c r="B349" s="5" t="s">
        <v>357</v>
      </c>
      <c r="C349" s="178">
        <v>6499000</v>
      </c>
      <c r="D349" s="178">
        <v>701000</v>
      </c>
      <c r="E349" s="48"/>
      <c r="F349" s="48"/>
      <c r="G349" s="48">
        <v>541583.33333333337</v>
      </c>
      <c r="H349" s="48">
        <v>58416.666666666664</v>
      </c>
      <c r="I349" s="48">
        <v>541583.33333333337</v>
      </c>
      <c r="J349" s="48">
        <v>58416.666666666664</v>
      </c>
      <c r="K349" s="48">
        <v>541583.33333333337</v>
      </c>
      <c r="L349" s="48">
        <v>58416.666666666664</v>
      </c>
      <c r="M349" s="48">
        <v>541583.33333333337</v>
      </c>
      <c r="N349" s="48">
        <v>58416.666666666664</v>
      </c>
      <c r="O349" s="48">
        <v>541583.33333333337</v>
      </c>
      <c r="P349" s="48">
        <v>58416.666666666664</v>
      </c>
      <c r="Q349" s="48">
        <v>541583.33333333337</v>
      </c>
      <c r="R349" s="48">
        <v>58416.666666666664</v>
      </c>
      <c r="S349" s="48">
        <v>541583.33333333337</v>
      </c>
      <c r="T349" s="48">
        <v>58416.666666666664</v>
      </c>
      <c r="U349" s="48">
        <v>541583.33333333337</v>
      </c>
      <c r="V349" s="48">
        <v>58416.666666666664</v>
      </c>
      <c r="W349" s="48">
        <v>541583.33333333337</v>
      </c>
      <c r="X349" s="48">
        <v>58416.666666666664</v>
      </c>
      <c r="Y349" s="48">
        <v>541583.33333333337</v>
      </c>
      <c r="Z349" s="48">
        <v>58416.666666666664</v>
      </c>
      <c r="AA349" s="48">
        <v>541583.33333333337</v>
      </c>
      <c r="AB349" s="48">
        <v>58416.666666666664</v>
      </c>
      <c r="AC349" s="54">
        <f t="shared" si="20"/>
        <v>541583.3333333336</v>
      </c>
      <c r="AD349" s="54">
        <f t="shared" si="20"/>
        <v>58416.666666666737</v>
      </c>
      <c r="AE349" s="2">
        <f t="shared" si="21"/>
        <v>642583.33333333326</v>
      </c>
    </row>
    <row r="350" spans="1:31" x14ac:dyDescent="0.2">
      <c r="A350" s="4">
        <v>34000807</v>
      </c>
      <c r="B350" s="5" t="s">
        <v>423</v>
      </c>
      <c r="C350" s="178">
        <v>2500000</v>
      </c>
      <c r="D350" s="178">
        <v>260000</v>
      </c>
      <c r="E350" s="48"/>
      <c r="F350" s="48"/>
      <c r="G350" s="48">
        <v>208333.33333333334</v>
      </c>
      <c r="H350" s="48">
        <v>21666.666666666668</v>
      </c>
      <c r="I350" s="48">
        <v>208333.33333333334</v>
      </c>
      <c r="J350" s="48">
        <v>21666.666666666668</v>
      </c>
      <c r="K350" s="48">
        <v>208333.33333333334</v>
      </c>
      <c r="L350" s="48">
        <v>21666.666666666668</v>
      </c>
      <c r="M350" s="48">
        <v>208333.33333333334</v>
      </c>
      <c r="N350" s="48">
        <v>21666.666666666668</v>
      </c>
      <c r="O350" s="48">
        <v>208333.33333333334</v>
      </c>
      <c r="P350" s="48">
        <v>21666.666666666668</v>
      </c>
      <c r="Q350" s="48">
        <v>208333.33333333334</v>
      </c>
      <c r="R350" s="48">
        <v>21666.666666666668</v>
      </c>
      <c r="S350" s="48">
        <v>208333.33333333334</v>
      </c>
      <c r="T350" s="48">
        <v>21666.666666666668</v>
      </c>
      <c r="U350" s="48">
        <v>208333.33333333334</v>
      </c>
      <c r="V350" s="48">
        <v>21666.666666666668</v>
      </c>
      <c r="W350" s="48">
        <v>208333.33333333334</v>
      </c>
      <c r="X350" s="48">
        <v>21666.666666666668</v>
      </c>
      <c r="Y350" s="48">
        <v>208333.33333333334</v>
      </c>
      <c r="Z350" s="48">
        <v>21666.666666666668</v>
      </c>
      <c r="AA350" s="48">
        <v>208333.33333333334</v>
      </c>
      <c r="AB350" s="48">
        <v>21666.666666666668</v>
      </c>
      <c r="AC350" s="54">
        <f t="shared" si="20"/>
        <v>208333.3333333334</v>
      </c>
      <c r="AD350" s="54">
        <f t="shared" si="20"/>
        <v>21666.66666666669</v>
      </c>
      <c r="AE350" s="2">
        <f t="shared" si="21"/>
        <v>238333.33333333331</v>
      </c>
    </row>
    <row r="351" spans="1:31" x14ac:dyDescent="0.2">
      <c r="A351" s="4">
        <v>34000215</v>
      </c>
      <c r="B351" s="5" t="s">
        <v>137</v>
      </c>
      <c r="C351" s="178">
        <v>5500000</v>
      </c>
      <c r="D351" s="178">
        <v>500000</v>
      </c>
      <c r="E351" s="48"/>
      <c r="F351" s="48"/>
      <c r="G351" s="48">
        <v>550000</v>
      </c>
      <c r="H351" s="48">
        <v>50000</v>
      </c>
      <c r="I351" s="48">
        <v>550000</v>
      </c>
      <c r="J351" s="48">
        <v>50000</v>
      </c>
      <c r="K351" s="48">
        <v>550000</v>
      </c>
      <c r="L351" s="48">
        <v>50000</v>
      </c>
      <c r="M351" s="48">
        <v>550000</v>
      </c>
      <c r="N351" s="48">
        <v>50000</v>
      </c>
      <c r="O351" s="48">
        <v>550000</v>
      </c>
      <c r="P351" s="48">
        <v>50000</v>
      </c>
      <c r="Q351" s="48">
        <v>550000</v>
      </c>
      <c r="R351" s="48">
        <v>50000</v>
      </c>
      <c r="S351" s="48">
        <v>550000</v>
      </c>
      <c r="T351" s="48">
        <v>50000</v>
      </c>
      <c r="U351" s="48">
        <v>550000</v>
      </c>
      <c r="V351" s="48">
        <v>50000</v>
      </c>
      <c r="W351" s="48">
        <v>550000</v>
      </c>
      <c r="X351" s="48">
        <v>50000</v>
      </c>
      <c r="Y351" s="48">
        <v>550000</v>
      </c>
      <c r="Z351" s="48">
        <v>50000</v>
      </c>
      <c r="AA351" s="48"/>
      <c r="AB351" s="48"/>
      <c r="AC351" s="54">
        <f t="shared" si="20"/>
        <v>0</v>
      </c>
      <c r="AD351" s="54">
        <f t="shared" si="20"/>
        <v>0</v>
      </c>
      <c r="AE351" s="2">
        <f t="shared" si="21"/>
        <v>500000</v>
      </c>
    </row>
    <row r="352" spans="1:31" x14ac:dyDescent="0.2">
      <c r="A352" s="4" t="s">
        <v>342</v>
      </c>
      <c r="B352" s="5" t="s">
        <v>343</v>
      </c>
      <c r="C352" s="178">
        <v>7500000</v>
      </c>
      <c r="D352" s="178">
        <v>750000</v>
      </c>
      <c r="E352" s="48"/>
      <c r="F352" s="48"/>
      <c r="G352" s="48">
        <v>625000</v>
      </c>
      <c r="H352" s="48">
        <v>62500</v>
      </c>
      <c r="I352" s="48">
        <v>625000</v>
      </c>
      <c r="J352" s="48">
        <v>62500</v>
      </c>
      <c r="K352" s="48">
        <v>625000</v>
      </c>
      <c r="L352" s="48">
        <v>62500</v>
      </c>
      <c r="M352" s="48">
        <v>625000</v>
      </c>
      <c r="N352" s="48">
        <v>62500</v>
      </c>
      <c r="O352" s="48">
        <v>625000</v>
      </c>
      <c r="P352" s="48">
        <v>62500</v>
      </c>
      <c r="Q352" s="48">
        <v>625000</v>
      </c>
      <c r="R352" s="48">
        <v>62500</v>
      </c>
      <c r="S352" s="48">
        <v>625000</v>
      </c>
      <c r="T352" s="48">
        <v>62500</v>
      </c>
      <c r="U352" s="48">
        <v>625000</v>
      </c>
      <c r="V352" s="48">
        <v>62500</v>
      </c>
      <c r="W352" s="48">
        <v>625000</v>
      </c>
      <c r="X352" s="48">
        <v>62500</v>
      </c>
      <c r="Y352" s="48">
        <v>625000</v>
      </c>
      <c r="Z352" s="48">
        <v>62500</v>
      </c>
      <c r="AA352" s="48">
        <v>625000</v>
      </c>
      <c r="AB352" s="48">
        <v>62500</v>
      </c>
      <c r="AC352" s="54">
        <f t="shared" si="20"/>
        <v>625000</v>
      </c>
      <c r="AD352" s="54">
        <f t="shared" si="20"/>
        <v>62500</v>
      </c>
      <c r="AE352" s="2">
        <f t="shared" si="21"/>
        <v>687500</v>
      </c>
    </row>
    <row r="353" spans="1:31" x14ac:dyDescent="0.2">
      <c r="A353" s="4">
        <v>34000692</v>
      </c>
      <c r="B353" s="5" t="s">
        <v>155</v>
      </c>
      <c r="C353" s="178">
        <v>10000000</v>
      </c>
      <c r="D353" s="178">
        <v>1040000</v>
      </c>
      <c r="E353" s="48"/>
      <c r="F353" s="48"/>
      <c r="G353" s="48">
        <v>833333.33333333337</v>
      </c>
      <c r="H353" s="48">
        <v>86666.666666666672</v>
      </c>
      <c r="I353" s="48">
        <v>833333.33333333337</v>
      </c>
      <c r="J353" s="48">
        <v>86666.666666666672</v>
      </c>
      <c r="K353" s="48">
        <v>833333.33333333337</v>
      </c>
      <c r="L353" s="48">
        <v>86666.666666666672</v>
      </c>
      <c r="M353" s="48">
        <v>833333.33333333337</v>
      </c>
      <c r="N353" s="48">
        <v>86666.666666666672</v>
      </c>
      <c r="O353" s="48">
        <v>833333.33333333337</v>
      </c>
      <c r="P353" s="48">
        <v>86666.666666666672</v>
      </c>
      <c r="Q353" s="48">
        <v>833333.33333333337</v>
      </c>
      <c r="R353" s="48">
        <v>86666.666666666672</v>
      </c>
      <c r="S353" s="48">
        <v>833333.33333333337</v>
      </c>
      <c r="T353" s="48">
        <v>86666.666666666672</v>
      </c>
      <c r="U353" s="48">
        <v>833333.33333333337</v>
      </c>
      <c r="V353" s="48">
        <v>86666.666666666672</v>
      </c>
      <c r="W353" s="48">
        <v>833333.33333333337</v>
      </c>
      <c r="X353" s="48">
        <v>86666.666666666672</v>
      </c>
      <c r="Y353" s="48">
        <v>833333.33333333337</v>
      </c>
      <c r="Z353" s="48">
        <v>86666.666666666672</v>
      </c>
      <c r="AA353" s="48">
        <v>833333.33333333337</v>
      </c>
      <c r="AB353" s="48">
        <v>86666.666666666672</v>
      </c>
      <c r="AC353" s="54">
        <f t="shared" si="20"/>
        <v>833333.3333333336</v>
      </c>
      <c r="AD353" s="54">
        <f t="shared" si="20"/>
        <v>86666.666666666759</v>
      </c>
      <c r="AE353" s="2">
        <f t="shared" si="21"/>
        <v>953333.33333333326</v>
      </c>
    </row>
    <row r="354" spans="1:31" x14ac:dyDescent="0.2">
      <c r="A354" s="4">
        <v>34000453</v>
      </c>
      <c r="B354" s="5" t="s">
        <v>562</v>
      </c>
      <c r="C354" s="178">
        <v>7650000</v>
      </c>
      <c r="D354" s="178">
        <v>810000</v>
      </c>
      <c r="E354" s="48"/>
      <c r="F354" s="48"/>
      <c r="G354" s="48">
        <v>637500</v>
      </c>
      <c r="H354" s="48">
        <v>67500</v>
      </c>
      <c r="I354" s="48">
        <v>637500</v>
      </c>
      <c r="J354" s="48">
        <v>67500</v>
      </c>
      <c r="K354" s="48">
        <v>637500</v>
      </c>
      <c r="L354" s="48">
        <v>67500</v>
      </c>
      <c r="M354" s="48">
        <v>637500</v>
      </c>
      <c r="N354" s="48">
        <v>67500</v>
      </c>
      <c r="O354" s="48">
        <v>637500</v>
      </c>
      <c r="P354" s="48">
        <v>67500</v>
      </c>
      <c r="Q354" s="48">
        <v>637500</v>
      </c>
      <c r="R354" s="48">
        <v>67500</v>
      </c>
      <c r="S354" s="48">
        <v>637500</v>
      </c>
      <c r="T354" s="48">
        <v>67500</v>
      </c>
      <c r="U354" s="48">
        <v>637500</v>
      </c>
      <c r="V354" s="48">
        <v>67500</v>
      </c>
      <c r="W354" s="48">
        <v>637500</v>
      </c>
      <c r="X354" s="48">
        <v>67500</v>
      </c>
      <c r="Y354" s="48">
        <v>637500</v>
      </c>
      <c r="Z354" s="48">
        <v>67500</v>
      </c>
      <c r="AA354" s="48">
        <v>637500</v>
      </c>
      <c r="AB354" s="48">
        <v>67500</v>
      </c>
      <c r="AC354" s="54">
        <f t="shared" si="20"/>
        <v>637500</v>
      </c>
      <c r="AD354" s="54">
        <f t="shared" si="20"/>
        <v>67500</v>
      </c>
      <c r="AE354" s="2">
        <f t="shared" si="21"/>
        <v>742500</v>
      </c>
    </row>
    <row r="355" spans="1:31" x14ac:dyDescent="0.2">
      <c r="A355" s="4">
        <v>34000565</v>
      </c>
      <c r="B355" s="5" t="s">
        <v>490</v>
      </c>
      <c r="C355" s="178">
        <v>7415000</v>
      </c>
      <c r="D355" s="178">
        <v>745000</v>
      </c>
      <c r="E355" s="48"/>
      <c r="F355" s="48"/>
      <c r="G355" s="48">
        <v>617916.66666666663</v>
      </c>
      <c r="H355" s="48">
        <v>62083.333333333336</v>
      </c>
      <c r="I355" s="48">
        <v>617916.66666666663</v>
      </c>
      <c r="J355" s="48">
        <v>62083.333333333336</v>
      </c>
      <c r="K355" s="48">
        <v>617916.66666666663</v>
      </c>
      <c r="L355" s="48">
        <v>62083.333333333336</v>
      </c>
      <c r="M355" s="48">
        <v>617916.66666666663</v>
      </c>
      <c r="N355" s="48">
        <v>62083.333333333336</v>
      </c>
      <c r="O355" s="48">
        <v>617916.66666666663</v>
      </c>
      <c r="P355" s="48">
        <v>62083.333333333336</v>
      </c>
      <c r="Q355" s="48">
        <v>617916.66666666663</v>
      </c>
      <c r="R355" s="48">
        <v>62083.333333333336</v>
      </c>
      <c r="S355" s="48">
        <v>617916.66666666663</v>
      </c>
      <c r="T355" s="48">
        <v>62083.333333333336</v>
      </c>
      <c r="U355" s="48">
        <v>617916.66666666663</v>
      </c>
      <c r="V355" s="48">
        <v>62083.333333333336</v>
      </c>
      <c r="W355" s="48">
        <v>617916.66666666663</v>
      </c>
      <c r="X355" s="48">
        <v>62083.333333333336</v>
      </c>
      <c r="Y355" s="48">
        <v>617916.66666666663</v>
      </c>
      <c r="Z355" s="48">
        <v>62083.333333333336</v>
      </c>
      <c r="AA355" s="48">
        <v>617916.66666666663</v>
      </c>
      <c r="AB355" s="48">
        <v>62083.333333333336</v>
      </c>
      <c r="AC355" s="54">
        <f t="shared" si="20"/>
        <v>617916.66666666593</v>
      </c>
      <c r="AD355" s="54">
        <f t="shared" si="20"/>
        <v>62083.333333333263</v>
      </c>
      <c r="AE355" s="2">
        <f t="shared" si="21"/>
        <v>682916.66666666674</v>
      </c>
    </row>
    <row r="356" spans="1:31" x14ac:dyDescent="0.2">
      <c r="A356" s="4" t="s">
        <v>139</v>
      </c>
      <c r="B356" s="5" t="s">
        <v>140</v>
      </c>
      <c r="C356" s="178">
        <v>4199000</v>
      </c>
      <c r="D356" s="178">
        <v>421000</v>
      </c>
      <c r="E356" s="48"/>
      <c r="F356" s="48"/>
      <c r="G356" s="48"/>
      <c r="H356" s="48"/>
      <c r="I356" s="136">
        <v>349916.66666666669</v>
      </c>
      <c r="J356" s="136">
        <v>35083.333333333336</v>
      </c>
      <c r="K356" s="136">
        <v>349916.66666666669</v>
      </c>
      <c r="L356" s="136">
        <v>35083.333333333336</v>
      </c>
      <c r="M356" s="136">
        <v>349916.66666666669</v>
      </c>
      <c r="N356" s="136">
        <v>35083.333333333336</v>
      </c>
      <c r="O356" s="136">
        <v>349916.66666666669</v>
      </c>
      <c r="P356" s="136">
        <v>35083.333333333336</v>
      </c>
      <c r="Q356" s="136">
        <v>349916.66666666669</v>
      </c>
      <c r="R356" s="136">
        <v>35083.333333333336</v>
      </c>
      <c r="S356" s="48">
        <v>349916.66666666669</v>
      </c>
      <c r="T356" s="48">
        <v>35083.333333333336</v>
      </c>
      <c r="U356" s="48">
        <v>349916.66666666669</v>
      </c>
      <c r="V356" s="48">
        <v>35083.333333333336</v>
      </c>
      <c r="W356" s="48">
        <v>349916.66666666669</v>
      </c>
      <c r="X356" s="48">
        <v>35083.333333333336</v>
      </c>
      <c r="Y356" s="48">
        <v>349916.66666666669</v>
      </c>
      <c r="Z356" s="48">
        <v>35083.333333333336</v>
      </c>
      <c r="AA356" s="48">
        <v>349916.66666666669</v>
      </c>
      <c r="AB356" s="48">
        <v>35083.333333333336</v>
      </c>
      <c r="AC356" s="54">
        <f t="shared" si="20"/>
        <v>699833.33333333395</v>
      </c>
      <c r="AD356" s="54">
        <f t="shared" si="20"/>
        <v>70166.666666666686</v>
      </c>
      <c r="AE356" s="2">
        <f t="shared" si="21"/>
        <v>350833.33333333331</v>
      </c>
    </row>
    <row r="357" spans="1:31" x14ac:dyDescent="0.2">
      <c r="A357" s="4">
        <v>34000938</v>
      </c>
      <c r="B357" s="5" t="s">
        <v>776</v>
      </c>
      <c r="C357" s="178">
        <v>7198000</v>
      </c>
      <c r="D357" s="178">
        <v>722000</v>
      </c>
      <c r="E357" s="48"/>
      <c r="F357" s="48"/>
      <c r="G357" s="48"/>
      <c r="H357" s="48"/>
      <c r="I357" s="136"/>
      <c r="J357" s="136"/>
      <c r="K357" s="48">
        <v>599833.33333333337</v>
      </c>
      <c r="L357" s="48">
        <v>60166.666666666664</v>
      </c>
      <c r="M357" s="48">
        <v>599833.33333333337</v>
      </c>
      <c r="N357" s="48">
        <v>60166.666666666664</v>
      </c>
      <c r="O357" s="48">
        <v>599833.33333333337</v>
      </c>
      <c r="P357" s="48">
        <v>60166.666666666664</v>
      </c>
      <c r="Q357" s="48">
        <v>599833.33333333337</v>
      </c>
      <c r="R357" s="48">
        <v>60166.666666666664</v>
      </c>
      <c r="S357" s="48">
        <v>599833.33333333337</v>
      </c>
      <c r="T357" s="48">
        <v>60166.666666666664</v>
      </c>
      <c r="U357" s="48">
        <v>599833.33333333337</v>
      </c>
      <c r="V357" s="48">
        <v>60166.666666666664</v>
      </c>
      <c r="W357" s="48">
        <v>599833.33333333337</v>
      </c>
      <c r="X357" s="48">
        <v>60166.666666666664</v>
      </c>
      <c r="Y357" s="48">
        <v>599833.33333333337</v>
      </c>
      <c r="Z357" s="48">
        <v>60166.666666666664</v>
      </c>
      <c r="AA357" s="48">
        <v>599833.33333333337</v>
      </c>
      <c r="AB357" s="48">
        <v>60166.666666666664</v>
      </c>
      <c r="AC357" s="54">
        <f t="shared" si="20"/>
        <v>1799500.0000000009</v>
      </c>
      <c r="AD357" s="54">
        <f t="shared" si="20"/>
        <v>180500.00000000006</v>
      </c>
      <c r="AE357" s="2">
        <f t="shared" si="21"/>
        <v>541500</v>
      </c>
    </row>
    <row r="358" spans="1:31" x14ac:dyDescent="0.2">
      <c r="A358" s="4">
        <v>34000470</v>
      </c>
      <c r="B358" s="5" t="s">
        <v>492</v>
      </c>
      <c r="C358" s="178">
        <v>10000000</v>
      </c>
      <c r="D358" s="178">
        <v>1040000</v>
      </c>
      <c r="E358" s="48"/>
      <c r="F358" s="48"/>
      <c r="G358" s="48"/>
      <c r="H358" s="48"/>
      <c r="I358" s="136"/>
      <c r="J358" s="136"/>
      <c r="K358" s="48"/>
      <c r="L358" s="48"/>
      <c r="M358" s="48"/>
      <c r="N358" s="48"/>
      <c r="O358" s="48">
        <v>833333.33333333337</v>
      </c>
      <c r="P358" s="48">
        <v>86666.666666666672</v>
      </c>
      <c r="Q358" s="48">
        <v>833333.33333333337</v>
      </c>
      <c r="R358" s="48">
        <v>86666.666666666672</v>
      </c>
      <c r="S358" s="48">
        <v>833333.33333333337</v>
      </c>
      <c r="T358" s="48">
        <v>86666.666666666672</v>
      </c>
      <c r="U358" s="48">
        <v>833333.33333333337</v>
      </c>
      <c r="V358" s="48">
        <v>86666.666666666672</v>
      </c>
      <c r="W358" s="48">
        <v>833333.33333333337</v>
      </c>
      <c r="X358" s="48">
        <v>86666.666666666672</v>
      </c>
      <c r="Y358" s="48">
        <v>833333.33333333337</v>
      </c>
      <c r="Z358" s="48">
        <v>86666.666666666672</v>
      </c>
      <c r="AA358" s="48">
        <v>833333.33333333337</v>
      </c>
      <c r="AB358" s="48">
        <v>86666.666666666672</v>
      </c>
      <c r="AC358" s="54">
        <f t="shared" si="20"/>
        <v>4166666.6666666674</v>
      </c>
      <c r="AD358" s="54">
        <f t="shared" si="20"/>
        <v>433333.33333333349</v>
      </c>
      <c r="AE358" s="2">
        <f t="shared" si="21"/>
        <v>606666.66666666674</v>
      </c>
    </row>
    <row r="359" spans="1:31" x14ac:dyDescent="0.2">
      <c r="A359" s="4">
        <v>34000405</v>
      </c>
      <c r="B359" s="5" t="s">
        <v>178</v>
      </c>
      <c r="C359" s="178">
        <v>4999000</v>
      </c>
      <c r="D359" s="178">
        <v>521000</v>
      </c>
      <c r="E359" s="48"/>
      <c r="F359" s="48"/>
      <c r="G359" s="48"/>
      <c r="H359" s="48"/>
      <c r="I359" s="136"/>
      <c r="J359" s="136"/>
      <c r="K359" s="48"/>
      <c r="L359" s="48"/>
      <c r="M359" s="48"/>
      <c r="N359" s="48"/>
      <c r="O359" s="48"/>
      <c r="P359" s="48"/>
      <c r="Q359" s="48">
        <v>416583.33333333331</v>
      </c>
      <c r="R359" s="48">
        <v>43416.666666666664</v>
      </c>
      <c r="S359" s="48">
        <v>416583.33333333331</v>
      </c>
      <c r="T359" s="48">
        <v>43416.666666666664</v>
      </c>
      <c r="U359" s="48">
        <v>416583.33333333331</v>
      </c>
      <c r="V359" s="48">
        <v>43416.666666666664</v>
      </c>
      <c r="W359" s="48">
        <v>416583.33333333331</v>
      </c>
      <c r="X359" s="48">
        <v>43416.666666666664</v>
      </c>
      <c r="Y359" s="48">
        <v>416583.33333333331</v>
      </c>
      <c r="Z359" s="48">
        <v>43416.666666666664</v>
      </c>
      <c r="AA359" s="48">
        <v>416583.33333333331</v>
      </c>
      <c r="AB359" s="48">
        <v>43416.666666666664</v>
      </c>
      <c r="AC359" s="54">
        <f t="shared" si="20"/>
        <v>2499499.9999999995</v>
      </c>
      <c r="AD359" s="54">
        <f t="shared" si="20"/>
        <v>260499.99999999991</v>
      </c>
      <c r="AE359" s="2">
        <f t="shared" si="21"/>
        <v>260499.99999999997</v>
      </c>
    </row>
    <row r="360" spans="1:31" x14ac:dyDescent="0.2">
      <c r="A360" s="4">
        <v>34000412</v>
      </c>
      <c r="B360" s="5" t="s">
        <v>409</v>
      </c>
      <c r="C360" s="178">
        <v>4446000</v>
      </c>
      <c r="D360" s="178">
        <v>474000</v>
      </c>
      <c r="E360" s="48"/>
      <c r="F360" s="48"/>
      <c r="G360" s="48"/>
      <c r="H360" s="48"/>
      <c r="I360" s="136"/>
      <c r="J360" s="136"/>
      <c r="K360" s="48"/>
      <c r="L360" s="48"/>
      <c r="M360" s="48"/>
      <c r="N360" s="48"/>
      <c r="O360" s="48"/>
      <c r="P360" s="48"/>
      <c r="Q360" s="48">
        <v>370500</v>
      </c>
      <c r="R360" s="48">
        <v>39500</v>
      </c>
      <c r="S360" s="48">
        <v>370500</v>
      </c>
      <c r="T360" s="48">
        <v>39500</v>
      </c>
      <c r="U360" s="48">
        <v>370500</v>
      </c>
      <c r="V360" s="48">
        <v>39500</v>
      </c>
      <c r="W360" s="48">
        <v>370500</v>
      </c>
      <c r="X360" s="48">
        <v>39500</v>
      </c>
      <c r="Y360" s="48">
        <v>370500</v>
      </c>
      <c r="Z360" s="48">
        <v>39500</v>
      </c>
      <c r="AA360" s="48">
        <v>370500</v>
      </c>
      <c r="AB360" s="48">
        <v>39500</v>
      </c>
      <c r="AC360" s="54">
        <f t="shared" si="20"/>
        <v>2223000</v>
      </c>
      <c r="AD360" s="54">
        <f t="shared" si="20"/>
        <v>237000</v>
      </c>
      <c r="AE360" s="2">
        <f t="shared" si="21"/>
        <v>237000</v>
      </c>
    </row>
    <row r="361" spans="1:31" x14ac:dyDescent="0.2">
      <c r="A361" s="4">
        <v>34000394</v>
      </c>
      <c r="B361" s="5" t="s">
        <v>535</v>
      </c>
      <c r="C361" s="178">
        <v>10000000</v>
      </c>
      <c r="D361" s="178">
        <v>1040000</v>
      </c>
      <c r="E361" s="48"/>
      <c r="F361" s="48"/>
      <c r="G361" s="48"/>
      <c r="H361" s="48"/>
      <c r="I361" s="136"/>
      <c r="J361" s="136"/>
      <c r="K361" s="48"/>
      <c r="L361" s="48"/>
      <c r="M361" s="48"/>
      <c r="N361" s="48"/>
      <c r="O361" s="48"/>
      <c r="P361" s="48"/>
      <c r="Q361" s="48">
        <v>833333.33333333337</v>
      </c>
      <c r="R361" s="48">
        <v>86666.666666666672</v>
      </c>
      <c r="S361" s="48">
        <v>833333.33333333337</v>
      </c>
      <c r="T361" s="48">
        <v>86666.666666666672</v>
      </c>
      <c r="U361" s="48">
        <v>833333.33333333337</v>
      </c>
      <c r="V361" s="48">
        <v>86666.666666666672</v>
      </c>
      <c r="W361" s="48">
        <v>833333.33333333337</v>
      </c>
      <c r="X361" s="48">
        <v>86666.666666666672</v>
      </c>
      <c r="Y361" s="48">
        <v>833333.33333333337</v>
      </c>
      <c r="Z361" s="48">
        <v>86666.666666666672</v>
      </c>
      <c r="AA361" s="48">
        <v>833333.33333333337</v>
      </c>
      <c r="AB361" s="48">
        <v>86666.666666666672</v>
      </c>
      <c r="AC361" s="54">
        <f t="shared" si="20"/>
        <v>5000000.0000000009</v>
      </c>
      <c r="AD361" s="54">
        <f t="shared" si="20"/>
        <v>520000.00000000017</v>
      </c>
      <c r="AE361" s="2">
        <f t="shared" si="21"/>
        <v>520000.00000000006</v>
      </c>
    </row>
    <row r="362" spans="1:31" x14ac:dyDescent="0.2">
      <c r="A362" s="4">
        <v>34000490</v>
      </c>
      <c r="B362" s="5" t="s">
        <v>486</v>
      </c>
      <c r="C362" s="178">
        <v>10000000</v>
      </c>
      <c r="D362" s="178">
        <v>1040000</v>
      </c>
      <c r="E362" s="48"/>
      <c r="F362" s="48"/>
      <c r="G362" s="48"/>
      <c r="H362" s="48"/>
      <c r="I362" s="136"/>
      <c r="J362" s="136"/>
      <c r="K362" s="48"/>
      <c r="L362" s="48"/>
      <c r="M362" s="48"/>
      <c r="N362" s="48"/>
      <c r="O362" s="48"/>
      <c r="P362" s="48"/>
      <c r="Q362" s="48"/>
      <c r="R362" s="48"/>
      <c r="S362" s="48">
        <v>833333.33333333337</v>
      </c>
      <c r="T362" s="48">
        <v>86666.666666666672</v>
      </c>
      <c r="U362" s="48">
        <v>833333.33333333337</v>
      </c>
      <c r="V362" s="48">
        <v>86666.666666666672</v>
      </c>
      <c r="W362" s="48">
        <v>833333.33333333337</v>
      </c>
      <c r="X362" s="48">
        <v>86666.666666666672</v>
      </c>
      <c r="Y362" s="48">
        <v>833333.33333333337</v>
      </c>
      <c r="Z362" s="48">
        <v>86666.666666666672</v>
      </c>
      <c r="AA362" s="48">
        <v>833333.33333333337</v>
      </c>
      <c r="AB362" s="48">
        <v>86666.666666666672</v>
      </c>
      <c r="AC362" s="54">
        <f t="shared" si="20"/>
        <v>5833333.333333334</v>
      </c>
      <c r="AD362" s="54">
        <f t="shared" si="20"/>
        <v>606666.66666666686</v>
      </c>
      <c r="AE362" s="2">
        <f t="shared" si="21"/>
        <v>433333.33333333337</v>
      </c>
    </row>
    <row r="363" spans="1:31" x14ac:dyDescent="0.2">
      <c r="A363" s="4">
        <v>34000422</v>
      </c>
      <c r="B363" s="5" t="s">
        <v>294</v>
      </c>
      <c r="C363" s="178">
        <v>9500000</v>
      </c>
      <c r="D363" s="178">
        <v>1000000</v>
      </c>
      <c r="E363" s="48"/>
      <c r="F363" s="48"/>
      <c r="G363" s="48"/>
      <c r="H363" s="48"/>
      <c r="I363" s="136"/>
      <c r="J363" s="136"/>
      <c r="K363" s="48"/>
      <c r="L363" s="48"/>
      <c r="M363" s="48"/>
      <c r="N363" s="48"/>
      <c r="O363" s="48"/>
      <c r="P363" s="48"/>
      <c r="Q363" s="48"/>
      <c r="R363" s="48"/>
      <c r="S363" s="48">
        <v>791666.66666666663</v>
      </c>
      <c r="T363" s="48">
        <v>83333.333333333328</v>
      </c>
      <c r="U363" s="48">
        <v>791666.66666666663</v>
      </c>
      <c r="V363" s="48">
        <v>83333.333333333328</v>
      </c>
      <c r="W363" s="48">
        <v>791666.66666666663</v>
      </c>
      <c r="X363" s="48">
        <v>83333.333333333328</v>
      </c>
      <c r="Y363" s="48">
        <v>791666.66666666663</v>
      </c>
      <c r="Z363" s="48">
        <v>83333.333333333328</v>
      </c>
      <c r="AA363" s="48">
        <v>791666.66666666663</v>
      </c>
      <c r="AB363" s="48">
        <v>83333.333333333328</v>
      </c>
      <c r="AC363" s="54">
        <f t="shared" si="20"/>
        <v>5541666.666666666</v>
      </c>
      <c r="AD363" s="54">
        <f t="shared" si="20"/>
        <v>583333.33333333314</v>
      </c>
      <c r="AE363" s="2">
        <f t="shared" si="21"/>
        <v>416666.66666666663</v>
      </c>
    </row>
    <row r="364" spans="1:31" x14ac:dyDescent="0.2">
      <c r="A364" s="4">
        <v>34000527</v>
      </c>
      <c r="B364" s="5" t="s">
        <v>270</v>
      </c>
      <c r="C364" s="178">
        <v>10000000</v>
      </c>
      <c r="D364" s="178">
        <v>860000</v>
      </c>
      <c r="E364" s="48"/>
      <c r="F364" s="48"/>
      <c r="G364" s="48"/>
      <c r="H364" s="48"/>
      <c r="I364" s="136"/>
      <c r="J364" s="136"/>
      <c r="K364" s="48"/>
      <c r="L364" s="48"/>
      <c r="M364" s="48"/>
      <c r="N364" s="48"/>
      <c r="O364" s="48"/>
      <c r="P364" s="48"/>
      <c r="Q364" s="48"/>
      <c r="R364" s="48"/>
      <c r="S364" s="48">
        <v>833333.33333333337</v>
      </c>
      <c r="T364" s="48">
        <v>71666.666666666672</v>
      </c>
      <c r="U364" s="48">
        <v>833333.33333333337</v>
      </c>
      <c r="V364" s="48">
        <v>71666.666666666672</v>
      </c>
      <c r="W364" s="48">
        <v>833333.33333333337</v>
      </c>
      <c r="X364" s="48">
        <v>71666.666666666672</v>
      </c>
      <c r="Y364" s="48">
        <v>833333.33333333337</v>
      </c>
      <c r="Z364" s="48">
        <v>71666.666666666672</v>
      </c>
      <c r="AA364" s="48">
        <v>833333.33333333337</v>
      </c>
      <c r="AB364" s="48">
        <v>71666.666666666672</v>
      </c>
      <c r="AC364" s="54">
        <f t="shared" si="20"/>
        <v>5833333.333333334</v>
      </c>
      <c r="AD364" s="54">
        <f t="shared" si="20"/>
        <v>501666.6666666668</v>
      </c>
      <c r="AE364" s="2">
        <f t="shared" si="21"/>
        <v>358333.33333333337</v>
      </c>
    </row>
    <row r="365" spans="1:31" x14ac:dyDescent="0.2">
      <c r="A365" s="4">
        <v>34000265</v>
      </c>
      <c r="B365" s="5" t="s">
        <v>373</v>
      </c>
      <c r="C365" s="178">
        <v>2815000</v>
      </c>
      <c r="D365" s="178">
        <v>305000</v>
      </c>
      <c r="E365" s="48"/>
      <c r="F365" s="48"/>
      <c r="G365" s="48"/>
      <c r="H365" s="48"/>
      <c r="I365" s="136"/>
      <c r="J365" s="136"/>
      <c r="K365" s="48"/>
      <c r="L365" s="48"/>
      <c r="M365" s="48"/>
      <c r="N365" s="48"/>
      <c r="O365" s="48"/>
      <c r="P365" s="48"/>
      <c r="Q365" s="48"/>
      <c r="R365" s="48"/>
      <c r="S365" s="48">
        <v>234583.33333333334</v>
      </c>
      <c r="T365" s="48">
        <v>25416.666666666668</v>
      </c>
      <c r="U365" s="48">
        <v>234583.33333333334</v>
      </c>
      <c r="V365" s="48">
        <v>25416.666666666668</v>
      </c>
      <c r="W365" s="48">
        <v>234583.33333333334</v>
      </c>
      <c r="X365" s="48">
        <v>25416.666666666668</v>
      </c>
      <c r="Y365" s="48">
        <v>234583.33333333334</v>
      </c>
      <c r="Z365" s="48">
        <v>25416.666666666668</v>
      </c>
      <c r="AA365" s="48">
        <v>234583.33333333334</v>
      </c>
      <c r="AB365" s="48">
        <v>25416.666666666668</v>
      </c>
      <c r="AC365" s="54">
        <f t="shared" si="20"/>
        <v>1642083.333333333</v>
      </c>
      <c r="AD365" s="54">
        <f t="shared" si="20"/>
        <v>177916.66666666669</v>
      </c>
      <c r="AE365" s="2">
        <f t="shared" si="21"/>
        <v>127083.33333333334</v>
      </c>
    </row>
    <row r="366" spans="1:31" x14ac:dyDescent="0.2">
      <c r="A366" s="4">
        <v>34000424</v>
      </c>
      <c r="B366" s="5" t="s">
        <v>401</v>
      </c>
      <c r="C366" s="178">
        <v>4110000</v>
      </c>
      <c r="D366" s="178">
        <v>414000</v>
      </c>
      <c r="E366" s="48"/>
      <c r="F366" s="48"/>
      <c r="G366" s="48"/>
      <c r="H366" s="48"/>
      <c r="I366" s="136"/>
      <c r="J366" s="136"/>
      <c r="K366" s="48"/>
      <c r="L366" s="48"/>
      <c r="M366" s="48"/>
      <c r="N366" s="48"/>
      <c r="O366" s="48"/>
      <c r="P366" s="48"/>
      <c r="Q366" s="48"/>
      <c r="R366" s="48"/>
      <c r="S366" s="48">
        <v>342500</v>
      </c>
      <c r="T366" s="48">
        <v>34500</v>
      </c>
      <c r="U366" s="48">
        <v>342500</v>
      </c>
      <c r="V366" s="48">
        <v>34500</v>
      </c>
      <c r="W366" s="48">
        <v>342500</v>
      </c>
      <c r="X366" s="48">
        <v>34500</v>
      </c>
      <c r="Y366" s="48">
        <v>342500</v>
      </c>
      <c r="Z366" s="48">
        <v>34500</v>
      </c>
      <c r="AA366" s="48">
        <v>342500</v>
      </c>
      <c r="AB366" s="48">
        <v>34500</v>
      </c>
      <c r="AC366" s="54">
        <f t="shared" si="20"/>
        <v>2397500</v>
      </c>
      <c r="AD366" s="54">
        <f t="shared" si="20"/>
        <v>241500</v>
      </c>
      <c r="AE366" s="2">
        <f t="shared" si="21"/>
        <v>172500</v>
      </c>
    </row>
    <row r="367" spans="1:31" x14ac:dyDescent="0.2">
      <c r="A367" s="4">
        <v>34000850</v>
      </c>
      <c r="B367" s="5" t="s">
        <v>357</v>
      </c>
      <c r="C367" s="178">
        <v>6800000</v>
      </c>
      <c r="D367" s="178">
        <v>580000</v>
      </c>
      <c r="E367" s="48"/>
      <c r="F367" s="48"/>
      <c r="G367" s="48"/>
      <c r="H367" s="48"/>
      <c r="I367" s="136"/>
      <c r="J367" s="136"/>
      <c r="K367" s="48"/>
      <c r="L367" s="48"/>
      <c r="M367" s="48"/>
      <c r="N367" s="48"/>
      <c r="O367" s="48"/>
      <c r="P367" s="48"/>
      <c r="Q367" s="48"/>
      <c r="R367" s="48"/>
      <c r="S367" s="48">
        <v>566666.66666666663</v>
      </c>
      <c r="T367" s="48">
        <v>48333.333333333336</v>
      </c>
      <c r="U367" s="48">
        <v>566666.66666666663</v>
      </c>
      <c r="V367" s="48">
        <v>48333.333333333336</v>
      </c>
      <c r="W367" s="48">
        <v>566666.66666666663</v>
      </c>
      <c r="X367" s="48">
        <v>48333.333333333336</v>
      </c>
      <c r="Y367" s="48">
        <v>566666.66666666663</v>
      </c>
      <c r="Z367" s="48">
        <v>48333.333333333336</v>
      </c>
      <c r="AA367" s="48">
        <v>566666.66666666663</v>
      </c>
      <c r="AB367" s="48">
        <v>48333.333333333336</v>
      </c>
      <c r="AC367" s="54">
        <f t="shared" si="20"/>
        <v>3966666.6666666656</v>
      </c>
      <c r="AD367" s="54">
        <f t="shared" si="20"/>
        <v>338333.33333333337</v>
      </c>
      <c r="AE367" s="2">
        <f t="shared" si="21"/>
        <v>241666.66666666669</v>
      </c>
    </row>
    <row r="368" spans="1:31" x14ac:dyDescent="0.2">
      <c r="A368" s="4">
        <v>34000215</v>
      </c>
      <c r="B368" s="5" t="s">
        <v>137</v>
      </c>
      <c r="C368" s="178">
        <v>1500000</v>
      </c>
      <c r="D368" s="178">
        <v>100000</v>
      </c>
      <c r="E368" s="48"/>
      <c r="F368" s="48"/>
      <c r="G368" s="48"/>
      <c r="H368" s="48"/>
      <c r="I368" s="136"/>
      <c r="J368" s="136"/>
      <c r="K368" s="48"/>
      <c r="L368" s="48"/>
      <c r="M368" s="48"/>
      <c r="N368" s="48"/>
      <c r="O368" s="48"/>
      <c r="P368" s="48"/>
      <c r="Q368" s="48"/>
      <c r="R368" s="48"/>
      <c r="S368" s="48">
        <v>300000</v>
      </c>
      <c r="T368" s="48">
        <v>20000</v>
      </c>
      <c r="U368" s="48">
        <v>300000</v>
      </c>
      <c r="V368" s="48">
        <v>20000</v>
      </c>
      <c r="W368" s="48">
        <v>300000</v>
      </c>
      <c r="X368" s="48">
        <v>20000</v>
      </c>
      <c r="Y368" s="48">
        <v>300000</v>
      </c>
      <c r="Z368" s="48">
        <v>20000</v>
      </c>
      <c r="AA368" s="48">
        <v>300000</v>
      </c>
      <c r="AB368" s="48">
        <v>20000</v>
      </c>
      <c r="AC368" s="54">
        <f t="shared" si="20"/>
        <v>0</v>
      </c>
      <c r="AD368" s="54">
        <f t="shared" si="20"/>
        <v>0</v>
      </c>
      <c r="AE368" s="2">
        <f t="shared" si="21"/>
        <v>100000</v>
      </c>
    </row>
    <row r="369" spans="1:31" x14ac:dyDescent="0.2">
      <c r="A369" s="4">
        <v>34000118</v>
      </c>
      <c r="B369" s="5" t="s">
        <v>476</v>
      </c>
      <c r="C369" s="178">
        <v>3699000</v>
      </c>
      <c r="D369" s="178">
        <v>171000</v>
      </c>
      <c r="E369" s="48"/>
      <c r="F369" s="48"/>
      <c r="G369" s="48"/>
      <c r="H369" s="48"/>
      <c r="I369" s="136"/>
      <c r="J369" s="136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>
        <v>1233000</v>
      </c>
      <c r="V369" s="48">
        <v>57000</v>
      </c>
      <c r="W369" s="48">
        <v>1233000</v>
      </c>
      <c r="X369" s="48">
        <v>57000</v>
      </c>
      <c r="Y369" s="48">
        <v>1233000</v>
      </c>
      <c r="Z369" s="48">
        <v>57000</v>
      </c>
      <c r="AA369" s="48"/>
      <c r="AB369" s="48"/>
      <c r="AC369" s="54">
        <f t="shared" si="20"/>
        <v>0</v>
      </c>
      <c r="AD369" s="54">
        <f t="shared" si="20"/>
        <v>0</v>
      </c>
      <c r="AE369" s="2">
        <f t="shared" si="21"/>
        <v>171000</v>
      </c>
    </row>
    <row r="370" spans="1:31" x14ac:dyDescent="0.2">
      <c r="A370" s="4">
        <v>34000486</v>
      </c>
      <c r="B370" s="5" t="s">
        <v>222</v>
      </c>
      <c r="C370" s="178">
        <v>4906000</v>
      </c>
      <c r="D370" s="178">
        <v>494000</v>
      </c>
      <c r="E370" s="48"/>
      <c r="F370" s="48"/>
      <c r="G370" s="48"/>
      <c r="H370" s="48"/>
      <c r="I370" s="136"/>
      <c r="J370" s="136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>
        <v>408833.33333333331</v>
      </c>
      <c r="V370" s="48">
        <v>41166.666666666664</v>
      </c>
      <c r="W370" s="48">
        <v>408833.33333333331</v>
      </c>
      <c r="X370" s="48">
        <v>41166.666666666664</v>
      </c>
      <c r="Y370" s="48">
        <v>408833.33333333331</v>
      </c>
      <c r="Z370" s="48">
        <v>41166.666666666664</v>
      </c>
      <c r="AA370" s="48">
        <v>408833.33333333331</v>
      </c>
      <c r="AB370" s="48">
        <v>41166.666666666664</v>
      </c>
      <c r="AC370" s="54">
        <f t="shared" si="20"/>
        <v>3270666.6666666665</v>
      </c>
      <c r="AD370" s="54">
        <f t="shared" si="20"/>
        <v>329333.33333333326</v>
      </c>
      <c r="AE370" s="2">
        <f t="shared" si="21"/>
        <v>164666.66666666666</v>
      </c>
    </row>
    <row r="371" spans="1:31" x14ac:dyDescent="0.2">
      <c r="A371" s="4">
        <v>34000780</v>
      </c>
      <c r="B371" s="5" t="s">
        <v>320</v>
      </c>
      <c r="C371" s="178">
        <v>10000000</v>
      </c>
      <c r="D371" s="178">
        <v>1040000</v>
      </c>
      <c r="E371" s="48"/>
      <c r="F371" s="48"/>
      <c r="G371" s="48"/>
      <c r="H371" s="48"/>
      <c r="I371" s="136"/>
      <c r="J371" s="136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>
        <v>833333.33333333337</v>
      </c>
      <c r="V371" s="48">
        <v>86666.666666666672</v>
      </c>
      <c r="W371" s="48">
        <v>833333.33333333337</v>
      </c>
      <c r="X371" s="48">
        <v>86666.666666666672</v>
      </c>
      <c r="Y371" s="48">
        <v>833333.33333333337</v>
      </c>
      <c r="Z371" s="48">
        <v>86666.666666666672</v>
      </c>
      <c r="AA371" s="48">
        <v>833333.33333333337</v>
      </c>
      <c r="AB371" s="48">
        <v>86666.666666666672</v>
      </c>
      <c r="AC371" s="54">
        <f t="shared" si="20"/>
        <v>6666666.666666667</v>
      </c>
      <c r="AD371" s="54">
        <f t="shared" si="20"/>
        <v>693333.33333333349</v>
      </c>
      <c r="AE371" s="2">
        <f t="shared" si="21"/>
        <v>346666.66666666669</v>
      </c>
    </row>
    <row r="372" spans="1:31" x14ac:dyDescent="0.2">
      <c r="A372" s="4">
        <v>34000265</v>
      </c>
      <c r="B372" s="5" t="s">
        <v>373</v>
      </c>
      <c r="C372" s="178">
        <v>7708000</v>
      </c>
      <c r="D372" s="178">
        <v>800000</v>
      </c>
      <c r="E372" s="48"/>
      <c r="F372" s="48"/>
      <c r="G372" s="48"/>
      <c r="H372" s="48"/>
      <c r="I372" s="136"/>
      <c r="J372" s="136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>
        <v>642333.33333333337</v>
      </c>
      <c r="X372" s="48">
        <v>66666.666666666672</v>
      </c>
      <c r="Y372" s="48">
        <v>642333.33333333337</v>
      </c>
      <c r="Z372" s="48">
        <v>66666.666666666672</v>
      </c>
      <c r="AA372" s="48">
        <v>642333.33333333337</v>
      </c>
      <c r="AB372" s="48">
        <v>66666.666666666672</v>
      </c>
      <c r="AC372" s="54">
        <f t="shared" si="20"/>
        <v>5781000.0000000009</v>
      </c>
      <c r="AD372" s="54">
        <f t="shared" si="20"/>
        <v>600000.00000000012</v>
      </c>
      <c r="AE372" s="2">
        <f t="shared" si="21"/>
        <v>200000</v>
      </c>
    </row>
    <row r="373" spans="1:31" x14ac:dyDescent="0.2">
      <c r="A373" s="4">
        <v>34000106</v>
      </c>
      <c r="B373" s="5" t="s">
        <v>472</v>
      </c>
      <c r="C373" s="178">
        <v>10200000</v>
      </c>
      <c r="D373" s="178">
        <v>840000</v>
      </c>
      <c r="E373" s="48"/>
      <c r="F373" s="48"/>
      <c r="G373" s="48"/>
      <c r="H373" s="48"/>
      <c r="I373" s="136"/>
      <c r="J373" s="136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>
        <v>850000</v>
      </c>
      <c r="X373" s="48">
        <v>70000</v>
      </c>
      <c r="Y373" s="48">
        <v>850000</v>
      </c>
      <c r="Z373" s="48">
        <v>70000</v>
      </c>
      <c r="AA373" s="48">
        <v>850000</v>
      </c>
      <c r="AB373" s="48">
        <v>70000</v>
      </c>
      <c r="AC373" s="54">
        <f t="shared" si="20"/>
        <v>7650000</v>
      </c>
      <c r="AD373" s="54">
        <f t="shared" si="20"/>
        <v>630000</v>
      </c>
      <c r="AE373" s="2">
        <f t="shared" si="21"/>
        <v>210000</v>
      </c>
    </row>
    <row r="374" spans="1:31" ht="12.6" customHeight="1" x14ac:dyDescent="0.2">
      <c r="A374" s="4">
        <v>34000344</v>
      </c>
      <c r="B374" s="5" t="s">
        <v>399</v>
      </c>
      <c r="C374" s="178">
        <v>8241034</v>
      </c>
      <c r="D374" s="178">
        <v>878966</v>
      </c>
      <c r="E374" s="48"/>
      <c r="F374" s="48"/>
      <c r="G374" s="48"/>
      <c r="H374" s="48"/>
      <c r="I374" s="136"/>
      <c r="J374" s="136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>
        <v>686752.83333333337</v>
      </c>
      <c r="Z374" s="48">
        <v>73247.166666666672</v>
      </c>
      <c r="AA374" s="48">
        <v>686752.83333333337</v>
      </c>
      <c r="AB374" s="48">
        <v>73247.166666666672</v>
      </c>
      <c r="AC374" s="54">
        <f t="shared" si="20"/>
        <v>6867528.333333334</v>
      </c>
      <c r="AD374" s="54">
        <f t="shared" si="20"/>
        <v>732471.66666666674</v>
      </c>
      <c r="AE374" s="2">
        <f t="shared" si="21"/>
        <v>146494.33333333334</v>
      </c>
    </row>
    <row r="375" spans="1:31" x14ac:dyDescent="0.2">
      <c r="A375" s="4">
        <v>34000631</v>
      </c>
      <c r="B375" s="5" t="s">
        <v>247</v>
      </c>
      <c r="C375" s="178">
        <v>3300000</v>
      </c>
      <c r="D375" s="178">
        <v>480000</v>
      </c>
      <c r="E375" s="48"/>
      <c r="F375" s="48"/>
      <c r="G375" s="48"/>
      <c r="H375" s="48"/>
      <c r="I375" s="136"/>
      <c r="J375" s="136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>
        <v>275000</v>
      </c>
      <c r="Z375" s="48">
        <v>40000</v>
      </c>
      <c r="AA375" s="48">
        <v>275000</v>
      </c>
      <c r="AB375" s="48">
        <v>40000</v>
      </c>
      <c r="AC375" s="54">
        <f t="shared" si="20"/>
        <v>2750000</v>
      </c>
      <c r="AD375" s="54">
        <f t="shared" si="20"/>
        <v>400000</v>
      </c>
      <c r="AE375" s="2">
        <f t="shared" si="21"/>
        <v>80000</v>
      </c>
    </row>
    <row r="376" spans="1:31" x14ac:dyDescent="0.2">
      <c r="A376" s="4">
        <v>34000850</v>
      </c>
      <c r="B376" s="5" t="s">
        <v>357</v>
      </c>
      <c r="C376" s="178">
        <v>6100000</v>
      </c>
      <c r="D376" s="178">
        <v>500000</v>
      </c>
      <c r="E376" s="48"/>
      <c r="F376" s="48"/>
      <c r="G376" s="48"/>
      <c r="H376" s="48"/>
      <c r="I376" s="136"/>
      <c r="J376" s="136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>
        <v>508333.33333333331</v>
      </c>
      <c r="AB376" s="48">
        <v>41666.666666666664</v>
      </c>
      <c r="AC376" s="54">
        <f t="shared" si="20"/>
        <v>5591666.666666667</v>
      </c>
      <c r="AD376" s="54">
        <f t="shared" si="20"/>
        <v>458333.33333333331</v>
      </c>
      <c r="AE376" s="2">
        <f t="shared" si="21"/>
        <v>41666.666666666664</v>
      </c>
    </row>
    <row r="377" spans="1:31" x14ac:dyDescent="0.2">
      <c r="A377" s="4">
        <v>34000695</v>
      </c>
      <c r="B377" s="5" t="s">
        <v>260</v>
      </c>
      <c r="C377" s="178">
        <v>10000000</v>
      </c>
      <c r="D377" s="178">
        <v>1040000</v>
      </c>
      <c r="E377" s="48"/>
      <c r="F377" s="48"/>
      <c r="G377" s="48"/>
      <c r="H377" s="48"/>
      <c r="I377" s="136"/>
      <c r="J377" s="136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>
        <v>833333.33333333337</v>
      </c>
      <c r="AB377" s="48">
        <v>86666.666666666672</v>
      </c>
      <c r="AC377" s="54">
        <f t="shared" si="20"/>
        <v>9166666.666666666</v>
      </c>
      <c r="AD377" s="54">
        <f t="shared" si="20"/>
        <v>953333.33333333337</v>
      </c>
      <c r="AE377" s="2">
        <f t="shared" si="21"/>
        <v>86666.666666666672</v>
      </c>
    </row>
    <row r="378" spans="1:31" x14ac:dyDescent="0.2">
      <c r="A378" s="4">
        <v>34000761</v>
      </c>
      <c r="B378" s="5" t="s">
        <v>683</v>
      </c>
      <c r="C378" s="178">
        <v>10000000</v>
      </c>
      <c r="D378" s="178">
        <v>1040000</v>
      </c>
      <c r="E378" s="48"/>
      <c r="F378" s="48"/>
      <c r="G378" s="48"/>
      <c r="H378" s="48"/>
      <c r="I378" s="136"/>
      <c r="J378" s="136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>
        <v>833333.33333333337</v>
      </c>
      <c r="AB378" s="48">
        <v>86666.666666666672</v>
      </c>
      <c r="AC378" s="54">
        <f t="shared" si="20"/>
        <v>9166666.666666666</v>
      </c>
      <c r="AD378" s="54">
        <f t="shared" si="20"/>
        <v>953333.33333333337</v>
      </c>
      <c r="AE378" s="2">
        <f t="shared" si="21"/>
        <v>86666.666666666672</v>
      </c>
    </row>
    <row r="379" spans="1:31" x14ac:dyDescent="0.2">
      <c r="A379" s="4">
        <v>34000728</v>
      </c>
      <c r="B379" s="5" t="s">
        <v>616</v>
      </c>
      <c r="C379" s="178">
        <v>4195000</v>
      </c>
      <c r="D379" s="178">
        <v>425000</v>
      </c>
      <c r="E379" s="48"/>
      <c r="F379" s="48"/>
      <c r="G379" s="48"/>
      <c r="H379" s="48"/>
      <c r="I379" s="136"/>
      <c r="J379" s="136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>
        <v>699166.66666666663</v>
      </c>
      <c r="AB379" s="48">
        <v>70833.333333333328</v>
      </c>
      <c r="AC379" s="54">
        <f t="shared" ref="AC379:AD441" si="22">+C379-E379-G379-I379-K379-M379-O379-Q379-S379-U379-W379-Y379-AA379</f>
        <v>3495833.3333333335</v>
      </c>
      <c r="AD379" s="54">
        <f t="shared" si="22"/>
        <v>354166.66666666669</v>
      </c>
      <c r="AE379" s="2">
        <f t="shared" ref="AE379:AE442" si="23">F379+H379+J379+L379+N379+P379+R379+T379+V379+X379+Z379+AB379</f>
        <v>70833.333333333328</v>
      </c>
    </row>
    <row r="380" spans="1:31" x14ac:dyDescent="0.2">
      <c r="A380" s="4">
        <v>34000125</v>
      </c>
      <c r="B380" s="5" t="s">
        <v>603</v>
      </c>
      <c r="C380" s="178">
        <v>5598000</v>
      </c>
      <c r="D380" s="178">
        <v>642000</v>
      </c>
      <c r="E380" s="48"/>
      <c r="F380" s="48"/>
      <c r="G380" s="48"/>
      <c r="H380" s="48"/>
      <c r="I380" s="136"/>
      <c r="J380" s="136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54">
        <f t="shared" si="22"/>
        <v>5598000</v>
      </c>
      <c r="AD380" s="54">
        <f t="shared" si="22"/>
        <v>642000</v>
      </c>
      <c r="AE380" s="2">
        <f t="shared" si="23"/>
        <v>0</v>
      </c>
    </row>
    <row r="381" spans="1:31" x14ac:dyDescent="0.2">
      <c r="A381" s="4">
        <v>34000095</v>
      </c>
      <c r="B381" s="5" t="s">
        <v>127</v>
      </c>
      <c r="C381" s="178">
        <v>2397000</v>
      </c>
      <c r="D381" s="178">
        <v>243000</v>
      </c>
      <c r="E381" s="48"/>
      <c r="F381" s="48"/>
      <c r="G381" s="48"/>
      <c r="H381" s="48"/>
      <c r="I381" s="136"/>
      <c r="J381" s="136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54">
        <f t="shared" si="22"/>
        <v>2397000</v>
      </c>
      <c r="AD381" s="54">
        <f t="shared" si="22"/>
        <v>243000</v>
      </c>
      <c r="AE381" s="2">
        <f t="shared" si="23"/>
        <v>0</v>
      </c>
    </row>
    <row r="382" spans="1:31" x14ac:dyDescent="0.2">
      <c r="A382" s="4">
        <v>34000106</v>
      </c>
      <c r="B382" s="5" t="s">
        <v>472</v>
      </c>
      <c r="C382" s="178">
        <v>10000000</v>
      </c>
      <c r="D382" s="178">
        <v>980000</v>
      </c>
      <c r="E382" s="48"/>
      <c r="F382" s="48"/>
      <c r="G382" s="48"/>
      <c r="H382" s="48"/>
      <c r="I382" s="136"/>
      <c r="J382" s="136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54">
        <f>+C382-E382-G382-I382-K382-M382-O382-Q382-S382-U382-W382-Y382-AA382</f>
        <v>10000000</v>
      </c>
      <c r="AD382" s="54">
        <f>+D382-F382-H382-J382-L382-N382-P382-R382-T382-V382-X382-Z382-AB382</f>
        <v>980000</v>
      </c>
      <c r="AE382" s="2">
        <f t="shared" si="23"/>
        <v>0</v>
      </c>
    </row>
    <row r="383" spans="1:31" x14ac:dyDescent="0.2">
      <c r="A383" s="4">
        <v>34000265</v>
      </c>
      <c r="B383" s="5" t="s">
        <v>373</v>
      </c>
      <c r="C383" s="178">
        <v>19000000</v>
      </c>
      <c r="D383" s="178">
        <v>1866666.6666666663</v>
      </c>
      <c r="E383" s="48">
        <v>2375000</v>
      </c>
      <c r="F383" s="48">
        <v>233333.33333333334</v>
      </c>
      <c r="G383" s="48">
        <v>2375000</v>
      </c>
      <c r="H383" s="48">
        <v>233333.33333333334</v>
      </c>
      <c r="I383" s="48">
        <v>2375000</v>
      </c>
      <c r="J383" s="48">
        <v>233333.33333333334</v>
      </c>
      <c r="K383" s="48">
        <v>2375000</v>
      </c>
      <c r="L383" s="48">
        <v>233333.33333333334</v>
      </c>
      <c r="M383" s="48">
        <v>2375000</v>
      </c>
      <c r="N383" s="48">
        <v>233333.33333333334</v>
      </c>
      <c r="O383" s="48">
        <v>2375000</v>
      </c>
      <c r="P383" s="48">
        <v>233333.33333333334</v>
      </c>
      <c r="Q383" s="48">
        <v>2375000</v>
      </c>
      <c r="R383" s="48">
        <v>233333.33333333334</v>
      </c>
      <c r="S383" s="48">
        <v>2375000</v>
      </c>
      <c r="T383" s="48">
        <v>233333.33333333334</v>
      </c>
      <c r="U383" s="48"/>
      <c r="V383" s="48"/>
      <c r="W383" s="48"/>
      <c r="X383" s="48"/>
      <c r="Y383" s="48"/>
      <c r="Z383" s="48"/>
      <c r="AA383" s="48"/>
      <c r="AB383" s="48"/>
      <c r="AC383" s="54">
        <f>+C383-E383-G383-I383-K383-M383-O383-Q383-S383-U383-W383-Y383-AA383</f>
        <v>0</v>
      </c>
      <c r="AD383" s="54">
        <f>+D383-F383-H383-J383-L383-N383-P383-R383-T383-V383-X383-Z383-AB383</f>
        <v>-2.9103830456733704E-10</v>
      </c>
      <c r="AE383" s="2">
        <f t="shared" si="23"/>
        <v>1866666.6666666665</v>
      </c>
    </row>
    <row r="384" spans="1:31" x14ac:dyDescent="0.2">
      <c r="A384" s="4">
        <v>34000009</v>
      </c>
      <c r="B384" s="5" t="s">
        <v>395</v>
      </c>
      <c r="C384" s="178">
        <v>19555555.555555552</v>
      </c>
      <c r="D384" s="178">
        <v>4888888.8888888881</v>
      </c>
      <c r="E384" s="48">
        <v>611111.11111111112</v>
      </c>
      <c r="F384" s="48">
        <v>152777.77777777778</v>
      </c>
      <c r="G384" s="48">
        <v>611111.11111111112</v>
      </c>
      <c r="H384" s="48">
        <v>152777.77777777778</v>
      </c>
      <c r="I384" s="48">
        <v>611111.11111111112</v>
      </c>
      <c r="J384" s="48">
        <v>152777.77777777778</v>
      </c>
      <c r="K384" s="48">
        <v>611111.11111111112</v>
      </c>
      <c r="L384" s="48">
        <v>152777.77777777778</v>
      </c>
      <c r="M384" s="48">
        <v>611111.11111111112</v>
      </c>
      <c r="N384" s="48">
        <v>152777.77777777778</v>
      </c>
      <c r="O384" s="48">
        <v>611111.11111111112</v>
      </c>
      <c r="P384" s="48">
        <v>152777.77777777778</v>
      </c>
      <c r="Q384" s="48">
        <v>611111.11111111112</v>
      </c>
      <c r="R384" s="48">
        <v>152777.77777777778</v>
      </c>
      <c r="S384" s="48">
        <v>611111.11111111112</v>
      </c>
      <c r="T384" s="48">
        <v>152777.77777777778</v>
      </c>
      <c r="U384" s="48">
        <v>611111.11111111112</v>
      </c>
      <c r="V384" s="48">
        <v>152777.77777777778</v>
      </c>
      <c r="W384" s="48">
        <v>611111.11111111112</v>
      </c>
      <c r="X384" s="48">
        <v>152777.77777777778</v>
      </c>
      <c r="Y384" s="48">
        <v>611111.11111111112</v>
      </c>
      <c r="Z384" s="48">
        <v>152777.77777777778</v>
      </c>
      <c r="AA384" s="48">
        <v>611111.11111111112</v>
      </c>
      <c r="AB384" s="48">
        <v>152777.77777777778</v>
      </c>
      <c r="AC384" s="54">
        <f t="shared" si="22"/>
        <v>12222222.222222209</v>
      </c>
      <c r="AD384" s="54">
        <f t="shared" si="22"/>
        <v>3055555.5555555522</v>
      </c>
      <c r="AE384" s="2">
        <f t="shared" si="23"/>
        <v>1833333.3333333333</v>
      </c>
    </row>
    <row r="385" spans="1:31" x14ac:dyDescent="0.2">
      <c r="A385" s="4">
        <v>34000653</v>
      </c>
      <c r="B385" s="5" t="s">
        <v>131</v>
      </c>
      <c r="C385" s="178">
        <v>21312500</v>
      </c>
      <c r="D385" s="178">
        <v>3723750</v>
      </c>
      <c r="E385" s="48">
        <v>1065625</v>
      </c>
      <c r="F385" s="48">
        <v>186187.5</v>
      </c>
      <c r="G385" s="48">
        <v>1065625</v>
      </c>
      <c r="H385" s="48">
        <v>186187.5</v>
      </c>
      <c r="I385" s="48">
        <v>1065625</v>
      </c>
      <c r="J385" s="48">
        <v>186187.5</v>
      </c>
      <c r="K385" s="48">
        <v>1065625</v>
      </c>
      <c r="L385" s="48">
        <v>186187.5</v>
      </c>
      <c r="M385" s="48">
        <v>1065625</v>
      </c>
      <c r="N385" s="48">
        <v>186187.5</v>
      </c>
      <c r="O385" s="48">
        <v>1065625</v>
      </c>
      <c r="P385" s="48">
        <v>186187.5</v>
      </c>
      <c r="Q385" s="48">
        <v>1065625</v>
      </c>
      <c r="R385" s="48">
        <v>186187.5</v>
      </c>
      <c r="S385" s="48">
        <v>1065625</v>
      </c>
      <c r="T385" s="48">
        <v>186187.5</v>
      </c>
      <c r="U385" s="48">
        <v>1065625</v>
      </c>
      <c r="V385" s="48">
        <v>186187.5</v>
      </c>
      <c r="W385" s="48">
        <v>1065625</v>
      </c>
      <c r="X385" s="48">
        <v>186187.5</v>
      </c>
      <c r="Y385" s="48">
        <v>1065625</v>
      </c>
      <c r="Z385" s="48">
        <v>186187.5</v>
      </c>
      <c r="AA385" s="48">
        <v>1065625</v>
      </c>
      <c r="AB385" s="48">
        <v>186187.5</v>
      </c>
      <c r="AC385" s="54">
        <f t="shared" si="22"/>
        <v>8525000</v>
      </c>
      <c r="AD385" s="54">
        <f t="shared" si="22"/>
        <v>1489500</v>
      </c>
      <c r="AE385" s="2">
        <f t="shared" si="23"/>
        <v>2234250</v>
      </c>
    </row>
    <row r="386" spans="1:31" x14ac:dyDescent="0.2">
      <c r="A386" s="4">
        <v>34000753</v>
      </c>
      <c r="B386" s="5" t="s">
        <v>431</v>
      </c>
      <c r="C386" s="178">
        <v>33916666.666666672</v>
      </c>
      <c r="D386" s="178">
        <v>8307291.6666666651</v>
      </c>
      <c r="E386" s="48">
        <v>1027777.7777777778</v>
      </c>
      <c r="F386" s="48">
        <v>251736.11111111112</v>
      </c>
      <c r="G386" s="48">
        <v>1027777.7777777778</v>
      </c>
      <c r="H386" s="48">
        <v>251736.11111111112</v>
      </c>
      <c r="I386" s="48">
        <v>1027777.7777777778</v>
      </c>
      <c r="J386" s="48">
        <v>251736.11111111112</v>
      </c>
      <c r="K386" s="48">
        <v>1027777.7777777778</v>
      </c>
      <c r="L386" s="48">
        <v>251736.11111111112</v>
      </c>
      <c r="M386" s="48">
        <v>1027777.7777777778</v>
      </c>
      <c r="N386" s="48">
        <v>251736.11111111112</v>
      </c>
      <c r="O386" s="48">
        <v>1027777.7777777778</v>
      </c>
      <c r="P386" s="48">
        <v>251736.11111111112</v>
      </c>
      <c r="Q386" s="48">
        <v>1027777.7777777778</v>
      </c>
      <c r="R386" s="48">
        <v>251736.11111111112</v>
      </c>
      <c r="S386" s="48">
        <v>1027777.7777777778</v>
      </c>
      <c r="T386" s="48">
        <v>251736.11111111112</v>
      </c>
      <c r="U386" s="48">
        <v>1027777.7777777778</v>
      </c>
      <c r="V386" s="48">
        <v>251736.11111111112</v>
      </c>
      <c r="W386" s="48">
        <v>1027777.7777777778</v>
      </c>
      <c r="X386" s="48">
        <v>251736.11111111112</v>
      </c>
      <c r="Y386" s="48">
        <v>1027777.7777777778</v>
      </c>
      <c r="Z386" s="48">
        <v>251736.11111111112</v>
      </c>
      <c r="AA386" s="48">
        <v>1027777.7777777778</v>
      </c>
      <c r="AB386" s="48">
        <v>251736.11111111112</v>
      </c>
      <c r="AC386" s="54">
        <f t="shared" si="22"/>
        <v>21583333.333333358</v>
      </c>
      <c r="AD386" s="54">
        <f t="shared" si="22"/>
        <v>5286458.333333333</v>
      </c>
      <c r="AE386" s="2">
        <f t="shared" si="23"/>
        <v>3020833.3333333326</v>
      </c>
    </row>
    <row r="387" spans="1:31" x14ac:dyDescent="0.2">
      <c r="A387" s="4">
        <v>34000023</v>
      </c>
      <c r="B387" s="5" t="s">
        <v>697</v>
      </c>
      <c r="C387" s="178">
        <v>18379166.666666668</v>
      </c>
      <c r="D387" s="178">
        <v>4422916.666666666</v>
      </c>
      <c r="E387" s="48">
        <v>556944.4444444445</v>
      </c>
      <c r="F387" s="48">
        <v>134027.77777777778</v>
      </c>
      <c r="G387" s="48">
        <v>556944.4444444445</v>
      </c>
      <c r="H387" s="48">
        <v>134027.77777777778</v>
      </c>
      <c r="I387" s="48">
        <v>556944.4444444445</v>
      </c>
      <c r="J387" s="48">
        <v>134027.77777777778</v>
      </c>
      <c r="K387" s="48">
        <v>556944.4444444445</v>
      </c>
      <c r="L387" s="48">
        <v>134027.77777777778</v>
      </c>
      <c r="M387" s="48">
        <v>556944.4444444445</v>
      </c>
      <c r="N387" s="48">
        <v>134027.77777777778</v>
      </c>
      <c r="O387" s="48">
        <v>556944.4444444445</v>
      </c>
      <c r="P387" s="48">
        <v>134027.77777777778</v>
      </c>
      <c r="Q387" s="48">
        <v>556944.4444444445</v>
      </c>
      <c r="R387" s="48">
        <v>134027.77777777778</v>
      </c>
      <c r="S387" s="48">
        <v>556944.4444444445</v>
      </c>
      <c r="T387" s="48">
        <v>134027.77777777778</v>
      </c>
      <c r="U387" s="48">
        <v>556944.4444444445</v>
      </c>
      <c r="V387" s="48">
        <v>134027.77777777778</v>
      </c>
      <c r="W387" s="48">
        <v>556944.4444444445</v>
      </c>
      <c r="X387" s="48">
        <v>134027.77777777778</v>
      </c>
      <c r="Y387" s="48">
        <v>556944.4444444445</v>
      </c>
      <c r="Z387" s="48">
        <v>134027.77777777778</v>
      </c>
      <c r="AA387" s="48">
        <v>556944.4444444445</v>
      </c>
      <c r="AB387" s="48">
        <v>134027.77777777778</v>
      </c>
      <c r="AC387" s="54">
        <f t="shared" si="22"/>
        <v>11695833.33333334</v>
      </c>
      <c r="AD387" s="54">
        <f t="shared" si="22"/>
        <v>2814583.3333333302</v>
      </c>
      <c r="AE387" s="2">
        <f t="shared" si="23"/>
        <v>1608333.3333333333</v>
      </c>
    </row>
    <row r="388" spans="1:31" x14ac:dyDescent="0.2">
      <c r="A388" s="4">
        <v>34000405</v>
      </c>
      <c r="B388" s="5" t="s">
        <v>178</v>
      </c>
      <c r="C388" s="178">
        <v>18906249.999999996</v>
      </c>
      <c r="D388" s="178">
        <v>4611979.1666666679</v>
      </c>
      <c r="E388" s="48">
        <v>572916.66666666663</v>
      </c>
      <c r="F388" s="48">
        <v>139756.94444444444</v>
      </c>
      <c r="G388" s="48">
        <v>572916.66666666663</v>
      </c>
      <c r="H388" s="48">
        <v>139756.94444444444</v>
      </c>
      <c r="I388" s="48">
        <v>572916.66666666663</v>
      </c>
      <c r="J388" s="48">
        <v>139756.94444444444</v>
      </c>
      <c r="K388" s="48">
        <v>572916.66666666663</v>
      </c>
      <c r="L388" s="48">
        <v>139756.94444444444</v>
      </c>
      <c r="M388" s="48">
        <v>572916.66666666663</v>
      </c>
      <c r="N388" s="48">
        <v>139756.94444444444</v>
      </c>
      <c r="O388" s="48">
        <v>572916.66666666663</v>
      </c>
      <c r="P388" s="48">
        <v>139756.94444444444</v>
      </c>
      <c r="Q388" s="48">
        <v>572916.66666666663</v>
      </c>
      <c r="R388" s="48">
        <v>139756.94444444444</v>
      </c>
      <c r="S388" s="48">
        <v>572916.66666666663</v>
      </c>
      <c r="T388" s="48">
        <v>139756.94444444444</v>
      </c>
      <c r="U388" s="48">
        <v>572916.66666666663</v>
      </c>
      <c r="V388" s="48">
        <v>139756.94444444444</v>
      </c>
      <c r="W388" s="48">
        <v>572916.66666666663</v>
      </c>
      <c r="X388" s="48">
        <v>139756.94444444444</v>
      </c>
      <c r="Y388" s="48">
        <v>572916.66666666663</v>
      </c>
      <c r="Z388" s="48">
        <v>139756.94444444444</v>
      </c>
      <c r="AA388" s="48">
        <v>572916.66666666663</v>
      </c>
      <c r="AB388" s="48">
        <v>139756.94444444444</v>
      </c>
      <c r="AC388" s="54">
        <f t="shared" si="22"/>
        <v>12031249.999999998</v>
      </c>
      <c r="AD388" s="54">
        <f t="shared" si="22"/>
        <v>2934895.8333333349</v>
      </c>
      <c r="AE388" s="2">
        <f t="shared" si="23"/>
        <v>1677083.3333333337</v>
      </c>
    </row>
    <row r="389" spans="1:31" x14ac:dyDescent="0.2">
      <c r="A389" s="4">
        <v>34000571</v>
      </c>
      <c r="B389" s="5" t="s">
        <v>216</v>
      </c>
      <c r="C389" s="178">
        <v>27496608.333333336</v>
      </c>
      <c r="D389" s="178">
        <v>4743139.5</v>
      </c>
      <c r="E389" s="48">
        <v>1249845.8333333333</v>
      </c>
      <c r="F389" s="48">
        <v>215597.25</v>
      </c>
      <c r="G389" s="48">
        <v>1249845.8333333333</v>
      </c>
      <c r="H389" s="48">
        <v>215597.25</v>
      </c>
      <c r="I389" s="48">
        <v>1249845.8333333333</v>
      </c>
      <c r="J389" s="48">
        <v>215597.25</v>
      </c>
      <c r="K389" s="48">
        <v>1249845.8333333333</v>
      </c>
      <c r="L389" s="48">
        <v>215597.25</v>
      </c>
      <c r="M389" s="48">
        <v>1249845.8333333333</v>
      </c>
      <c r="N389" s="48">
        <v>215597.25</v>
      </c>
      <c r="O389" s="48">
        <v>1249845.8333333333</v>
      </c>
      <c r="P389" s="48">
        <v>215597.25</v>
      </c>
      <c r="Q389" s="48">
        <v>1249845.8333333333</v>
      </c>
      <c r="R389" s="48">
        <v>215597.25</v>
      </c>
      <c r="S389" s="48">
        <v>1249845.8333333333</v>
      </c>
      <c r="T389" s="48">
        <v>215597.25</v>
      </c>
      <c r="U389" s="48">
        <v>1249845.8333333333</v>
      </c>
      <c r="V389" s="48">
        <v>215597.25</v>
      </c>
      <c r="W389" s="48">
        <v>1249845.8333333333</v>
      </c>
      <c r="X389" s="48">
        <v>215597.25</v>
      </c>
      <c r="Y389" s="48">
        <v>1249845.8333333333</v>
      </c>
      <c r="Z389" s="48">
        <v>215597.25</v>
      </c>
      <c r="AA389" s="48">
        <v>1249845.8333333333</v>
      </c>
      <c r="AB389" s="48">
        <v>215597.25</v>
      </c>
      <c r="AC389" s="54">
        <f t="shared" si="22"/>
        <v>12498458.333333343</v>
      </c>
      <c r="AD389" s="54">
        <f t="shared" si="22"/>
        <v>2155972.5</v>
      </c>
      <c r="AE389" s="2">
        <f t="shared" si="23"/>
        <v>2587167</v>
      </c>
    </row>
    <row r="390" spans="1:31" x14ac:dyDescent="0.2">
      <c r="A390" s="4">
        <v>34000014</v>
      </c>
      <c r="B390" s="5" t="s">
        <v>698</v>
      </c>
      <c r="C390" s="178">
        <v>30937500</v>
      </c>
      <c r="D390" s="178">
        <v>5445000</v>
      </c>
      <c r="E390" s="48">
        <v>1406250</v>
      </c>
      <c r="F390" s="48">
        <v>247500</v>
      </c>
      <c r="G390" s="48">
        <v>1406250</v>
      </c>
      <c r="H390" s="48">
        <v>247500</v>
      </c>
      <c r="I390" s="48">
        <v>1406250</v>
      </c>
      <c r="J390" s="48">
        <v>247500</v>
      </c>
      <c r="K390" s="48">
        <v>1406250</v>
      </c>
      <c r="L390" s="48">
        <v>247500</v>
      </c>
      <c r="M390" s="48">
        <v>1406250</v>
      </c>
      <c r="N390" s="48">
        <v>247500</v>
      </c>
      <c r="O390" s="48">
        <v>1406250</v>
      </c>
      <c r="P390" s="48">
        <v>247500</v>
      </c>
      <c r="Q390" s="48">
        <v>1406250</v>
      </c>
      <c r="R390" s="48">
        <v>247500</v>
      </c>
      <c r="S390" s="48">
        <v>1406250</v>
      </c>
      <c r="T390" s="48">
        <v>247500</v>
      </c>
      <c r="U390" s="48">
        <v>1406250</v>
      </c>
      <c r="V390" s="48">
        <v>247500</v>
      </c>
      <c r="W390" s="48">
        <v>1406250</v>
      </c>
      <c r="X390" s="48">
        <v>247500</v>
      </c>
      <c r="Y390" s="48">
        <v>1406250</v>
      </c>
      <c r="Z390" s="48">
        <v>247500</v>
      </c>
      <c r="AA390" s="48">
        <v>1406250</v>
      </c>
      <c r="AB390" s="48">
        <v>247500</v>
      </c>
      <c r="AC390" s="54">
        <f t="shared" si="22"/>
        <v>14062500</v>
      </c>
      <c r="AD390" s="54">
        <f t="shared" si="22"/>
        <v>2475000</v>
      </c>
      <c r="AE390" s="2">
        <f t="shared" si="23"/>
        <v>2970000</v>
      </c>
    </row>
    <row r="391" spans="1:31" x14ac:dyDescent="0.2">
      <c r="A391" s="4">
        <v>34000298</v>
      </c>
      <c r="B391" s="5" t="s">
        <v>389</v>
      </c>
      <c r="C391" s="178">
        <v>34472222.222222224</v>
      </c>
      <c r="D391" s="178">
        <v>8440972.2222222239</v>
      </c>
      <c r="E391" s="48">
        <v>1013888.8888888889</v>
      </c>
      <c r="F391" s="48">
        <v>248263.88888888888</v>
      </c>
      <c r="G391" s="48">
        <v>1013888.8888888889</v>
      </c>
      <c r="H391" s="48">
        <v>248263.88888888888</v>
      </c>
      <c r="I391" s="48">
        <v>1013888.8888888889</v>
      </c>
      <c r="J391" s="48">
        <v>248263.88888888888</v>
      </c>
      <c r="K391" s="48">
        <v>1013888.8888888889</v>
      </c>
      <c r="L391" s="48">
        <v>248263.88888888888</v>
      </c>
      <c r="M391" s="48">
        <v>1013888.8888888889</v>
      </c>
      <c r="N391" s="48">
        <v>248263.88888888888</v>
      </c>
      <c r="O391" s="48">
        <v>1013888.8888888889</v>
      </c>
      <c r="P391" s="48">
        <v>248263.88888888888</v>
      </c>
      <c r="Q391" s="48">
        <v>1013888.8888888889</v>
      </c>
      <c r="R391" s="48">
        <v>248263.88888888888</v>
      </c>
      <c r="S391" s="48">
        <v>1013888.8888888889</v>
      </c>
      <c r="T391" s="48">
        <v>248263.88888888888</v>
      </c>
      <c r="U391" s="48">
        <v>1013888.8888888889</v>
      </c>
      <c r="V391" s="48">
        <v>248263.88888888888</v>
      </c>
      <c r="W391" s="48">
        <v>1013888.8888888889</v>
      </c>
      <c r="X391" s="48">
        <v>248263.88888888888</v>
      </c>
      <c r="Y391" s="48">
        <v>1013888.8888888889</v>
      </c>
      <c r="Z391" s="48">
        <v>248263.88888888888</v>
      </c>
      <c r="AA391" s="48">
        <v>1013888.8888888889</v>
      </c>
      <c r="AB391" s="48">
        <v>248263.88888888888</v>
      </c>
      <c r="AC391" s="54">
        <f t="shared" si="22"/>
        <v>22305555.555555567</v>
      </c>
      <c r="AD391" s="54">
        <f t="shared" si="22"/>
        <v>5461805.555555556</v>
      </c>
      <c r="AE391" s="2">
        <f t="shared" si="23"/>
        <v>2979166.6666666674</v>
      </c>
    </row>
    <row r="392" spans="1:31" x14ac:dyDescent="0.2">
      <c r="A392" s="4" t="s">
        <v>144</v>
      </c>
      <c r="B392" s="5" t="s">
        <v>145</v>
      </c>
      <c r="C392" s="178">
        <v>27000000</v>
      </c>
      <c r="D392" s="178">
        <v>2625000</v>
      </c>
      <c r="E392" s="48">
        <v>2250000</v>
      </c>
      <c r="F392" s="48">
        <v>218750</v>
      </c>
      <c r="G392" s="48">
        <v>2250000</v>
      </c>
      <c r="H392" s="48">
        <v>218750</v>
      </c>
      <c r="I392" s="48">
        <v>2250000</v>
      </c>
      <c r="J392" s="48">
        <v>218750</v>
      </c>
      <c r="K392" s="48">
        <v>2250000</v>
      </c>
      <c r="L392" s="48">
        <v>218750</v>
      </c>
      <c r="M392" s="48">
        <v>2250000</v>
      </c>
      <c r="N392" s="48">
        <v>218750</v>
      </c>
      <c r="O392" s="48">
        <v>2250000</v>
      </c>
      <c r="P392" s="48">
        <v>218750</v>
      </c>
      <c r="Q392" s="48">
        <v>2250000</v>
      </c>
      <c r="R392" s="48">
        <v>218750</v>
      </c>
      <c r="S392" s="48">
        <v>2250000</v>
      </c>
      <c r="T392" s="48">
        <v>218750</v>
      </c>
      <c r="U392" s="48">
        <v>2250000</v>
      </c>
      <c r="V392" s="48">
        <v>218750</v>
      </c>
      <c r="W392" s="48">
        <v>2250000</v>
      </c>
      <c r="X392" s="48">
        <v>218750</v>
      </c>
      <c r="Y392" s="48">
        <v>2250000</v>
      </c>
      <c r="Z392" s="48">
        <v>218750</v>
      </c>
      <c r="AA392" s="48">
        <v>2250000</v>
      </c>
      <c r="AB392" s="48">
        <v>218750</v>
      </c>
      <c r="AC392" s="54">
        <f t="shared" si="22"/>
        <v>0</v>
      </c>
      <c r="AD392" s="54">
        <f t="shared" si="22"/>
        <v>0</v>
      </c>
      <c r="AE392" s="2">
        <f t="shared" si="23"/>
        <v>2625000</v>
      </c>
    </row>
    <row r="393" spans="1:31" x14ac:dyDescent="0.2">
      <c r="A393" s="4">
        <v>34000379</v>
      </c>
      <c r="B393" s="5" t="s">
        <v>484</v>
      </c>
      <c r="C393" s="178">
        <v>37100000</v>
      </c>
      <c r="D393" s="178">
        <v>9087500</v>
      </c>
      <c r="E393" s="48"/>
      <c r="F393" s="48"/>
      <c r="G393" s="48">
        <v>1030555.5555555555</v>
      </c>
      <c r="H393" s="48">
        <v>252430.55555555556</v>
      </c>
      <c r="I393" s="48">
        <v>1030555.5555555555</v>
      </c>
      <c r="J393" s="48">
        <v>252430.55555555556</v>
      </c>
      <c r="K393" s="48">
        <v>1030555.5555555555</v>
      </c>
      <c r="L393" s="48">
        <v>252430.55555555556</v>
      </c>
      <c r="M393" s="48">
        <v>1030555.5555555555</v>
      </c>
      <c r="N393" s="48">
        <v>252430.55555555556</v>
      </c>
      <c r="O393" s="48">
        <v>1030555.5555555555</v>
      </c>
      <c r="P393" s="48">
        <v>252430.55555555556</v>
      </c>
      <c r="Q393" s="48">
        <v>1030555.5555555555</v>
      </c>
      <c r="R393" s="48">
        <v>252430.55555555556</v>
      </c>
      <c r="S393" s="48">
        <v>1030555.5555555555</v>
      </c>
      <c r="T393" s="48">
        <v>252430.55555555556</v>
      </c>
      <c r="U393" s="48">
        <v>1030555.5555555555</v>
      </c>
      <c r="V393" s="48">
        <v>252430.55555555556</v>
      </c>
      <c r="W393" s="48">
        <v>1030555.5555555555</v>
      </c>
      <c r="X393" s="48">
        <v>252430.55555555556</v>
      </c>
      <c r="Y393" s="48">
        <v>1030555.5555555555</v>
      </c>
      <c r="Z393" s="48">
        <v>252430.55555555556</v>
      </c>
      <c r="AA393" s="48">
        <v>1030555.5555555555</v>
      </c>
      <c r="AB393" s="48">
        <v>252430.55555555556</v>
      </c>
      <c r="AC393" s="54">
        <f t="shared" si="22"/>
        <v>25763888.888888896</v>
      </c>
      <c r="AD393" s="54">
        <f t="shared" si="22"/>
        <v>6310763.8888888843</v>
      </c>
      <c r="AE393" s="2">
        <f t="shared" si="23"/>
        <v>2776736.111111111</v>
      </c>
    </row>
    <row r="394" spans="1:31" x14ac:dyDescent="0.2">
      <c r="A394" s="4">
        <v>34000095</v>
      </c>
      <c r="B394" s="5" t="s">
        <v>127</v>
      </c>
      <c r="C394" s="178">
        <v>22600000</v>
      </c>
      <c r="D394" s="178">
        <v>5525000</v>
      </c>
      <c r="E394" s="48"/>
      <c r="F394" s="48"/>
      <c r="G394" s="48">
        <v>627777.77777777775</v>
      </c>
      <c r="H394" s="48">
        <v>153472.22222222222</v>
      </c>
      <c r="I394" s="48">
        <v>627777.77777777775</v>
      </c>
      <c r="J394" s="48">
        <v>153472.22222222222</v>
      </c>
      <c r="K394" s="48">
        <v>627777.77777777775</v>
      </c>
      <c r="L394" s="48">
        <v>153472.22222222222</v>
      </c>
      <c r="M394" s="48">
        <v>627777.77777777775</v>
      </c>
      <c r="N394" s="48">
        <v>153472.22222222222</v>
      </c>
      <c r="O394" s="48">
        <v>627777.77777777775</v>
      </c>
      <c r="P394" s="48">
        <v>153472.22222222222</v>
      </c>
      <c r="Q394" s="48">
        <v>627777.77777777775</v>
      </c>
      <c r="R394" s="48">
        <v>153472.22222222222</v>
      </c>
      <c r="S394" s="48">
        <v>627777.77777777775</v>
      </c>
      <c r="T394" s="48">
        <v>153472.22222222222</v>
      </c>
      <c r="U394" s="48">
        <v>627777.77777777775</v>
      </c>
      <c r="V394" s="48">
        <v>153472.22222222222</v>
      </c>
      <c r="W394" s="48">
        <v>627777.77777777775</v>
      </c>
      <c r="X394" s="48">
        <v>153472.22222222222</v>
      </c>
      <c r="Y394" s="48">
        <v>627777.77777777775</v>
      </c>
      <c r="Z394" s="48">
        <v>153472.22222222222</v>
      </c>
      <c r="AA394" s="48">
        <v>627777.77777777775</v>
      </c>
      <c r="AB394" s="48">
        <v>153472.22222222222</v>
      </c>
      <c r="AC394" s="54">
        <f t="shared" si="22"/>
        <v>15694444.444444459</v>
      </c>
      <c r="AD394" s="54">
        <f t="shared" si="22"/>
        <v>3836805.5555555578</v>
      </c>
      <c r="AE394" s="2">
        <f t="shared" si="23"/>
        <v>1688194.4444444445</v>
      </c>
    </row>
    <row r="395" spans="1:31" x14ac:dyDescent="0.2">
      <c r="A395" s="4">
        <v>34000628</v>
      </c>
      <c r="B395" s="5" t="s">
        <v>580</v>
      </c>
      <c r="C395" s="178">
        <v>32450000</v>
      </c>
      <c r="D395" s="178">
        <v>7925000</v>
      </c>
      <c r="E395" s="48"/>
      <c r="F395" s="48"/>
      <c r="G395" s="48"/>
      <c r="H395" s="48"/>
      <c r="I395" s="136">
        <v>901388.88888888888</v>
      </c>
      <c r="J395" s="136">
        <v>220138.88888888888</v>
      </c>
      <c r="K395" s="136">
        <v>901388.88888888888</v>
      </c>
      <c r="L395" s="136">
        <v>220138.88888888888</v>
      </c>
      <c r="M395" s="136">
        <v>901388.88888888888</v>
      </c>
      <c r="N395" s="136">
        <v>220138.88888888888</v>
      </c>
      <c r="O395" s="136">
        <v>901388.88888888888</v>
      </c>
      <c r="P395" s="136">
        <v>220138.88888888888</v>
      </c>
      <c r="Q395" s="136">
        <v>901388.88888888888</v>
      </c>
      <c r="R395" s="136">
        <v>220138.88888888888</v>
      </c>
      <c r="S395" s="136">
        <v>901388.88888888888</v>
      </c>
      <c r="T395" s="136">
        <v>220138.88888888888</v>
      </c>
      <c r="U395" s="136">
        <v>901388.88888888888</v>
      </c>
      <c r="V395" s="136">
        <v>220138.88888888888</v>
      </c>
      <c r="W395" s="136">
        <v>901388.88888888888</v>
      </c>
      <c r="X395" s="136">
        <v>220138.88888888888</v>
      </c>
      <c r="Y395" s="136">
        <v>901388.88888888888</v>
      </c>
      <c r="Z395" s="136">
        <v>220138.88888888888</v>
      </c>
      <c r="AA395" s="136">
        <v>901388.88888888888</v>
      </c>
      <c r="AB395" s="136">
        <v>220138.88888888888</v>
      </c>
      <c r="AC395" s="54">
        <f t="shared" si="22"/>
        <v>23436111.111111119</v>
      </c>
      <c r="AD395" s="54">
        <f t="shared" si="22"/>
        <v>5723611.1111111101</v>
      </c>
      <c r="AE395" s="2">
        <f t="shared" si="23"/>
        <v>2201388.8888888895</v>
      </c>
    </row>
    <row r="396" spans="1:31" x14ac:dyDescent="0.2">
      <c r="A396" s="4">
        <v>34000320</v>
      </c>
      <c r="B396" s="5" t="s">
        <v>168</v>
      </c>
      <c r="C396" s="178">
        <v>29500000</v>
      </c>
      <c r="D396" s="178">
        <v>7250000</v>
      </c>
      <c r="E396" s="48"/>
      <c r="F396" s="48"/>
      <c r="G396" s="48"/>
      <c r="H396" s="48"/>
      <c r="I396" s="136">
        <v>819444.4444444445</v>
      </c>
      <c r="J396" s="136">
        <v>201388.88888888888</v>
      </c>
      <c r="K396" s="136">
        <v>819444.4444444445</v>
      </c>
      <c r="L396" s="136">
        <v>201388.88888888888</v>
      </c>
      <c r="M396" s="136">
        <v>819444.4444444445</v>
      </c>
      <c r="N396" s="136">
        <v>201388.88888888888</v>
      </c>
      <c r="O396" s="136">
        <v>819444.4444444445</v>
      </c>
      <c r="P396" s="136">
        <v>201388.88888888888</v>
      </c>
      <c r="Q396" s="136">
        <v>819444.4444444445</v>
      </c>
      <c r="R396" s="136">
        <v>201388.88888888888</v>
      </c>
      <c r="S396" s="136">
        <v>819444.4444444445</v>
      </c>
      <c r="T396" s="136">
        <v>201388.88888888888</v>
      </c>
      <c r="U396" s="136">
        <v>819444.4444444445</v>
      </c>
      <c r="V396" s="136">
        <v>201388.88888888888</v>
      </c>
      <c r="W396" s="136">
        <v>819444.4444444445</v>
      </c>
      <c r="X396" s="136">
        <v>201388.88888888888</v>
      </c>
      <c r="Y396" s="136">
        <v>819444.4444444445</v>
      </c>
      <c r="Z396" s="136">
        <v>201388.88888888888</v>
      </c>
      <c r="AA396" s="136">
        <v>819444.4444444445</v>
      </c>
      <c r="AB396" s="136">
        <v>201388.88888888888</v>
      </c>
      <c r="AC396" s="54">
        <f t="shared" si="22"/>
        <v>21305555.55555556</v>
      </c>
      <c r="AD396" s="54">
        <f t="shared" si="22"/>
        <v>5236111.1111111101</v>
      </c>
      <c r="AE396" s="2">
        <f t="shared" si="23"/>
        <v>2013888.888888889</v>
      </c>
    </row>
    <row r="397" spans="1:31" x14ac:dyDescent="0.2">
      <c r="A397" s="4">
        <v>34000148</v>
      </c>
      <c r="B397" s="5" t="s">
        <v>182</v>
      </c>
      <c r="C397" s="178">
        <v>33775000</v>
      </c>
      <c r="D397" s="178">
        <v>8318750</v>
      </c>
      <c r="E397" s="48"/>
      <c r="F397" s="48"/>
      <c r="G397" s="48"/>
      <c r="H397" s="48"/>
      <c r="I397" s="136"/>
      <c r="J397" s="136"/>
      <c r="K397" s="48">
        <v>938194.4444444445</v>
      </c>
      <c r="L397" s="48">
        <v>231076.38888888888</v>
      </c>
      <c r="M397" s="48">
        <v>938194.4444444445</v>
      </c>
      <c r="N397" s="48">
        <v>231076.38888888888</v>
      </c>
      <c r="O397" s="48">
        <v>938194.4444444445</v>
      </c>
      <c r="P397" s="48">
        <v>231076.38888888888</v>
      </c>
      <c r="Q397" s="48">
        <v>938194.4444444445</v>
      </c>
      <c r="R397" s="48">
        <v>231076.38888888888</v>
      </c>
      <c r="S397" s="48">
        <v>938194.4444444445</v>
      </c>
      <c r="T397" s="48">
        <v>231076.38888888888</v>
      </c>
      <c r="U397" s="48">
        <v>938194.4444444445</v>
      </c>
      <c r="V397" s="48">
        <v>231076.38888888888</v>
      </c>
      <c r="W397" s="48">
        <v>938194.4444444445</v>
      </c>
      <c r="X397" s="48">
        <v>231076.38888888888</v>
      </c>
      <c r="Y397" s="48">
        <v>938194.4444444445</v>
      </c>
      <c r="Z397" s="48">
        <v>231076.38888888888</v>
      </c>
      <c r="AA397" s="48">
        <v>938194.4444444445</v>
      </c>
      <c r="AB397" s="48">
        <v>231076.38888888888</v>
      </c>
      <c r="AC397" s="54">
        <f t="shared" si="22"/>
        <v>25331250.000000004</v>
      </c>
      <c r="AD397" s="54">
        <f t="shared" si="22"/>
        <v>6239062.4999999991</v>
      </c>
      <c r="AE397" s="2">
        <f t="shared" si="23"/>
        <v>2079687.5000000005</v>
      </c>
    </row>
    <row r="398" spans="1:31" x14ac:dyDescent="0.2">
      <c r="A398" s="4">
        <v>34000777</v>
      </c>
      <c r="B398" s="5" t="s">
        <v>615</v>
      </c>
      <c r="C398" s="178">
        <v>14400000</v>
      </c>
      <c r="D398" s="178">
        <v>2412000</v>
      </c>
      <c r="E398" s="48"/>
      <c r="F398" s="48"/>
      <c r="G398" s="48"/>
      <c r="H398" s="48"/>
      <c r="I398" s="136"/>
      <c r="J398" s="136"/>
      <c r="K398" s="48"/>
      <c r="L398" s="48"/>
      <c r="M398" s="48">
        <v>600000</v>
      </c>
      <c r="N398" s="48">
        <v>100500</v>
      </c>
      <c r="O398" s="48">
        <v>600000</v>
      </c>
      <c r="P398" s="48">
        <v>100500</v>
      </c>
      <c r="Q398" s="48">
        <v>600000</v>
      </c>
      <c r="R398" s="48">
        <v>100500</v>
      </c>
      <c r="S398" s="48">
        <v>600000</v>
      </c>
      <c r="T398" s="48">
        <v>100500</v>
      </c>
      <c r="U398" s="48">
        <v>600000</v>
      </c>
      <c r="V398" s="48">
        <v>100500</v>
      </c>
      <c r="W398" s="48">
        <v>600000</v>
      </c>
      <c r="X398" s="48">
        <v>100500</v>
      </c>
      <c r="Y398" s="48">
        <v>600000</v>
      </c>
      <c r="Z398" s="48">
        <v>100500</v>
      </c>
      <c r="AA398" s="48">
        <v>600000</v>
      </c>
      <c r="AB398" s="48">
        <v>100500</v>
      </c>
      <c r="AC398" s="54">
        <f t="shared" si="22"/>
        <v>9600000</v>
      </c>
      <c r="AD398" s="54">
        <f t="shared" si="22"/>
        <v>1608000</v>
      </c>
      <c r="AE398" s="2">
        <f t="shared" si="23"/>
        <v>804000</v>
      </c>
    </row>
    <row r="399" spans="1:31" x14ac:dyDescent="0.2">
      <c r="A399" s="4">
        <v>34000594</v>
      </c>
      <c r="B399" s="5" t="s">
        <v>601</v>
      </c>
      <c r="C399" s="178">
        <v>32775000</v>
      </c>
      <c r="D399" s="178">
        <v>8068750</v>
      </c>
      <c r="E399" s="48"/>
      <c r="F399" s="48"/>
      <c r="G399" s="48"/>
      <c r="H399" s="48"/>
      <c r="I399" s="136"/>
      <c r="J399" s="136"/>
      <c r="K399" s="48"/>
      <c r="L399" s="48"/>
      <c r="M399" s="48"/>
      <c r="N399" s="48"/>
      <c r="O399" s="48">
        <v>910416.66666666663</v>
      </c>
      <c r="P399" s="48">
        <v>224131.94444444444</v>
      </c>
      <c r="Q399" s="48">
        <v>910416.66666666663</v>
      </c>
      <c r="R399" s="48">
        <v>224131.94444444444</v>
      </c>
      <c r="S399" s="48">
        <v>910416.66666666663</v>
      </c>
      <c r="T399" s="48">
        <v>224131.94444444444</v>
      </c>
      <c r="U399" s="48">
        <v>910416.66666666663</v>
      </c>
      <c r="V399" s="48">
        <v>224131.94444444444</v>
      </c>
      <c r="W399" s="48">
        <v>910416.66666666663</v>
      </c>
      <c r="X399" s="48">
        <v>224131.94444444444</v>
      </c>
      <c r="Y399" s="48">
        <v>910416.66666666663</v>
      </c>
      <c r="Z399" s="48">
        <v>224131.94444444444</v>
      </c>
      <c r="AA399" s="48">
        <v>910416.66666666663</v>
      </c>
      <c r="AB399" s="48">
        <v>224131.94444444444</v>
      </c>
      <c r="AC399" s="54">
        <f t="shared" si="22"/>
        <v>26402083.333333325</v>
      </c>
      <c r="AD399" s="54">
        <f t="shared" si="22"/>
        <v>6499826.3888888918</v>
      </c>
      <c r="AE399" s="2">
        <f t="shared" si="23"/>
        <v>1568923.6111111112</v>
      </c>
    </row>
    <row r="400" spans="1:31" x14ac:dyDescent="0.2">
      <c r="A400" s="4">
        <v>34000012</v>
      </c>
      <c r="B400" s="5" t="s">
        <v>353</v>
      </c>
      <c r="C400" s="178">
        <v>37850000</v>
      </c>
      <c r="D400" s="178">
        <v>9337500</v>
      </c>
      <c r="E400" s="48"/>
      <c r="F400" s="48"/>
      <c r="G400" s="48"/>
      <c r="H400" s="48"/>
      <c r="I400" s="136"/>
      <c r="J400" s="136"/>
      <c r="K400" s="48"/>
      <c r="L400" s="48"/>
      <c r="M400" s="48"/>
      <c r="N400" s="48"/>
      <c r="O400" s="48">
        <v>1051388.888888889</v>
      </c>
      <c r="P400" s="48">
        <v>259375</v>
      </c>
      <c r="Q400" s="48">
        <v>1051388.888888889</v>
      </c>
      <c r="R400" s="48">
        <v>259375</v>
      </c>
      <c r="S400" s="48">
        <v>1051388.888888889</v>
      </c>
      <c r="T400" s="48">
        <v>259375</v>
      </c>
      <c r="U400" s="48">
        <v>1051388.888888889</v>
      </c>
      <c r="V400" s="48">
        <v>259375</v>
      </c>
      <c r="W400" s="48">
        <v>1051388.888888889</v>
      </c>
      <c r="X400" s="48">
        <v>259375</v>
      </c>
      <c r="Y400" s="48">
        <v>1051388.888888889</v>
      </c>
      <c r="Z400" s="48">
        <v>259375</v>
      </c>
      <c r="AA400" s="48">
        <v>1051388.888888889</v>
      </c>
      <c r="AB400" s="48">
        <v>259375</v>
      </c>
      <c r="AC400" s="54">
        <f t="shared" si="22"/>
        <v>30490277.777777784</v>
      </c>
      <c r="AD400" s="54">
        <f t="shared" si="22"/>
        <v>7521875</v>
      </c>
      <c r="AE400" s="2">
        <f t="shared" si="23"/>
        <v>1815625</v>
      </c>
    </row>
    <row r="401" spans="1:31" x14ac:dyDescent="0.2">
      <c r="A401" s="4">
        <v>34000514</v>
      </c>
      <c r="B401" s="5" t="s">
        <v>694</v>
      </c>
      <c r="C401" s="178">
        <v>33900000</v>
      </c>
      <c r="D401" s="178">
        <v>8287500</v>
      </c>
      <c r="E401" s="48"/>
      <c r="F401" s="48"/>
      <c r="G401" s="48"/>
      <c r="H401" s="48"/>
      <c r="I401" s="136"/>
      <c r="J401" s="136"/>
      <c r="K401" s="48"/>
      <c r="L401" s="48"/>
      <c r="M401" s="48"/>
      <c r="N401" s="48"/>
      <c r="O401" s="48">
        <v>941666.66666666663</v>
      </c>
      <c r="P401" s="48">
        <v>230208.33333333334</v>
      </c>
      <c r="Q401" s="48">
        <v>941666.66666666663</v>
      </c>
      <c r="R401" s="48">
        <v>230208.33333333334</v>
      </c>
      <c r="S401" s="48">
        <v>941666.66666666663</v>
      </c>
      <c r="T401" s="48">
        <v>230208.33333333334</v>
      </c>
      <c r="U401" s="48">
        <v>941666.66666666663</v>
      </c>
      <c r="V401" s="48">
        <v>230208.33333333334</v>
      </c>
      <c r="W401" s="48">
        <v>941666.66666666663</v>
      </c>
      <c r="X401" s="48">
        <v>230208.33333333334</v>
      </c>
      <c r="Y401" s="48">
        <v>941666.66666666663</v>
      </c>
      <c r="Z401" s="48">
        <v>230208.33333333334</v>
      </c>
      <c r="AA401" s="48">
        <v>941666.66666666663</v>
      </c>
      <c r="AB401" s="48">
        <v>230208.33333333334</v>
      </c>
      <c r="AC401" s="54">
        <f t="shared" si="22"/>
        <v>27308333.333333325</v>
      </c>
      <c r="AD401" s="54">
        <f t="shared" si="22"/>
        <v>6676041.6666666688</v>
      </c>
      <c r="AE401" s="2">
        <f t="shared" si="23"/>
        <v>1611458.3333333333</v>
      </c>
    </row>
    <row r="402" spans="1:31" x14ac:dyDescent="0.2">
      <c r="A402" s="4">
        <v>34000631</v>
      </c>
      <c r="B402" s="5" t="s">
        <v>247</v>
      </c>
      <c r="C402" s="178">
        <v>29450000</v>
      </c>
      <c r="D402" s="178">
        <v>7237500</v>
      </c>
      <c r="E402" s="48"/>
      <c r="F402" s="48"/>
      <c r="G402" s="48"/>
      <c r="H402" s="48"/>
      <c r="I402" s="136"/>
      <c r="J402" s="136"/>
      <c r="K402" s="48"/>
      <c r="L402" s="48"/>
      <c r="M402" s="48"/>
      <c r="N402" s="48"/>
      <c r="O402" s="48">
        <v>818055.5555555555</v>
      </c>
      <c r="P402" s="48">
        <v>201041.66666666666</v>
      </c>
      <c r="Q402" s="48">
        <v>818055.5555555555</v>
      </c>
      <c r="R402" s="48">
        <v>201041.66666666666</v>
      </c>
      <c r="S402" s="48">
        <v>818055.5555555555</v>
      </c>
      <c r="T402" s="48">
        <v>201041.66666666666</v>
      </c>
      <c r="U402" s="48">
        <v>818055.5555555555</v>
      </c>
      <c r="V402" s="48">
        <v>201041.66666666666</v>
      </c>
      <c r="W402" s="48">
        <v>818055.5555555555</v>
      </c>
      <c r="X402" s="48">
        <v>201041.66666666666</v>
      </c>
      <c r="Y402" s="48">
        <v>818055.5555555555</v>
      </c>
      <c r="Z402" s="48">
        <v>201041.66666666666</v>
      </c>
      <c r="AA402" s="48">
        <v>818055.5555555555</v>
      </c>
      <c r="AB402" s="48">
        <v>201041.66666666666</v>
      </c>
      <c r="AC402" s="54">
        <f t="shared" si="22"/>
        <v>23723611.111111108</v>
      </c>
      <c r="AD402" s="54">
        <f t="shared" si="22"/>
        <v>5830208.3333333312</v>
      </c>
      <c r="AE402" s="2">
        <f t="shared" si="23"/>
        <v>1407291.6666666667</v>
      </c>
    </row>
    <row r="403" spans="1:31" x14ac:dyDescent="0.2">
      <c r="A403" s="4">
        <v>34000004</v>
      </c>
      <c r="B403" s="5" t="s">
        <v>147</v>
      </c>
      <c r="C403" s="178">
        <v>32225000</v>
      </c>
      <c r="D403" s="178">
        <v>5710500</v>
      </c>
      <c r="E403" s="48"/>
      <c r="F403" s="48"/>
      <c r="G403" s="48"/>
      <c r="H403" s="48"/>
      <c r="I403" s="136"/>
      <c r="J403" s="136"/>
      <c r="K403" s="48"/>
      <c r="L403" s="48"/>
      <c r="M403" s="48"/>
      <c r="N403" s="48"/>
      <c r="O403" s="48">
        <v>1342708.3333333333</v>
      </c>
      <c r="P403" s="48">
        <v>237937.5</v>
      </c>
      <c r="Q403" s="48">
        <v>1342708.3333333333</v>
      </c>
      <c r="R403" s="48">
        <v>237937.5</v>
      </c>
      <c r="S403" s="48">
        <v>1342708.3333333333</v>
      </c>
      <c r="T403" s="48">
        <v>237937.5</v>
      </c>
      <c r="U403" s="48">
        <v>1342708.3333333333</v>
      </c>
      <c r="V403" s="48">
        <v>237937.5</v>
      </c>
      <c r="W403" s="48">
        <v>1342708.3333333333</v>
      </c>
      <c r="X403" s="48">
        <v>237937.5</v>
      </c>
      <c r="Y403" s="48">
        <v>1342708.3333333333</v>
      </c>
      <c r="Z403" s="48">
        <v>237937.5</v>
      </c>
      <c r="AA403" s="48">
        <v>1342708.3333333333</v>
      </c>
      <c r="AB403" s="48">
        <v>237937.5</v>
      </c>
      <c r="AC403" s="54">
        <f t="shared" si="22"/>
        <v>22826041.666666675</v>
      </c>
      <c r="AD403" s="54">
        <f t="shared" si="22"/>
        <v>4044937.5</v>
      </c>
      <c r="AE403" s="2">
        <f t="shared" si="23"/>
        <v>1665562.5</v>
      </c>
    </row>
    <row r="404" spans="1:31" x14ac:dyDescent="0.2">
      <c r="A404" s="4">
        <v>34000698</v>
      </c>
      <c r="B404" s="5" t="s">
        <v>648</v>
      </c>
      <c r="C404" s="178">
        <v>15500000</v>
      </c>
      <c r="D404" s="178">
        <v>2550000</v>
      </c>
      <c r="E404" s="48"/>
      <c r="F404" s="48"/>
      <c r="G404" s="48"/>
      <c r="H404" s="48"/>
      <c r="I404" s="136"/>
      <c r="J404" s="136"/>
      <c r="K404" s="48"/>
      <c r="L404" s="48"/>
      <c r="M404" s="48"/>
      <c r="N404" s="48"/>
      <c r="O404" s="48"/>
      <c r="P404" s="48"/>
      <c r="Q404" s="48">
        <v>516666.66666666669</v>
      </c>
      <c r="R404" s="48">
        <v>85000</v>
      </c>
      <c r="S404" s="48">
        <v>516666.66666666669</v>
      </c>
      <c r="T404" s="48">
        <v>85000</v>
      </c>
      <c r="U404" s="48">
        <v>516666.66666666669</v>
      </c>
      <c r="V404" s="48">
        <v>85000</v>
      </c>
      <c r="W404" s="48">
        <v>516666.66666666669</v>
      </c>
      <c r="X404" s="48">
        <v>85000</v>
      </c>
      <c r="Y404" s="48">
        <v>516666.66666666669</v>
      </c>
      <c r="Z404" s="48">
        <v>85000</v>
      </c>
      <c r="AA404" s="48">
        <v>516666.66666666669</v>
      </c>
      <c r="AB404" s="48">
        <v>85000</v>
      </c>
      <c r="AC404" s="54">
        <f t="shared" si="22"/>
        <v>12400000.000000004</v>
      </c>
      <c r="AD404" s="54">
        <f t="shared" si="22"/>
        <v>2040000</v>
      </c>
      <c r="AE404" s="2">
        <f t="shared" si="23"/>
        <v>510000</v>
      </c>
    </row>
    <row r="405" spans="1:31" x14ac:dyDescent="0.2">
      <c r="A405" s="4">
        <v>34000484</v>
      </c>
      <c r="B405" s="5" t="s">
        <v>129</v>
      </c>
      <c r="C405" s="178">
        <v>37850000</v>
      </c>
      <c r="D405" s="178">
        <v>8030250</v>
      </c>
      <c r="E405" s="48"/>
      <c r="F405" s="48"/>
      <c r="G405" s="48"/>
      <c r="H405" s="48"/>
      <c r="I405" s="136"/>
      <c r="J405" s="136"/>
      <c r="K405" s="48"/>
      <c r="L405" s="48"/>
      <c r="M405" s="48"/>
      <c r="N405" s="48"/>
      <c r="O405" s="48"/>
      <c r="P405" s="48"/>
      <c r="Q405" s="48">
        <v>1261666.6666666667</v>
      </c>
      <c r="R405" s="48">
        <v>267675</v>
      </c>
      <c r="S405" s="48">
        <v>1261666.6666666667</v>
      </c>
      <c r="T405" s="48">
        <v>267675</v>
      </c>
      <c r="U405" s="48">
        <v>1261666.6666666667</v>
      </c>
      <c r="V405" s="48">
        <v>267675</v>
      </c>
      <c r="W405" s="48">
        <v>1261666.6666666667</v>
      </c>
      <c r="X405" s="48">
        <v>267675</v>
      </c>
      <c r="Y405" s="48">
        <v>1261666.6666666667</v>
      </c>
      <c r="Z405" s="48">
        <v>267675</v>
      </c>
      <c r="AA405" s="48">
        <v>1261666.6666666667</v>
      </c>
      <c r="AB405" s="48">
        <v>267675</v>
      </c>
      <c r="AC405" s="54">
        <f t="shared" si="22"/>
        <v>30280000.000000004</v>
      </c>
      <c r="AD405" s="54">
        <f t="shared" si="22"/>
        <v>6424200</v>
      </c>
      <c r="AE405" s="2">
        <f t="shared" si="23"/>
        <v>1606050</v>
      </c>
    </row>
    <row r="406" spans="1:31" x14ac:dyDescent="0.2">
      <c r="A406" s="4">
        <v>34000516</v>
      </c>
      <c r="B406" s="5" t="s">
        <v>280</v>
      </c>
      <c r="C406" s="178">
        <v>24150000</v>
      </c>
      <c r="D406" s="178">
        <v>4167000</v>
      </c>
      <c r="E406" s="48"/>
      <c r="F406" s="48"/>
      <c r="G406" s="48"/>
      <c r="H406" s="48"/>
      <c r="I406" s="136"/>
      <c r="J406" s="136"/>
      <c r="K406" s="48"/>
      <c r="L406" s="48"/>
      <c r="M406" s="48"/>
      <c r="N406" s="48"/>
      <c r="O406" s="48"/>
      <c r="P406" s="48"/>
      <c r="Q406" s="48"/>
      <c r="R406" s="48"/>
      <c r="S406" s="48">
        <v>1006250</v>
      </c>
      <c r="T406" s="48">
        <v>173625</v>
      </c>
      <c r="U406" s="48">
        <v>1006250</v>
      </c>
      <c r="V406" s="48">
        <v>173625</v>
      </c>
      <c r="W406" s="48">
        <v>1006250</v>
      </c>
      <c r="X406" s="48">
        <v>173625</v>
      </c>
      <c r="Y406" s="48">
        <v>1006250</v>
      </c>
      <c r="Z406" s="48">
        <v>173625</v>
      </c>
      <c r="AA406" s="48">
        <v>1006250</v>
      </c>
      <c r="AB406" s="48">
        <v>173625</v>
      </c>
      <c r="AC406" s="54">
        <f t="shared" si="22"/>
        <v>19118750</v>
      </c>
      <c r="AD406" s="54">
        <f t="shared" si="22"/>
        <v>3298875</v>
      </c>
      <c r="AE406" s="2">
        <f t="shared" si="23"/>
        <v>868125</v>
      </c>
    </row>
    <row r="407" spans="1:31" x14ac:dyDescent="0.2">
      <c r="A407" s="4" t="s">
        <v>717</v>
      </c>
      <c r="B407" s="5" t="s">
        <v>226</v>
      </c>
      <c r="C407" s="178">
        <v>15200000</v>
      </c>
      <c r="D407" s="178">
        <v>1470000</v>
      </c>
      <c r="E407" s="48"/>
      <c r="F407" s="48"/>
      <c r="G407" s="48"/>
      <c r="H407" s="48"/>
      <c r="I407" s="136"/>
      <c r="J407" s="136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>
        <v>1266666.6666666667</v>
      </c>
      <c r="V407" s="48">
        <v>122500</v>
      </c>
      <c r="W407" s="48">
        <v>1266666.6666666667</v>
      </c>
      <c r="X407" s="48">
        <v>122500</v>
      </c>
      <c r="Y407" s="48">
        <v>1266666.6666666667</v>
      </c>
      <c r="Z407" s="48">
        <v>122500</v>
      </c>
      <c r="AA407" s="48">
        <v>1266666.6666666667</v>
      </c>
      <c r="AB407" s="48">
        <v>122500</v>
      </c>
      <c r="AC407" s="54">
        <f t="shared" si="22"/>
        <v>10133333.333333336</v>
      </c>
      <c r="AD407" s="54">
        <f t="shared" si="22"/>
        <v>980000</v>
      </c>
      <c r="AE407" s="2">
        <f t="shared" si="23"/>
        <v>490000</v>
      </c>
    </row>
    <row r="408" spans="1:31" x14ac:dyDescent="0.2">
      <c r="A408" s="4">
        <v>34000574</v>
      </c>
      <c r="B408" s="5" t="s">
        <v>650</v>
      </c>
      <c r="C408" s="178">
        <v>37695000</v>
      </c>
      <c r="D408" s="178">
        <v>9298750</v>
      </c>
      <c r="E408" s="48"/>
      <c r="F408" s="48"/>
      <c r="G408" s="48"/>
      <c r="H408" s="48"/>
      <c r="I408" s="136"/>
      <c r="J408" s="136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>
        <v>1047083.3333333334</v>
      </c>
      <c r="V408" s="48">
        <v>258298.61111111112</v>
      </c>
      <c r="W408" s="48">
        <v>1047083.3333333334</v>
      </c>
      <c r="X408" s="48">
        <v>258298.61111111112</v>
      </c>
      <c r="Y408" s="48">
        <v>1047083.3333333334</v>
      </c>
      <c r="Z408" s="48">
        <v>258298.61111111112</v>
      </c>
      <c r="AA408" s="48">
        <v>1047083.3333333334</v>
      </c>
      <c r="AB408" s="48">
        <v>258298.61111111112</v>
      </c>
      <c r="AC408" s="54">
        <f t="shared" si="22"/>
        <v>33506666.66666666</v>
      </c>
      <c r="AD408" s="54">
        <f t="shared" si="22"/>
        <v>8265555.5555555532</v>
      </c>
      <c r="AE408" s="2">
        <f t="shared" si="23"/>
        <v>1033194.4444444445</v>
      </c>
    </row>
    <row r="409" spans="1:31" x14ac:dyDescent="0.2">
      <c r="A409" s="4">
        <v>34000119</v>
      </c>
      <c r="B409" s="5" t="s">
        <v>300</v>
      </c>
      <c r="C409" s="178">
        <v>21200000</v>
      </c>
      <c r="D409" s="178">
        <v>5175000</v>
      </c>
      <c r="E409" s="48"/>
      <c r="F409" s="48"/>
      <c r="G409" s="48"/>
      <c r="H409" s="48"/>
      <c r="I409" s="136"/>
      <c r="J409" s="136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>
        <v>588888.88888888888</v>
      </c>
      <c r="V409" s="48">
        <v>143750</v>
      </c>
      <c r="W409" s="48">
        <v>588888.88888888888</v>
      </c>
      <c r="X409" s="48">
        <v>143750</v>
      </c>
      <c r="Y409" s="48">
        <v>588888.88888888888</v>
      </c>
      <c r="Z409" s="48">
        <v>143750</v>
      </c>
      <c r="AA409" s="48">
        <v>588888.88888888888</v>
      </c>
      <c r="AB409" s="48">
        <v>143750</v>
      </c>
      <c r="AC409" s="54">
        <f t="shared" si="22"/>
        <v>18844444.444444448</v>
      </c>
      <c r="AD409" s="54">
        <f t="shared" si="22"/>
        <v>4600000</v>
      </c>
      <c r="AE409" s="2">
        <f t="shared" si="23"/>
        <v>575000</v>
      </c>
    </row>
    <row r="410" spans="1:31" x14ac:dyDescent="0.2">
      <c r="A410" s="4">
        <v>34000562</v>
      </c>
      <c r="B410" s="5" t="s">
        <v>496</v>
      </c>
      <c r="C410" s="178">
        <v>24700000</v>
      </c>
      <c r="D410" s="178">
        <v>4446000</v>
      </c>
      <c r="E410" s="48"/>
      <c r="F410" s="48"/>
      <c r="G410" s="48"/>
      <c r="H410" s="48"/>
      <c r="I410" s="136"/>
      <c r="J410" s="136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>
        <v>1050000</v>
      </c>
      <c r="X410" s="48">
        <v>185250</v>
      </c>
      <c r="Y410" s="48">
        <v>1050000</v>
      </c>
      <c r="Z410" s="48">
        <v>185250</v>
      </c>
      <c r="AA410" s="48">
        <v>1050000</v>
      </c>
      <c r="AB410" s="48">
        <v>185250</v>
      </c>
      <c r="AC410" s="54">
        <f t="shared" si="22"/>
        <v>21550000</v>
      </c>
      <c r="AD410" s="54">
        <f t="shared" si="22"/>
        <v>3890250</v>
      </c>
      <c r="AE410" s="2">
        <f t="shared" si="23"/>
        <v>555750</v>
      </c>
    </row>
    <row r="411" spans="1:31" x14ac:dyDescent="0.2">
      <c r="A411" s="4">
        <v>34000132</v>
      </c>
      <c r="B411" s="5" t="s">
        <v>599</v>
      </c>
      <c r="C411" s="178">
        <v>34050000</v>
      </c>
      <c r="D411" s="178">
        <v>8512500</v>
      </c>
      <c r="E411" s="48"/>
      <c r="F411" s="48"/>
      <c r="G411" s="48"/>
      <c r="H411" s="48"/>
      <c r="I411" s="136"/>
      <c r="J411" s="136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>
        <v>959722.22222222225</v>
      </c>
      <c r="X411" s="48">
        <v>236458.33333333334</v>
      </c>
      <c r="Y411" s="48">
        <v>959722.22222222225</v>
      </c>
      <c r="Z411" s="48">
        <v>236458.33333333334</v>
      </c>
      <c r="AA411" s="48">
        <v>959722.22222222225</v>
      </c>
      <c r="AB411" s="48">
        <v>236458.33333333334</v>
      </c>
      <c r="AC411" s="54">
        <f t="shared" si="22"/>
        <v>31170833.333333328</v>
      </c>
      <c r="AD411" s="54">
        <f t="shared" si="22"/>
        <v>7803125.0000000009</v>
      </c>
      <c r="AE411" s="2">
        <f t="shared" si="23"/>
        <v>709375</v>
      </c>
    </row>
    <row r="412" spans="1:31" x14ac:dyDescent="0.2">
      <c r="A412" s="4">
        <v>34000529</v>
      </c>
      <c r="B412" s="5" t="s">
        <v>478</v>
      </c>
      <c r="C412" s="178">
        <v>33700000</v>
      </c>
      <c r="D412" s="178">
        <v>8425000</v>
      </c>
      <c r="E412" s="48"/>
      <c r="F412" s="48"/>
      <c r="G412" s="48"/>
      <c r="H412" s="48"/>
      <c r="I412" s="136"/>
      <c r="J412" s="136"/>
      <c r="K412" s="48"/>
      <c r="L412" s="48"/>
      <c r="M412" s="48"/>
      <c r="N412" s="48"/>
      <c r="O412" s="177"/>
      <c r="P412" s="177"/>
      <c r="Q412" s="177"/>
      <c r="R412" s="177"/>
      <c r="S412" s="177"/>
      <c r="T412" s="177"/>
      <c r="U412" s="177"/>
      <c r="V412" s="177"/>
      <c r="W412" s="177"/>
      <c r="X412" s="177"/>
      <c r="Y412" s="177">
        <v>963888.88888888888</v>
      </c>
      <c r="Z412" s="177">
        <v>234027.77777777778</v>
      </c>
      <c r="AA412" s="177">
        <v>963888.88888888888</v>
      </c>
      <c r="AB412" s="177">
        <v>234027.77777777778</v>
      </c>
      <c r="AC412" s="54">
        <f t="shared" si="22"/>
        <v>31772222.222222224</v>
      </c>
      <c r="AD412" s="54">
        <f t="shared" si="22"/>
        <v>7956944.444444444</v>
      </c>
      <c r="AE412" s="2">
        <f t="shared" si="23"/>
        <v>468055.55555555556</v>
      </c>
    </row>
    <row r="413" spans="1:31" x14ac:dyDescent="0.2">
      <c r="A413" s="4">
        <v>34000583</v>
      </c>
      <c r="B413" s="5" t="s">
        <v>844</v>
      </c>
      <c r="C413" s="178">
        <v>23900000</v>
      </c>
      <c r="D413" s="178">
        <v>5975000</v>
      </c>
      <c r="E413" s="48"/>
      <c r="F413" s="48"/>
      <c r="G413" s="48"/>
      <c r="H413" s="48"/>
      <c r="I413" s="136"/>
      <c r="J413" s="136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>
        <v>677777.77777777775</v>
      </c>
      <c r="Z413" s="48">
        <v>165972.22222222222</v>
      </c>
      <c r="AA413" s="48">
        <v>677777.77777777775</v>
      </c>
      <c r="AB413" s="48">
        <v>165972.22222222222</v>
      </c>
      <c r="AC413" s="54">
        <f t="shared" si="22"/>
        <v>22544444.444444448</v>
      </c>
      <c r="AD413" s="54">
        <f t="shared" si="22"/>
        <v>5643055.555555556</v>
      </c>
      <c r="AE413" s="2">
        <f t="shared" si="23"/>
        <v>331944.44444444444</v>
      </c>
    </row>
    <row r="414" spans="1:31" x14ac:dyDescent="0.2">
      <c r="A414" s="4">
        <v>34000125</v>
      </c>
      <c r="B414" s="5" t="s">
        <v>603</v>
      </c>
      <c r="C414" s="178">
        <v>23900000</v>
      </c>
      <c r="D414" s="178">
        <v>5975000</v>
      </c>
      <c r="E414" s="48"/>
      <c r="F414" s="48"/>
      <c r="G414" s="48"/>
      <c r="H414" s="48"/>
      <c r="I414" s="136"/>
      <c r="J414" s="136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>
        <v>677777.77777777775</v>
      </c>
      <c r="Z414" s="48">
        <v>165972.22222222222</v>
      </c>
      <c r="AA414" s="48">
        <v>677777.77777777775</v>
      </c>
      <c r="AB414" s="48">
        <v>165972.22222222222</v>
      </c>
      <c r="AC414" s="54">
        <f t="shared" si="22"/>
        <v>22544444.444444448</v>
      </c>
      <c r="AD414" s="54">
        <f t="shared" si="22"/>
        <v>5643055.555555556</v>
      </c>
      <c r="AE414" s="2">
        <f t="shared" si="23"/>
        <v>331944.44444444444</v>
      </c>
    </row>
    <row r="415" spans="1:31" x14ac:dyDescent="0.2">
      <c r="A415" s="4">
        <v>34000277</v>
      </c>
      <c r="B415" s="5" t="s">
        <v>238</v>
      </c>
      <c r="C415" s="178">
        <v>35000000</v>
      </c>
      <c r="D415" s="178">
        <v>8750000</v>
      </c>
      <c r="E415" s="48"/>
      <c r="F415" s="48"/>
      <c r="G415" s="48"/>
      <c r="H415" s="48"/>
      <c r="I415" s="136"/>
      <c r="J415" s="136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>
        <v>972222.22222222225</v>
      </c>
      <c r="Z415" s="48">
        <v>243055.55555555556</v>
      </c>
      <c r="AA415" s="48">
        <v>972222.22222222225</v>
      </c>
      <c r="AB415" s="48">
        <v>243055.55555555556</v>
      </c>
      <c r="AC415" s="54">
        <f t="shared" si="22"/>
        <v>33055555.555555552</v>
      </c>
      <c r="AD415" s="54">
        <f t="shared" si="22"/>
        <v>8263888.8888888881</v>
      </c>
      <c r="AE415" s="2">
        <f t="shared" si="23"/>
        <v>486111.11111111112</v>
      </c>
    </row>
    <row r="416" spans="1:31" x14ac:dyDescent="0.2">
      <c r="A416" s="4">
        <v>34000354</v>
      </c>
      <c r="B416" s="5" t="s">
        <v>318</v>
      </c>
      <c r="C416" s="178">
        <v>20975000</v>
      </c>
      <c r="D416" s="178">
        <v>5243750</v>
      </c>
      <c r="E416" s="48"/>
      <c r="F416" s="48"/>
      <c r="G416" s="48"/>
      <c r="H416" s="48"/>
      <c r="I416" s="136"/>
      <c r="J416" s="136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>
        <v>596527.77777777775</v>
      </c>
      <c r="AB416" s="48">
        <v>145659.72222222222</v>
      </c>
      <c r="AC416" s="54">
        <f t="shared" si="22"/>
        <v>20378472.222222224</v>
      </c>
      <c r="AD416" s="54">
        <f t="shared" si="22"/>
        <v>5098090.277777778</v>
      </c>
      <c r="AE416" s="2">
        <f t="shared" si="23"/>
        <v>145659.72222222222</v>
      </c>
    </row>
    <row r="417" spans="1:31" x14ac:dyDescent="0.2">
      <c r="A417" s="4">
        <v>34000215</v>
      </c>
      <c r="B417" s="5" t="s">
        <v>137</v>
      </c>
      <c r="C417" s="178">
        <v>30000000</v>
      </c>
      <c r="D417" s="178">
        <v>5100000</v>
      </c>
      <c r="E417" s="48"/>
      <c r="F417" s="48"/>
      <c r="G417" s="48"/>
      <c r="H417" s="48"/>
      <c r="I417" s="136"/>
      <c r="J417" s="136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54">
        <f t="shared" si="22"/>
        <v>30000000</v>
      </c>
      <c r="AD417" s="54">
        <f t="shared" si="22"/>
        <v>5100000</v>
      </c>
      <c r="AE417" s="2">
        <f t="shared" si="23"/>
        <v>0</v>
      </c>
    </row>
    <row r="418" spans="1:31" x14ac:dyDescent="0.2">
      <c r="A418" s="4">
        <v>34000230</v>
      </c>
      <c r="B418" s="5" t="s">
        <v>282</v>
      </c>
      <c r="C418" s="178">
        <v>33855000</v>
      </c>
      <c r="D418" s="178">
        <v>8213750</v>
      </c>
      <c r="E418" s="48"/>
      <c r="F418" s="48"/>
      <c r="G418" s="48"/>
      <c r="H418" s="48"/>
      <c r="I418" s="136"/>
      <c r="J418" s="136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54">
        <f t="shared" si="22"/>
        <v>33855000</v>
      </c>
      <c r="AD418" s="54">
        <f t="shared" si="22"/>
        <v>8213750</v>
      </c>
      <c r="AE418" s="2">
        <f t="shared" si="23"/>
        <v>0</v>
      </c>
    </row>
    <row r="419" spans="1:31" x14ac:dyDescent="0.2">
      <c r="A419" s="4"/>
      <c r="B419" s="5"/>
      <c r="C419" s="178"/>
      <c r="D419" s="178"/>
      <c r="E419" s="48"/>
      <c r="F419" s="48"/>
      <c r="G419" s="48"/>
      <c r="H419" s="48"/>
      <c r="I419" s="136"/>
      <c r="J419" s="136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54">
        <f t="shared" si="22"/>
        <v>0</v>
      </c>
      <c r="AD419" s="54">
        <f t="shared" si="22"/>
        <v>0</v>
      </c>
      <c r="AE419" s="2">
        <f t="shared" si="23"/>
        <v>0</v>
      </c>
    </row>
    <row r="420" spans="1:31" ht="10.9" customHeight="1" x14ac:dyDescent="0.2">
      <c r="A420" s="4"/>
      <c r="B420" s="5"/>
      <c r="C420" s="178"/>
      <c r="D420" s="178"/>
      <c r="E420" s="48"/>
      <c r="F420" s="48"/>
      <c r="G420" s="48"/>
      <c r="H420" s="48"/>
      <c r="I420" s="136"/>
      <c r="J420" s="136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54">
        <f t="shared" si="22"/>
        <v>0</v>
      </c>
      <c r="AD420" s="54">
        <f t="shared" si="22"/>
        <v>0</v>
      </c>
      <c r="AE420" s="2">
        <f t="shared" si="23"/>
        <v>0</v>
      </c>
    </row>
    <row r="421" spans="1:31" x14ac:dyDescent="0.2">
      <c r="A421" s="4"/>
      <c r="B421" s="5"/>
      <c r="C421" s="178"/>
      <c r="D421" s="178"/>
      <c r="E421" s="48"/>
      <c r="F421" s="48"/>
      <c r="G421" s="48"/>
      <c r="H421" s="48"/>
      <c r="I421" s="136"/>
      <c r="J421" s="136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54">
        <f t="shared" si="22"/>
        <v>0</v>
      </c>
      <c r="AD421" s="54">
        <f t="shared" si="22"/>
        <v>0</v>
      </c>
      <c r="AE421" s="2">
        <f t="shared" si="23"/>
        <v>0</v>
      </c>
    </row>
    <row r="422" spans="1:31" x14ac:dyDescent="0.2">
      <c r="A422" s="4"/>
      <c r="B422" s="5"/>
      <c r="C422" s="178"/>
      <c r="D422" s="178"/>
      <c r="E422" s="48"/>
      <c r="F422" s="48"/>
      <c r="G422" s="48"/>
      <c r="H422" s="48"/>
      <c r="I422" s="136"/>
      <c r="J422" s="136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54">
        <f t="shared" si="22"/>
        <v>0</v>
      </c>
      <c r="AD422" s="54">
        <f t="shared" si="22"/>
        <v>0</v>
      </c>
      <c r="AE422" s="2">
        <f t="shared" si="23"/>
        <v>0</v>
      </c>
    </row>
    <row r="423" spans="1:31" x14ac:dyDescent="0.2">
      <c r="A423" s="4"/>
      <c r="B423" s="5"/>
      <c r="C423" s="178"/>
      <c r="D423" s="178"/>
      <c r="E423" s="48"/>
      <c r="F423" s="48"/>
      <c r="G423" s="48"/>
      <c r="H423" s="48"/>
      <c r="I423" s="136"/>
      <c r="J423" s="136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54">
        <f t="shared" si="22"/>
        <v>0</v>
      </c>
      <c r="AD423" s="54">
        <f t="shared" si="22"/>
        <v>0</v>
      </c>
      <c r="AE423" s="2">
        <f t="shared" si="23"/>
        <v>0</v>
      </c>
    </row>
    <row r="424" spans="1:31" x14ac:dyDescent="0.2">
      <c r="A424" s="4"/>
      <c r="B424" s="5"/>
      <c r="C424" s="178"/>
      <c r="D424" s="178"/>
      <c r="E424" s="48"/>
      <c r="F424" s="48"/>
      <c r="G424" s="48"/>
      <c r="H424" s="48"/>
      <c r="I424" s="136"/>
      <c r="J424" s="136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54">
        <f t="shared" si="22"/>
        <v>0</v>
      </c>
      <c r="AD424" s="54">
        <f t="shared" si="22"/>
        <v>0</v>
      </c>
      <c r="AE424" s="2">
        <f t="shared" si="23"/>
        <v>0</v>
      </c>
    </row>
    <row r="425" spans="1:31" x14ac:dyDescent="0.2">
      <c r="A425" s="4"/>
      <c r="B425" s="5"/>
      <c r="C425" s="178"/>
      <c r="D425" s="178"/>
      <c r="E425" s="48"/>
      <c r="F425" s="48"/>
      <c r="G425" s="48"/>
      <c r="H425" s="48"/>
      <c r="I425" s="136"/>
      <c r="J425" s="136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54">
        <f t="shared" si="22"/>
        <v>0</v>
      </c>
      <c r="AD425" s="54">
        <f t="shared" si="22"/>
        <v>0</v>
      </c>
      <c r="AE425" s="2">
        <f t="shared" si="23"/>
        <v>0</v>
      </c>
    </row>
    <row r="426" spans="1:31" x14ac:dyDescent="0.2">
      <c r="A426" s="4"/>
      <c r="B426" s="5"/>
      <c r="C426" s="178"/>
      <c r="D426" s="178"/>
      <c r="E426" s="48"/>
      <c r="F426" s="48"/>
      <c r="G426" s="48"/>
      <c r="H426" s="48"/>
      <c r="I426" s="136"/>
      <c r="J426" s="136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54">
        <f t="shared" si="22"/>
        <v>0</v>
      </c>
      <c r="AD426" s="54">
        <f t="shared" si="22"/>
        <v>0</v>
      </c>
      <c r="AE426" s="2">
        <f t="shared" si="23"/>
        <v>0</v>
      </c>
    </row>
    <row r="427" spans="1:31" x14ac:dyDescent="0.2">
      <c r="A427" s="4"/>
      <c r="B427" s="5"/>
      <c r="C427" s="178"/>
      <c r="D427" s="178"/>
      <c r="E427" s="48"/>
      <c r="F427" s="48"/>
      <c r="G427" s="48"/>
      <c r="H427" s="48"/>
      <c r="I427" s="136"/>
      <c r="J427" s="136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54">
        <f t="shared" si="22"/>
        <v>0</v>
      </c>
      <c r="AD427" s="54">
        <f t="shared" si="22"/>
        <v>0</v>
      </c>
      <c r="AE427" s="2">
        <f t="shared" si="23"/>
        <v>0</v>
      </c>
    </row>
    <row r="428" spans="1:31" x14ac:dyDescent="0.2">
      <c r="A428" s="4"/>
      <c r="B428" s="5"/>
      <c r="C428" s="178"/>
      <c r="D428" s="178"/>
      <c r="E428" s="48"/>
      <c r="F428" s="48"/>
      <c r="G428" s="48"/>
      <c r="H428" s="48"/>
      <c r="I428" s="136"/>
      <c r="J428" s="136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54">
        <f t="shared" si="22"/>
        <v>0</v>
      </c>
      <c r="AD428" s="54">
        <f t="shared" si="22"/>
        <v>0</v>
      </c>
      <c r="AE428" s="2">
        <f t="shared" si="23"/>
        <v>0</v>
      </c>
    </row>
    <row r="429" spans="1:31" x14ac:dyDescent="0.2">
      <c r="A429" s="4"/>
      <c r="B429" s="5"/>
      <c r="C429" s="178"/>
      <c r="D429" s="178"/>
      <c r="E429" s="48"/>
      <c r="F429" s="48"/>
      <c r="G429" s="48"/>
      <c r="H429" s="48"/>
      <c r="I429" s="136"/>
      <c r="J429" s="136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54">
        <f t="shared" si="22"/>
        <v>0</v>
      </c>
      <c r="AD429" s="54">
        <f t="shared" si="22"/>
        <v>0</v>
      </c>
      <c r="AE429" s="2">
        <f t="shared" si="23"/>
        <v>0</v>
      </c>
    </row>
    <row r="430" spans="1:31" x14ac:dyDescent="0.2">
      <c r="A430" s="4"/>
      <c r="B430" s="5"/>
      <c r="C430" s="178"/>
      <c r="D430" s="178"/>
      <c r="E430" s="48"/>
      <c r="F430" s="48"/>
      <c r="G430" s="48"/>
      <c r="H430" s="48"/>
      <c r="I430" s="136"/>
      <c r="J430" s="136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54">
        <f t="shared" si="22"/>
        <v>0</v>
      </c>
      <c r="AD430" s="54">
        <f t="shared" si="22"/>
        <v>0</v>
      </c>
      <c r="AE430" s="2">
        <f t="shared" si="23"/>
        <v>0</v>
      </c>
    </row>
    <row r="431" spans="1:31" x14ac:dyDescent="0.2">
      <c r="A431" s="4"/>
      <c r="B431" s="5"/>
      <c r="C431" s="178"/>
      <c r="D431" s="178"/>
      <c r="E431" s="48"/>
      <c r="F431" s="48"/>
      <c r="G431" s="48"/>
      <c r="H431" s="48"/>
      <c r="I431" s="136"/>
      <c r="J431" s="136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54">
        <f t="shared" si="22"/>
        <v>0</v>
      </c>
      <c r="AD431" s="54">
        <f t="shared" si="22"/>
        <v>0</v>
      </c>
      <c r="AE431" s="2">
        <f t="shared" si="23"/>
        <v>0</v>
      </c>
    </row>
    <row r="432" spans="1:31" x14ac:dyDescent="0.2">
      <c r="A432" s="4"/>
      <c r="B432" s="5"/>
      <c r="C432" s="178"/>
      <c r="D432" s="178"/>
      <c r="E432" s="48"/>
      <c r="F432" s="48"/>
      <c r="G432" s="48"/>
      <c r="H432" s="48"/>
      <c r="I432" s="136"/>
      <c r="J432" s="136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136"/>
      <c r="Z432" s="136"/>
      <c r="AA432" s="48"/>
      <c r="AB432" s="48"/>
      <c r="AC432" s="54">
        <f t="shared" si="22"/>
        <v>0</v>
      </c>
      <c r="AD432" s="54">
        <f t="shared" si="22"/>
        <v>0</v>
      </c>
      <c r="AE432" s="2">
        <f t="shared" si="23"/>
        <v>0</v>
      </c>
    </row>
    <row r="433" spans="1:31" x14ac:dyDescent="0.2">
      <c r="A433" s="4"/>
      <c r="B433" s="5"/>
      <c r="C433" s="178"/>
      <c r="D433" s="178"/>
      <c r="E433" s="48"/>
      <c r="F433" s="48"/>
      <c r="G433" s="48"/>
      <c r="H433" s="48"/>
      <c r="I433" s="136"/>
      <c r="J433" s="136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136"/>
      <c r="Z433" s="136"/>
      <c r="AA433" s="48"/>
      <c r="AB433" s="48"/>
      <c r="AC433" s="54">
        <f t="shared" si="22"/>
        <v>0</v>
      </c>
      <c r="AD433" s="54">
        <f t="shared" si="22"/>
        <v>0</v>
      </c>
      <c r="AE433" s="2">
        <f t="shared" si="23"/>
        <v>0</v>
      </c>
    </row>
    <row r="434" spans="1:31" x14ac:dyDescent="0.2">
      <c r="A434" s="4"/>
      <c r="B434" s="5"/>
      <c r="C434" s="178"/>
      <c r="D434" s="178"/>
      <c r="E434" s="48"/>
      <c r="F434" s="48"/>
      <c r="G434" s="48"/>
      <c r="H434" s="48"/>
      <c r="I434" s="136"/>
      <c r="J434" s="136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136"/>
      <c r="Z434" s="136"/>
      <c r="AA434" s="48"/>
      <c r="AB434" s="48"/>
      <c r="AC434" s="54">
        <f t="shared" si="22"/>
        <v>0</v>
      </c>
      <c r="AD434" s="54">
        <f t="shared" si="22"/>
        <v>0</v>
      </c>
      <c r="AE434" s="2">
        <f t="shared" si="23"/>
        <v>0</v>
      </c>
    </row>
    <row r="435" spans="1:31" x14ac:dyDescent="0.2">
      <c r="A435" s="4"/>
      <c r="B435" s="5"/>
      <c r="C435" s="178"/>
      <c r="D435" s="178"/>
      <c r="E435" s="48"/>
      <c r="F435" s="48"/>
      <c r="G435" s="48"/>
      <c r="H435" s="48"/>
      <c r="I435" s="136"/>
      <c r="J435" s="136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54">
        <f t="shared" si="22"/>
        <v>0</v>
      </c>
      <c r="AD435" s="54">
        <f t="shared" si="22"/>
        <v>0</v>
      </c>
      <c r="AE435" s="2">
        <f t="shared" si="23"/>
        <v>0</v>
      </c>
    </row>
    <row r="436" spans="1:31" x14ac:dyDescent="0.2">
      <c r="A436" s="4"/>
      <c r="B436" s="5"/>
      <c r="C436" s="178"/>
      <c r="D436" s="178"/>
      <c r="E436" s="48"/>
      <c r="F436" s="48"/>
      <c r="G436" s="48"/>
      <c r="H436" s="48"/>
      <c r="I436" s="136"/>
      <c r="J436" s="136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54">
        <f t="shared" si="22"/>
        <v>0</v>
      </c>
      <c r="AD436" s="54">
        <f t="shared" si="22"/>
        <v>0</v>
      </c>
      <c r="AE436" s="2">
        <f t="shared" si="23"/>
        <v>0</v>
      </c>
    </row>
    <row r="437" spans="1:31" x14ac:dyDescent="0.2">
      <c r="A437" s="4"/>
      <c r="B437" s="5"/>
      <c r="C437" s="178"/>
      <c r="D437" s="178"/>
      <c r="E437" s="48"/>
      <c r="F437" s="48"/>
      <c r="G437" s="48"/>
      <c r="H437" s="48"/>
      <c r="I437" s="136"/>
      <c r="J437" s="136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54">
        <f t="shared" si="22"/>
        <v>0</v>
      </c>
      <c r="AD437" s="54">
        <f t="shared" si="22"/>
        <v>0</v>
      </c>
      <c r="AE437" s="2">
        <f t="shared" si="23"/>
        <v>0</v>
      </c>
    </row>
    <row r="438" spans="1:31" x14ac:dyDescent="0.2">
      <c r="A438" s="4"/>
      <c r="B438" s="5"/>
      <c r="C438" s="178"/>
      <c r="D438" s="178"/>
      <c r="E438" s="48"/>
      <c r="F438" s="48"/>
      <c r="G438" s="48"/>
      <c r="H438" s="48"/>
      <c r="I438" s="136"/>
      <c r="J438" s="136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54">
        <f t="shared" si="22"/>
        <v>0</v>
      </c>
      <c r="AD438" s="54">
        <f t="shared" si="22"/>
        <v>0</v>
      </c>
      <c r="AE438" s="2">
        <f t="shared" si="23"/>
        <v>0</v>
      </c>
    </row>
    <row r="439" spans="1:31" x14ac:dyDescent="0.2">
      <c r="A439" s="4"/>
      <c r="B439" s="5"/>
      <c r="C439" s="178"/>
      <c r="D439" s="178"/>
      <c r="E439" s="48"/>
      <c r="F439" s="48"/>
      <c r="G439" s="48"/>
      <c r="H439" s="48"/>
      <c r="I439" s="136"/>
      <c r="J439" s="136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54">
        <f t="shared" si="22"/>
        <v>0</v>
      </c>
      <c r="AD439" s="54">
        <f t="shared" si="22"/>
        <v>0</v>
      </c>
      <c r="AE439" s="2">
        <f t="shared" si="23"/>
        <v>0</v>
      </c>
    </row>
    <row r="440" spans="1:31" x14ac:dyDescent="0.2">
      <c r="A440" s="4"/>
      <c r="B440" s="5"/>
      <c r="C440" s="178"/>
      <c r="D440" s="178"/>
      <c r="E440" s="48"/>
      <c r="F440" s="48"/>
      <c r="G440" s="48"/>
      <c r="H440" s="48"/>
      <c r="I440" s="136"/>
      <c r="J440" s="136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54">
        <f t="shared" si="22"/>
        <v>0</v>
      </c>
      <c r="AD440" s="54">
        <f t="shared" si="22"/>
        <v>0</v>
      </c>
      <c r="AE440" s="2">
        <f t="shared" si="23"/>
        <v>0</v>
      </c>
    </row>
    <row r="441" spans="1:31" x14ac:dyDescent="0.2">
      <c r="A441" s="4"/>
      <c r="B441" s="5"/>
      <c r="C441" s="178"/>
      <c r="D441" s="178"/>
      <c r="E441" s="48"/>
      <c r="F441" s="48"/>
      <c r="G441" s="48"/>
      <c r="H441" s="48"/>
      <c r="I441" s="136"/>
      <c r="J441" s="136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54">
        <f t="shared" si="22"/>
        <v>0</v>
      </c>
      <c r="AD441" s="54">
        <f t="shared" si="22"/>
        <v>0</v>
      </c>
      <c r="AE441" s="2">
        <f t="shared" si="23"/>
        <v>0</v>
      </c>
    </row>
    <row r="442" spans="1:31" x14ac:dyDescent="0.2">
      <c r="A442" s="4"/>
      <c r="B442" s="5"/>
      <c r="C442" s="178"/>
      <c r="D442" s="178"/>
      <c r="E442" s="48"/>
      <c r="F442" s="48"/>
      <c r="G442" s="48"/>
      <c r="H442" s="48"/>
      <c r="I442" s="136"/>
      <c r="J442" s="136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54">
        <f t="shared" ref="AC442:AD450" si="24">+C442-E442-G442-I442-K442-M442-O442-Q442-S442-U442-W442-Y442-AA442</f>
        <v>0</v>
      </c>
      <c r="AD442" s="54">
        <f t="shared" si="24"/>
        <v>0</v>
      </c>
      <c r="AE442" s="2">
        <f t="shared" si="23"/>
        <v>0</v>
      </c>
    </row>
    <row r="443" spans="1:31" x14ac:dyDescent="0.2">
      <c r="A443" s="4"/>
      <c r="B443" s="5"/>
      <c r="C443" s="178"/>
      <c r="D443" s="178"/>
      <c r="E443" s="48"/>
      <c r="F443" s="48"/>
      <c r="G443" s="48"/>
      <c r="H443" s="48"/>
      <c r="I443" s="136"/>
      <c r="J443" s="136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54">
        <f t="shared" si="24"/>
        <v>0</v>
      </c>
      <c r="AD443" s="54">
        <f t="shared" si="24"/>
        <v>0</v>
      </c>
      <c r="AE443" s="2">
        <f t="shared" ref="AE443:AE450" si="25">F443+H443+J443+L443+N443+P443+R443+T443+V443+X443+Z443+AB443</f>
        <v>0</v>
      </c>
    </row>
    <row r="444" spans="1:31" x14ac:dyDescent="0.2">
      <c r="A444" s="4"/>
      <c r="B444" s="5"/>
      <c r="C444" s="178"/>
      <c r="D444" s="178"/>
      <c r="E444" s="48"/>
      <c r="F444" s="48"/>
      <c r="G444" s="48"/>
      <c r="H444" s="48"/>
      <c r="I444" s="136"/>
      <c r="J444" s="136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136"/>
      <c r="Z444" s="136"/>
      <c r="AA444" s="48"/>
      <c r="AB444" s="48"/>
      <c r="AC444" s="54">
        <f t="shared" si="24"/>
        <v>0</v>
      </c>
      <c r="AD444" s="54">
        <f t="shared" si="24"/>
        <v>0</v>
      </c>
      <c r="AE444" s="2">
        <f t="shared" si="25"/>
        <v>0</v>
      </c>
    </row>
    <row r="445" spans="1:31" x14ac:dyDescent="0.2">
      <c r="A445" s="4"/>
      <c r="B445" s="5"/>
      <c r="C445" s="178"/>
      <c r="D445" s="178"/>
      <c r="E445" s="48"/>
      <c r="F445" s="48"/>
      <c r="G445" s="48"/>
      <c r="H445" s="48"/>
      <c r="I445" s="136"/>
      <c r="J445" s="136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136"/>
      <c r="Z445" s="136"/>
      <c r="AA445" s="48"/>
      <c r="AB445" s="48"/>
      <c r="AC445" s="54">
        <f t="shared" si="24"/>
        <v>0</v>
      </c>
      <c r="AD445" s="54">
        <f t="shared" si="24"/>
        <v>0</v>
      </c>
      <c r="AE445" s="2">
        <f t="shared" si="25"/>
        <v>0</v>
      </c>
    </row>
    <row r="446" spans="1:31" x14ac:dyDescent="0.2">
      <c r="A446" s="4"/>
      <c r="B446" s="5"/>
      <c r="C446" s="178"/>
      <c r="D446" s="178"/>
      <c r="E446" s="48"/>
      <c r="F446" s="48"/>
      <c r="G446" s="48"/>
      <c r="H446" s="48"/>
      <c r="I446" s="136"/>
      <c r="J446" s="136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136"/>
      <c r="Z446" s="136"/>
      <c r="AA446" s="48"/>
      <c r="AB446" s="48"/>
      <c r="AC446" s="54">
        <f t="shared" si="24"/>
        <v>0</v>
      </c>
      <c r="AD446" s="54">
        <f t="shared" si="24"/>
        <v>0</v>
      </c>
      <c r="AE446" s="2">
        <f t="shared" si="25"/>
        <v>0</v>
      </c>
    </row>
    <row r="447" spans="1:31" x14ac:dyDescent="0.2">
      <c r="A447" s="4"/>
      <c r="B447" s="5"/>
      <c r="C447" s="178"/>
      <c r="D447" s="178"/>
      <c r="E447" s="48"/>
      <c r="F447" s="48"/>
      <c r="G447" s="48"/>
      <c r="H447" s="48"/>
      <c r="I447" s="136"/>
      <c r="J447" s="136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136"/>
      <c r="Z447" s="136"/>
      <c r="AA447" s="48"/>
      <c r="AB447" s="48"/>
      <c r="AC447" s="54">
        <f t="shared" si="24"/>
        <v>0</v>
      </c>
      <c r="AD447" s="54">
        <f t="shared" si="24"/>
        <v>0</v>
      </c>
      <c r="AE447" s="2">
        <f t="shared" si="25"/>
        <v>0</v>
      </c>
    </row>
    <row r="448" spans="1:31" x14ac:dyDescent="0.2">
      <c r="A448" s="4"/>
      <c r="B448" s="5"/>
      <c r="C448" s="178"/>
      <c r="D448" s="178"/>
      <c r="E448" s="48"/>
      <c r="F448" s="48"/>
      <c r="G448" s="48"/>
      <c r="H448" s="48"/>
      <c r="I448" s="136"/>
      <c r="J448" s="136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136"/>
      <c r="Z448" s="136"/>
      <c r="AA448" s="48"/>
      <c r="AB448" s="48"/>
      <c r="AC448" s="54">
        <f t="shared" si="24"/>
        <v>0</v>
      </c>
      <c r="AD448" s="54">
        <f t="shared" si="24"/>
        <v>0</v>
      </c>
      <c r="AE448" s="2">
        <f t="shared" si="25"/>
        <v>0</v>
      </c>
    </row>
    <row r="449" spans="1:32" x14ac:dyDescent="0.2">
      <c r="A449" s="4"/>
      <c r="B449" s="5"/>
      <c r="C449" s="178"/>
      <c r="D449" s="178"/>
      <c r="E449" s="48"/>
      <c r="F449" s="48"/>
      <c r="G449" s="48"/>
      <c r="H449" s="48"/>
      <c r="I449" s="136"/>
      <c r="J449" s="136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136"/>
      <c r="Z449" s="136"/>
      <c r="AA449" s="48"/>
      <c r="AB449" s="48"/>
      <c r="AC449" s="54">
        <f t="shared" si="24"/>
        <v>0</v>
      </c>
      <c r="AD449" s="54">
        <f t="shared" si="24"/>
        <v>0</v>
      </c>
      <c r="AE449" s="2">
        <f t="shared" si="25"/>
        <v>0</v>
      </c>
    </row>
    <row r="450" spans="1:32" x14ac:dyDescent="0.2">
      <c r="A450" s="4"/>
      <c r="B450" s="5"/>
      <c r="C450" s="178"/>
      <c r="D450" s="178"/>
      <c r="E450" s="48"/>
      <c r="F450" s="48"/>
      <c r="G450" s="48"/>
      <c r="H450" s="48"/>
      <c r="I450" s="136"/>
      <c r="J450" s="136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136"/>
      <c r="AB450" s="136"/>
      <c r="AC450" s="54">
        <f t="shared" si="24"/>
        <v>0</v>
      </c>
      <c r="AD450" s="54">
        <f t="shared" si="24"/>
        <v>0</v>
      </c>
      <c r="AE450" s="2">
        <f t="shared" si="25"/>
        <v>0</v>
      </c>
    </row>
    <row r="451" spans="1:32" x14ac:dyDescent="0.2">
      <c r="A451" s="329" t="s">
        <v>17</v>
      </c>
      <c r="B451" s="330"/>
      <c r="C451" s="12">
        <f>SUM(C314:C450)</f>
        <v>1323795772.4444447</v>
      </c>
      <c r="D451" s="12">
        <f>SUM(D314:D450)</f>
        <v>252763801.77777779</v>
      </c>
      <c r="E451" s="12">
        <f>SUM(E314:E450)</f>
        <v>33505509.72222222</v>
      </c>
      <c r="F451" s="12">
        <f t="shared" ref="F451:AB451" si="26">SUM(F314:F450)</f>
        <v>4333280.583333334</v>
      </c>
      <c r="G451" s="12">
        <f t="shared" si="26"/>
        <v>32240593.055555556</v>
      </c>
      <c r="H451" s="12">
        <f t="shared" si="26"/>
        <v>4423433.3611111119</v>
      </c>
      <c r="I451" s="12">
        <f t="shared" si="26"/>
        <v>33978009.722222224</v>
      </c>
      <c r="J451" s="12">
        <f t="shared" si="26"/>
        <v>4846377.805555556</v>
      </c>
      <c r="K451" s="12">
        <f t="shared" si="26"/>
        <v>30976704.166666664</v>
      </c>
      <c r="L451" s="12">
        <f t="shared" si="26"/>
        <v>4629954.194444445</v>
      </c>
      <c r="M451" s="12">
        <f t="shared" si="26"/>
        <v>30343470.833333328</v>
      </c>
      <c r="N451" s="12">
        <f t="shared" si="26"/>
        <v>4581187.527777778</v>
      </c>
      <c r="O451" s="12">
        <f t="shared" si="26"/>
        <v>35126456.94444444</v>
      </c>
      <c r="P451" s="12">
        <f t="shared" si="26"/>
        <v>5680131.972222222</v>
      </c>
      <c r="Q451" s="12">
        <f t="shared" si="26"/>
        <v>36829540.277777769</v>
      </c>
      <c r="R451" s="12">
        <f t="shared" si="26"/>
        <v>6023056.972222222</v>
      </c>
      <c r="S451" s="12">
        <f t="shared" si="26"/>
        <v>40833456.944444433</v>
      </c>
      <c r="T451" s="12">
        <f t="shared" si="26"/>
        <v>6475015.305555555</v>
      </c>
      <c r="U451" s="12">
        <f t="shared" si="26"/>
        <v>43469679.166666649</v>
      </c>
      <c r="V451" s="12">
        <f t="shared" si="26"/>
        <v>6912647.25</v>
      </c>
      <c r="W451" s="12">
        <f t="shared" si="26"/>
        <v>46013484.722222209</v>
      </c>
      <c r="X451" s="12">
        <f t="shared" si="26"/>
        <v>7369272.25</v>
      </c>
      <c r="Y451" s="12">
        <f t="shared" si="26"/>
        <v>48806404.222222209</v>
      </c>
      <c r="Z451" s="12">
        <f t="shared" si="26"/>
        <v>8144547.194444444</v>
      </c>
      <c r="AA451" s="12">
        <f t="shared" si="26"/>
        <v>49660765.333333321</v>
      </c>
      <c r="AB451" s="12">
        <f t="shared" si="26"/>
        <v>8382373.583333333</v>
      </c>
      <c r="AC451" s="12">
        <f>SUM(AC314:AC450)</f>
        <v>862011697.33333337</v>
      </c>
      <c r="AD451" s="12">
        <f>SUM(AD314:AD450)</f>
        <v>180962523.77777779</v>
      </c>
      <c r="AE451" s="12">
        <f>SUM(AE314:AE450)</f>
        <v>71801278.000000015</v>
      </c>
      <c r="AF451" s="2">
        <f>F451+H451+J451+L451+N451+P451+R451+T451+V451+X451+Z451+AB451</f>
        <v>71801278</v>
      </c>
    </row>
    <row r="452" spans="1:32" x14ac:dyDescent="0.2">
      <c r="A452" s="56"/>
      <c r="B452" s="56"/>
      <c r="C452" s="179"/>
      <c r="D452" s="179" t="s">
        <v>845</v>
      </c>
      <c r="E452" s="327" t="s">
        <v>826</v>
      </c>
      <c r="F452" s="327"/>
      <c r="G452" s="327" t="s">
        <v>826</v>
      </c>
      <c r="H452" s="327"/>
      <c r="I452" s="327" t="s">
        <v>826</v>
      </c>
      <c r="J452" s="327"/>
      <c r="K452" s="327" t="s">
        <v>826</v>
      </c>
      <c r="L452" s="327"/>
      <c r="M452" s="327" t="s">
        <v>826</v>
      </c>
      <c r="N452" s="327"/>
      <c r="O452" s="327" t="s">
        <v>826</v>
      </c>
      <c r="P452" s="327"/>
      <c r="Q452" s="327" t="s">
        <v>826</v>
      </c>
      <c r="R452" s="327"/>
      <c r="S452" s="327" t="s">
        <v>826</v>
      </c>
      <c r="T452" s="327"/>
      <c r="U452" s="327" t="s">
        <v>826</v>
      </c>
      <c r="V452" s="327"/>
      <c r="W452" s="327" t="s">
        <v>826</v>
      </c>
      <c r="X452" s="327"/>
      <c r="Y452" s="327" t="s">
        <v>826</v>
      </c>
      <c r="Z452" s="327"/>
      <c r="AA452" s="327" t="s">
        <v>826</v>
      </c>
      <c r="AB452" s="327"/>
      <c r="AC452" s="179"/>
      <c r="AD452" s="179"/>
      <c r="AE452" s="328" t="s">
        <v>846</v>
      </c>
      <c r="AF452" s="328"/>
    </row>
    <row r="453" spans="1:32" x14ac:dyDescent="0.2">
      <c r="AA453" s="2"/>
      <c r="AB453" s="2"/>
    </row>
    <row r="454" spans="1:32" x14ac:dyDescent="0.2">
      <c r="D454" s="13" t="s">
        <v>847</v>
      </c>
      <c r="G454" s="2">
        <f>E451+G451+I451+K451+M451+O451+Q451+S451+U451+W451+Y451+AA451</f>
        <v>461784075.11111099</v>
      </c>
      <c r="O454" s="2"/>
      <c r="Q454" s="2"/>
      <c r="S454" s="2"/>
      <c r="U454" s="2"/>
      <c r="W454" s="2"/>
      <c r="Y454" s="2"/>
    </row>
    <row r="455" spans="1:32" x14ac:dyDescent="0.2">
      <c r="D455" s="13" t="s">
        <v>848</v>
      </c>
      <c r="G455" s="2">
        <f>F451+H451+J451+L451+N451+P451+R451+T451+V451+X451+Z451+AB451</f>
        <v>71801278</v>
      </c>
      <c r="K455" s="2"/>
      <c r="M455" s="2"/>
      <c r="O455" s="2"/>
      <c r="Q455" s="2"/>
      <c r="S455" s="2"/>
      <c r="U455" s="2"/>
      <c r="W455" s="2"/>
      <c r="Y455" s="2"/>
      <c r="AA455" s="13" t="s">
        <v>547</v>
      </c>
      <c r="AB455" s="174">
        <v>1249550</v>
      </c>
    </row>
    <row r="456" spans="1:32" x14ac:dyDescent="0.2">
      <c r="K456" s="2"/>
      <c r="M456" s="2"/>
      <c r="AA456" s="13" t="s">
        <v>849</v>
      </c>
      <c r="AB456" s="2">
        <f>AC451</f>
        <v>862011697.33333337</v>
      </c>
    </row>
    <row r="457" spans="1:32" x14ac:dyDescent="0.2">
      <c r="D457" t="s">
        <v>850</v>
      </c>
      <c r="E457" s="174">
        <v>855000000</v>
      </c>
    </row>
    <row r="458" spans="1:32" x14ac:dyDescent="0.2">
      <c r="D458" s="13" t="s">
        <v>866</v>
      </c>
      <c r="E458" s="174">
        <f>AB455</f>
        <v>1249550</v>
      </c>
      <c r="G458" s="2"/>
      <c r="I458" s="2"/>
    </row>
    <row r="459" spans="1:32" x14ac:dyDescent="0.2">
      <c r="D459" s="13" t="s">
        <v>546</v>
      </c>
      <c r="E459" s="2">
        <f>AC451</f>
        <v>862011697.33333337</v>
      </c>
      <c r="G459" s="2"/>
      <c r="I459" s="2"/>
    </row>
    <row r="460" spans="1:32" x14ac:dyDescent="0.2">
      <c r="D460" s="13" t="s">
        <v>851</v>
      </c>
      <c r="E460" s="2">
        <f>G455</f>
        <v>71801278</v>
      </c>
    </row>
    <row r="461" spans="1:32" x14ac:dyDescent="0.2">
      <c r="D461" s="13" t="s">
        <v>88</v>
      </c>
      <c r="E461" s="174">
        <v>1580546</v>
      </c>
      <c r="F461" s="2"/>
    </row>
    <row r="462" spans="1:32" x14ac:dyDescent="0.2">
      <c r="D462" s="13" t="s">
        <v>852</v>
      </c>
      <c r="E462" s="174">
        <v>202308</v>
      </c>
    </row>
    <row r="463" spans="1:32" x14ac:dyDescent="0.2">
      <c r="D463" s="13" t="s">
        <v>700</v>
      </c>
      <c r="E463" s="174">
        <v>1525000</v>
      </c>
    </row>
    <row r="464" spans="1:32" x14ac:dyDescent="0.2">
      <c r="D464" s="13" t="s">
        <v>853</v>
      </c>
      <c r="E464" s="174">
        <v>49055</v>
      </c>
    </row>
    <row r="465" spans="4:6" x14ac:dyDescent="0.2">
      <c r="D465" s="13" t="s">
        <v>854</v>
      </c>
      <c r="E465" s="2">
        <f>AD451</f>
        <v>180962523.77777779</v>
      </c>
    </row>
    <row r="466" spans="4:6" x14ac:dyDescent="0.2">
      <c r="D466" s="13" t="s">
        <v>855</v>
      </c>
      <c r="E466" s="2">
        <f>(E464+E463)-(E461+E462)</f>
        <v>-208799</v>
      </c>
    </row>
    <row r="467" spans="4:6" x14ac:dyDescent="0.2">
      <c r="D467" s="13" t="s">
        <v>856</v>
      </c>
      <c r="E467" s="2">
        <f>E460+E466</f>
        <v>71592479</v>
      </c>
      <c r="F467" t="s">
        <v>857</v>
      </c>
    </row>
    <row r="468" spans="4:6" x14ac:dyDescent="0.2">
      <c r="D468" s="13" t="s">
        <v>858</v>
      </c>
      <c r="E468" s="2">
        <f>E459+E465</f>
        <v>1042974221.1111112</v>
      </c>
      <c r="F468" t="s">
        <v>859</v>
      </c>
    </row>
  </sheetData>
  <mergeCells count="108">
    <mergeCell ref="AC8:AD9"/>
    <mergeCell ref="E9:F9"/>
    <mergeCell ref="G9:H9"/>
    <mergeCell ref="I9:J9"/>
    <mergeCell ref="K9:L9"/>
    <mergeCell ref="Y9:Z9"/>
    <mergeCell ref="AA9:AB9"/>
    <mergeCell ref="A18:B18"/>
    <mergeCell ref="A25:A27"/>
    <mergeCell ref="B25:B27"/>
    <mergeCell ref="C25:C27"/>
    <mergeCell ref="D25:D27"/>
    <mergeCell ref="E25:AB25"/>
    <mergeCell ref="W26:X26"/>
    <mergeCell ref="Y26:Z26"/>
    <mergeCell ref="M9:N9"/>
    <mergeCell ref="O9:P9"/>
    <mergeCell ref="Q9:R9"/>
    <mergeCell ref="S9:T9"/>
    <mergeCell ref="U9:V9"/>
    <mergeCell ref="W9:X9"/>
    <mergeCell ref="A8:A10"/>
    <mergeCell ref="B8:B10"/>
    <mergeCell ref="C8:C10"/>
    <mergeCell ref="D8:D10"/>
    <mergeCell ref="E8:AB8"/>
    <mergeCell ref="AC25:A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AA26:AB26"/>
    <mergeCell ref="A62:B62"/>
    <mergeCell ref="A76:A78"/>
    <mergeCell ref="B76:B78"/>
    <mergeCell ref="C76:C78"/>
    <mergeCell ref="D76:D78"/>
    <mergeCell ref="E76:AB76"/>
    <mergeCell ref="W77:X77"/>
    <mergeCell ref="Y77:Z77"/>
    <mergeCell ref="AA77:AB77"/>
    <mergeCell ref="AC76:AD77"/>
    <mergeCell ref="E77:F77"/>
    <mergeCell ref="G77:H77"/>
    <mergeCell ref="I77:J77"/>
    <mergeCell ref="K77:L77"/>
    <mergeCell ref="M77:N77"/>
    <mergeCell ref="O77:P77"/>
    <mergeCell ref="Q77:R77"/>
    <mergeCell ref="S77:T77"/>
    <mergeCell ref="U77:V77"/>
    <mergeCell ref="A165:B165"/>
    <mergeCell ref="A180:A182"/>
    <mergeCell ref="B180:B182"/>
    <mergeCell ref="C180:C182"/>
    <mergeCell ref="D180:D182"/>
    <mergeCell ref="E180:AB180"/>
    <mergeCell ref="W181:X181"/>
    <mergeCell ref="Y181:Z181"/>
    <mergeCell ref="AA181:AB181"/>
    <mergeCell ref="AC180:AD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V181"/>
    <mergeCell ref="A295:B295"/>
    <mergeCell ref="A311:A313"/>
    <mergeCell ref="B311:B313"/>
    <mergeCell ref="C311:C313"/>
    <mergeCell ref="D311:D313"/>
    <mergeCell ref="E311:AB311"/>
    <mergeCell ref="W312:X312"/>
    <mergeCell ref="Y312:Z312"/>
    <mergeCell ref="AA312:AB312"/>
    <mergeCell ref="AC311:AD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V312"/>
    <mergeCell ref="AA452:AB452"/>
    <mergeCell ref="AE452:AF452"/>
    <mergeCell ref="O452:P452"/>
    <mergeCell ref="Q452:R452"/>
    <mergeCell ref="S452:T452"/>
    <mergeCell ref="U452:V452"/>
    <mergeCell ref="W452:X452"/>
    <mergeCell ref="Y452:Z452"/>
    <mergeCell ref="A451:B451"/>
    <mergeCell ref="E452:F452"/>
    <mergeCell ref="G452:H452"/>
    <mergeCell ref="I452:J452"/>
    <mergeCell ref="K452:L452"/>
    <mergeCell ref="M452:N452"/>
  </mergeCells>
  <conditionalFormatting sqref="B1:B1048576">
    <cfRule type="cellIs" dxfId="2" priority="1" stopIfTrue="1" operator="equal">
      <formula>"Januar Muharna"</formula>
    </cfRule>
    <cfRule type="cellIs" dxfId="1" priority="2" stopIfTrue="1" operator="equal">
      <formula>"JAnuar"</formula>
    </cfRule>
  </conditionalFormatting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30EE1-21F6-4ABE-A52A-C0F6CBECB4B6}">
  <dimension ref="A1:M176"/>
  <sheetViews>
    <sheetView zoomScaleNormal="100" workbookViewId="0">
      <selection activeCell="F177" sqref="F177"/>
    </sheetView>
  </sheetViews>
  <sheetFormatPr defaultRowHeight="12.75" x14ac:dyDescent="0.2"/>
  <cols>
    <col min="1" max="1" width="9.140625" bestFit="1" customWidth="1"/>
    <col min="2" max="2" width="30.7109375" bestFit="1" customWidth="1"/>
    <col min="3" max="3" width="14.7109375" bestFit="1" customWidth="1"/>
    <col min="4" max="4" width="13.7109375" bestFit="1" customWidth="1"/>
    <col min="5" max="5" width="20.28515625" bestFit="1" customWidth="1"/>
    <col min="6" max="7" width="20.28515625" customWidth="1"/>
    <col min="8" max="8" width="9" bestFit="1" customWidth="1"/>
    <col min="9" max="9" width="5.7109375" bestFit="1" customWidth="1"/>
    <col min="11" max="11" width="9" bestFit="1" customWidth="1"/>
    <col min="12" max="12" width="30.7109375" bestFit="1" customWidth="1"/>
  </cols>
  <sheetData>
    <row r="1" spans="1:13" s="138" customFormat="1" x14ac:dyDescent="0.2">
      <c r="A1" s="138" t="s">
        <v>124</v>
      </c>
      <c r="B1" s="138" t="s">
        <v>125</v>
      </c>
      <c r="C1" s="138" t="s">
        <v>798</v>
      </c>
      <c r="D1" s="138" t="s">
        <v>799</v>
      </c>
      <c r="E1" s="138" t="s">
        <v>1384</v>
      </c>
    </row>
    <row r="2" spans="1:13" x14ac:dyDescent="0.2">
      <c r="A2">
        <v>34000004</v>
      </c>
      <c r="B2" t="s">
        <v>147</v>
      </c>
      <c r="C2" s="2">
        <v>0</v>
      </c>
      <c r="D2" s="3">
        <v>1200000</v>
      </c>
      <c r="E2" s="2">
        <f>SUM(C2:D2)</f>
        <v>1200000</v>
      </c>
      <c r="F2" s="2">
        <v>1200000</v>
      </c>
      <c r="G2" s="2" t="b">
        <f>D2=F2</f>
        <v>1</v>
      </c>
      <c r="H2">
        <f>VLOOKUP(A2,'Distribusi SHU'!C:C,1,0)</f>
        <v>34000004</v>
      </c>
      <c r="I2" t="b">
        <f>A2=H2</f>
        <v>1</v>
      </c>
      <c r="K2" s="1">
        <v>34000484</v>
      </c>
      <c r="L2" s="1" t="s">
        <v>129</v>
      </c>
      <c r="M2">
        <f>VLOOKUP(K2,'Distribusi SHU'!C:I,7,0)</f>
        <v>1410000</v>
      </c>
    </row>
    <row r="3" spans="1:13" x14ac:dyDescent="0.2">
      <c r="A3">
        <v>34000009</v>
      </c>
      <c r="B3" t="s">
        <v>395</v>
      </c>
      <c r="C3" s="2">
        <v>0</v>
      </c>
      <c r="D3" s="3">
        <v>1680000</v>
      </c>
      <c r="E3" s="2">
        <f t="shared" ref="E3:E66" si="0">SUM(C3:D3)</f>
        <v>1680000</v>
      </c>
      <c r="F3" s="2">
        <v>1680000</v>
      </c>
      <c r="G3" s="2" t="b">
        <f t="shared" ref="G3:G66" si="1">D3=F3</f>
        <v>1</v>
      </c>
      <c r="H3">
        <f>VLOOKUP(A3,'Distribusi SHU'!C:C,1,0)</f>
        <v>34000009</v>
      </c>
      <c r="I3" t="b">
        <f t="shared" ref="I3:I66" si="2">A3=H3</f>
        <v>1</v>
      </c>
      <c r="K3" s="1">
        <v>34000653</v>
      </c>
      <c r="L3" s="1" t="s">
        <v>131</v>
      </c>
      <c r="M3">
        <f>VLOOKUP(K3,'Distribusi SHU'!C:I,7,0)</f>
        <v>1920000</v>
      </c>
    </row>
    <row r="4" spans="1:13" x14ac:dyDescent="0.2">
      <c r="A4">
        <v>34000012</v>
      </c>
      <c r="B4" t="s">
        <v>353</v>
      </c>
      <c r="C4" s="2">
        <v>0</v>
      </c>
      <c r="D4" s="3">
        <v>746666.66666666663</v>
      </c>
      <c r="E4" s="2">
        <f t="shared" si="0"/>
        <v>746666.66666666663</v>
      </c>
      <c r="F4" s="2">
        <v>746666.66666666663</v>
      </c>
      <c r="G4" s="2" t="b">
        <f t="shared" si="1"/>
        <v>1</v>
      </c>
      <c r="H4">
        <f>VLOOKUP(A4,'Distribusi SHU'!C:C,1,0)</f>
        <v>34000012</v>
      </c>
      <c r="I4" t="b">
        <f t="shared" si="2"/>
        <v>1</v>
      </c>
      <c r="K4" s="1">
        <v>34000570</v>
      </c>
      <c r="L4" s="1" t="s">
        <v>135</v>
      </c>
      <c r="M4">
        <f>VLOOKUP(K4,'Distribusi SHU'!C:I,7,0)</f>
        <v>1116000</v>
      </c>
    </row>
    <row r="5" spans="1:13" x14ac:dyDescent="0.2">
      <c r="A5">
        <v>34000027</v>
      </c>
      <c r="B5" t="s">
        <v>323</v>
      </c>
      <c r="C5" s="2">
        <v>0</v>
      </c>
      <c r="D5" s="3">
        <v>1050000</v>
      </c>
      <c r="E5" s="2">
        <f t="shared" si="0"/>
        <v>1050000</v>
      </c>
      <c r="F5" s="2">
        <v>1050000</v>
      </c>
      <c r="G5" s="2" t="b">
        <f t="shared" si="1"/>
        <v>1</v>
      </c>
      <c r="H5">
        <f>VLOOKUP(A5,'Distribusi SHU'!C:C,1,0)</f>
        <v>34000027</v>
      </c>
      <c r="I5" t="b">
        <f t="shared" si="2"/>
        <v>1</v>
      </c>
      <c r="K5" s="1">
        <v>34000203</v>
      </c>
      <c r="L5" s="1" t="s">
        <v>140</v>
      </c>
      <c r="M5">
        <f>VLOOKUP(K5,'Distribusi SHU'!C:I,7,0)</f>
        <v>1035000</v>
      </c>
    </row>
    <row r="6" spans="1:13" x14ac:dyDescent="0.2">
      <c r="A6">
        <v>34000049</v>
      </c>
      <c r="B6" t="s">
        <v>585</v>
      </c>
      <c r="C6" s="2">
        <v>0</v>
      </c>
      <c r="D6" s="3">
        <v>1050000</v>
      </c>
      <c r="E6" s="2">
        <f t="shared" si="0"/>
        <v>1050000</v>
      </c>
      <c r="F6" s="2">
        <v>1050000</v>
      </c>
      <c r="G6" s="2" t="b">
        <f t="shared" si="1"/>
        <v>1</v>
      </c>
      <c r="H6">
        <f>VLOOKUP(A6,'Distribusi SHU'!C:C,1,0)</f>
        <v>34000049</v>
      </c>
      <c r="I6" t="b">
        <f t="shared" si="2"/>
        <v>1</v>
      </c>
      <c r="K6" s="1">
        <v>34000004</v>
      </c>
      <c r="L6" s="1" t="s">
        <v>147</v>
      </c>
      <c r="M6">
        <f>VLOOKUP(K6,'Distribusi SHU'!C:I,7,0)</f>
        <v>1200000</v>
      </c>
    </row>
    <row r="7" spans="1:13" x14ac:dyDescent="0.2">
      <c r="A7">
        <v>34000050</v>
      </c>
      <c r="B7" t="s">
        <v>284</v>
      </c>
      <c r="C7" s="2">
        <v>0</v>
      </c>
      <c r="D7" s="3">
        <v>1050000</v>
      </c>
      <c r="E7" s="2">
        <f t="shared" si="0"/>
        <v>1050000</v>
      </c>
      <c r="F7" s="2">
        <v>1050000</v>
      </c>
      <c r="G7" s="2" t="b">
        <f t="shared" si="1"/>
        <v>1</v>
      </c>
      <c r="H7">
        <f>VLOOKUP(A7,'Distribusi SHU'!C:C,1,0)</f>
        <v>34000050</v>
      </c>
      <c r="I7" t="b">
        <f t="shared" si="2"/>
        <v>1</v>
      </c>
      <c r="K7" s="1">
        <v>34000692</v>
      </c>
      <c r="L7" s="1" t="s">
        <v>155</v>
      </c>
      <c r="M7">
        <f>VLOOKUP(K7,'Distribusi SHU'!C:I,7,0)</f>
        <v>2210000.0000000005</v>
      </c>
    </row>
    <row r="8" spans="1:13" x14ac:dyDescent="0.2">
      <c r="A8">
        <v>34000060</v>
      </c>
      <c r="B8" t="s">
        <v>194</v>
      </c>
      <c r="C8" s="2">
        <v>0</v>
      </c>
      <c r="D8" s="3">
        <v>2247500</v>
      </c>
      <c r="E8" s="2">
        <f t="shared" si="0"/>
        <v>2247500</v>
      </c>
      <c r="F8" s="2">
        <v>2247500</v>
      </c>
      <c r="G8" s="2" t="b">
        <f t="shared" si="1"/>
        <v>1</v>
      </c>
      <c r="H8">
        <f>VLOOKUP(A8,'Distribusi SHU'!C:C,1,0)</f>
        <v>34000060</v>
      </c>
      <c r="I8" t="b">
        <f t="shared" si="2"/>
        <v>1</v>
      </c>
      <c r="K8" s="1">
        <v>34000514</v>
      </c>
      <c r="L8" s="1" t="s">
        <v>694</v>
      </c>
      <c r="M8">
        <f>VLOOKUP(K8,'Distribusi SHU'!C:I,7,0)</f>
        <v>1530000</v>
      </c>
    </row>
    <row r="9" spans="1:13" x14ac:dyDescent="0.2">
      <c r="A9">
        <v>34000067</v>
      </c>
      <c r="B9" t="s">
        <v>1380</v>
      </c>
      <c r="C9" s="2">
        <v>0</v>
      </c>
      <c r="D9" s="3">
        <v>840000</v>
      </c>
      <c r="E9" s="2">
        <f t="shared" si="0"/>
        <v>840000</v>
      </c>
      <c r="F9" s="2">
        <v>840000</v>
      </c>
      <c r="G9" s="2" t="b">
        <f t="shared" si="1"/>
        <v>1</v>
      </c>
      <c r="H9">
        <f>VLOOKUP(A9,'Distribusi SHU'!C:C,1,0)</f>
        <v>34000067</v>
      </c>
      <c r="I9" t="b">
        <f t="shared" si="2"/>
        <v>1</v>
      </c>
      <c r="K9" s="1">
        <v>34000510</v>
      </c>
      <c r="L9" s="1" t="s">
        <v>160</v>
      </c>
      <c r="M9">
        <f>VLOOKUP(K9,'Distribusi SHU'!C:I,7,0)</f>
        <v>888000</v>
      </c>
    </row>
    <row r="10" spans="1:13" x14ac:dyDescent="0.2">
      <c r="A10">
        <v>34000074</v>
      </c>
      <c r="B10" t="s">
        <v>1235</v>
      </c>
      <c r="C10" s="2">
        <v>0</v>
      </c>
      <c r="D10" s="3">
        <v>594000</v>
      </c>
      <c r="E10" s="2">
        <f t="shared" si="0"/>
        <v>594000</v>
      </c>
      <c r="F10" s="2">
        <v>594000</v>
      </c>
      <c r="G10" s="2" t="b">
        <f t="shared" si="1"/>
        <v>1</v>
      </c>
      <c r="H10">
        <f>VLOOKUP(A10,'Distribusi SHU'!C:C,1,0)</f>
        <v>34000074</v>
      </c>
      <c r="I10" t="b">
        <f t="shared" si="2"/>
        <v>1</v>
      </c>
      <c r="K10" s="1">
        <v>34000469</v>
      </c>
      <c r="L10" s="1" t="s">
        <v>162</v>
      </c>
      <c r="M10">
        <f>VLOOKUP(K10,'Distribusi SHU'!C:I,7,0)</f>
        <v>1050000</v>
      </c>
    </row>
    <row r="11" spans="1:13" x14ac:dyDescent="0.2">
      <c r="A11">
        <v>34000077</v>
      </c>
      <c r="B11" t="s">
        <v>349</v>
      </c>
      <c r="C11" s="2">
        <v>0</v>
      </c>
      <c r="D11" s="3">
        <v>1050000</v>
      </c>
      <c r="E11" s="2">
        <f t="shared" si="0"/>
        <v>1050000</v>
      </c>
      <c r="F11" s="2">
        <v>1050000</v>
      </c>
      <c r="G11" s="2" t="b">
        <f t="shared" si="1"/>
        <v>1</v>
      </c>
      <c r="H11">
        <f>VLOOKUP(A11,'Distribusi SHU'!C:C,1,0)</f>
        <v>34000077</v>
      </c>
      <c r="I11" t="b">
        <f t="shared" si="2"/>
        <v>1</v>
      </c>
      <c r="K11" s="1">
        <v>34000346</v>
      </c>
      <c r="L11" s="1" t="s">
        <v>166</v>
      </c>
      <c r="M11">
        <f>VLOOKUP(K11,'Distribusi SHU'!C:I,7,0)</f>
        <v>1145833.3333333333</v>
      </c>
    </row>
    <row r="12" spans="1:13" x14ac:dyDescent="0.2">
      <c r="A12">
        <v>34000094</v>
      </c>
      <c r="B12" t="s">
        <v>773</v>
      </c>
      <c r="C12" s="2">
        <v>0</v>
      </c>
      <c r="D12" s="3">
        <v>1244166.6666666665</v>
      </c>
      <c r="E12" s="2">
        <f t="shared" si="0"/>
        <v>1244166.6666666665</v>
      </c>
      <c r="F12" s="2">
        <v>1244166.6666666665</v>
      </c>
      <c r="G12" s="2" t="b">
        <f t="shared" si="1"/>
        <v>1</v>
      </c>
      <c r="H12">
        <f>VLOOKUP(A12,'Distribusi SHU'!C:C,1,0)</f>
        <v>34000094</v>
      </c>
      <c r="I12" t="b">
        <f t="shared" si="2"/>
        <v>1</v>
      </c>
      <c r="K12" s="1">
        <v>34000320</v>
      </c>
      <c r="L12" s="1" t="s">
        <v>168</v>
      </c>
      <c r="M12">
        <f>VLOOKUP(K12,'Distribusi SHU'!C:I,7,0)</f>
        <v>1350000</v>
      </c>
    </row>
    <row r="13" spans="1:13" x14ac:dyDescent="0.2">
      <c r="A13">
        <v>34000096</v>
      </c>
      <c r="B13" t="s">
        <v>576</v>
      </c>
      <c r="C13" s="2">
        <v>0</v>
      </c>
      <c r="D13" s="3">
        <v>1420000</v>
      </c>
      <c r="E13" s="2">
        <f t="shared" si="0"/>
        <v>1420000</v>
      </c>
      <c r="F13" s="2">
        <v>1420000</v>
      </c>
      <c r="G13" s="2" t="b">
        <f t="shared" si="1"/>
        <v>1</v>
      </c>
      <c r="H13">
        <f>VLOOKUP(A13,'Distribusi SHU'!C:C,1,0)</f>
        <v>34000096</v>
      </c>
      <c r="I13" t="b">
        <f t="shared" si="2"/>
        <v>1</v>
      </c>
      <c r="K13" s="1">
        <v>34000625</v>
      </c>
      <c r="L13" s="1" t="s">
        <v>172</v>
      </c>
      <c r="M13">
        <f>VLOOKUP(K13,'Distribusi SHU'!C:I,7,0)</f>
        <v>1050000</v>
      </c>
    </row>
    <row r="14" spans="1:13" x14ac:dyDescent="0.2">
      <c r="A14">
        <v>34000100</v>
      </c>
      <c r="B14" t="s">
        <v>244</v>
      </c>
      <c r="C14" s="2">
        <v>0</v>
      </c>
      <c r="D14" s="3">
        <v>1290000</v>
      </c>
      <c r="E14" s="2">
        <f t="shared" si="0"/>
        <v>1290000</v>
      </c>
      <c r="F14" s="2">
        <v>1290000</v>
      </c>
      <c r="G14" s="2" t="b">
        <f t="shared" si="1"/>
        <v>1</v>
      </c>
      <c r="H14">
        <f>VLOOKUP(A14,'Distribusi SHU'!C:C,1,0)</f>
        <v>34000100</v>
      </c>
      <c r="I14" t="b">
        <f t="shared" si="2"/>
        <v>1</v>
      </c>
      <c r="K14" s="1">
        <v>34000313</v>
      </c>
      <c r="L14" s="1" t="s">
        <v>176</v>
      </c>
      <c r="M14">
        <f>VLOOKUP(K14,'Distribusi SHU'!C:I,7,0)</f>
        <v>2267500</v>
      </c>
    </row>
    <row r="15" spans="1:13" x14ac:dyDescent="0.2">
      <c r="A15">
        <v>34000101</v>
      </c>
      <c r="B15" t="s">
        <v>687</v>
      </c>
      <c r="C15" s="2">
        <v>0</v>
      </c>
      <c r="D15" s="3">
        <v>2130000</v>
      </c>
      <c r="E15" s="2">
        <f t="shared" si="0"/>
        <v>2130000</v>
      </c>
      <c r="F15" s="2">
        <v>2130000</v>
      </c>
      <c r="G15" s="2" t="b">
        <f t="shared" si="1"/>
        <v>1</v>
      </c>
      <c r="H15">
        <f>VLOOKUP(A15,'Distribusi SHU'!C:C,1,0)</f>
        <v>34000101</v>
      </c>
      <c r="I15" t="b">
        <f t="shared" si="2"/>
        <v>1</v>
      </c>
      <c r="K15" s="1">
        <v>34000405</v>
      </c>
      <c r="L15" s="1" t="s">
        <v>178</v>
      </c>
      <c r="M15">
        <f>VLOOKUP(K15,'Distribusi SHU'!C:I,7,0)</f>
        <v>112000</v>
      </c>
    </row>
    <row r="16" spans="1:13" x14ac:dyDescent="0.2">
      <c r="A16">
        <v>34000106</v>
      </c>
      <c r="B16" t="s">
        <v>472</v>
      </c>
      <c r="C16" s="2">
        <v>0</v>
      </c>
      <c r="D16" s="3">
        <v>2090000.0000000005</v>
      </c>
      <c r="E16" s="2">
        <f t="shared" si="0"/>
        <v>2090000.0000000005</v>
      </c>
      <c r="F16" s="2">
        <v>2090000.0000000005</v>
      </c>
      <c r="G16" s="2" t="b">
        <f t="shared" si="1"/>
        <v>1</v>
      </c>
      <c r="H16">
        <f>VLOOKUP(A16,'Distribusi SHU'!C:C,1,0)</f>
        <v>34000106</v>
      </c>
      <c r="I16" t="b">
        <f t="shared" si="2"/>
        <v>1</v>
      </c>
      <c r="K16" s="1">
        <v>34000148</v>
      </c>
      <c r="L16" s="1" t="s">
        <v>182</v>
      </c>
      <c r="M16">
        <f>VLOOKUP(K16,'Distribusi SHU'!C:I,7,0)</f>
        <v>416666.66666666669</v>
      </c>
    </row>
    <row r="17" spans="1:13" x14ac:dyDescent="0.2">
      <c r="A17">
        <v>34000115</v>
      </c>
      <c r="B17" t="s">
        <v>274</v>
      </c>
      <c r="C17" s="2">
        <v>0</v>
      </c>
      <c r="D17" s="3">
        <v>1200833.3333333333</v>
      </c>
      <c r="E17" s="2">
        <f t="shared" si="0"/>
        <v>1200833.3333333333</v>
      </c>
      <c r="F17" s="2">
        <v>1200833.3333333333</v>
      </c>
      <c r="G17" s="2" t="b">
        <f t="shared" si="1"/>
        <v>1</v>
      </c>
      <c r="H17">
        <f>VLOOKUP(A17,'Distribusi SHU'!C:C,1,0)</f>
        <v>34000115</v>
      </c>
      <c r="I17" t="b">
        <f t="shared" si="2"/>
        <v>1</v>
      </c>
      <c r="K17" s="1">
        <v>34000370</v>
      </c>
      <c r="L17" s="1" t="s">
        <v>184</v>
      </c>
      <c r="M17">
        <f>VLOOKUP(K17,'Distribusi SHU'!C:I,7,0)</f>
        <v>1455000</v>
      </c>
    </row>
    <row r="18" spans="1:13" x14ac:dyDescent="0.2">
      <c r="A18">
        <v>34000116</v>
      </c>
      <c r="B18" t="s">
        <v>321</v>
      </c>
      <c r="C18" s="2">
        <v>0</v>
      </c>
      <c r="D18" s="3">
        <v>917333.33333333326</v>
      </c>
      <c r="E18" s="2">
        <f t="shared" si="0"/>
        <v>917333.33333333326</v>
      </c>
      <c r="F18" s="2">
        <v>917333.33333333326</v>
      </c>
      <c r="G18" s="2" t="b">
        <f t="shared" si="1"/>
        <v>1</v>
      </c>
      <c r="H18">
        <f>VLOOKUP(A18,'Distribusi SHU'!C:C,1,0)</f>
        <v>34000116</v>
      </c>
      <c r="I18" t="b">
        <f t="shared" si="2"/>
        <v>1</v>
      </c>
      <c r="K18" s="1">
        <v>34000517</v>
      </c>
      <c r="L18" s="1" t="s">
        <v>186</v>
      </c>
      <c r="M18">
        <f>VLOOKUP(K18,'Distribusi SHU'!C:I,7,0)</f>
        <v>612500</v>
      </c>
    </row>
    <row r="19" spans="1:13" x14ac:dyDescent="0.2">
      <c r="A19">
        <v>34000118</v>
      </c>
      <c r="B19" t="s">
        <v>476</v>
      </c>
      <c r="C19" s="2">
        <v>0</v>
      </c>
      <c r="D19" s="3">
        <v>2295333.3333333335</v>
      </c>
      <c r="E19" s="2">
        <f t="shared" si="0"/>
        <v>2295333.3333333335</v>
      </c>
      <c r="F19" s="2">
        <v>2295333.3333333335</v>
      </c>
      <c r="G19" s="2" t="b">
        <f t="shared" si="1"/>
        <v>1</v>
      </c>
      <c r="H19">
        <f>VLOOKUP(A19,'Distribusi SHU'!C:C,1,0)</f>
        <v>34000118</v>
      </c>
      <c r="I19" t="b">
        <f t="shared" si="2"/>
        <v>1</v>
      </c>
      <c r="K19" s="1">
        <v>34000270</v>
      </c>
      <c r="L19" s="1" t="s">
        <v>188</v>
      </c>
      <c r="M19">
        <f>VLOOKUP(K19,'Distribusi SHU'!C:I,7,0)</f>
        <v>1620000</v>
      </c>
    </row>
    <row r="20" spans="1:13" x14ac:dyDescent="0.2">
      <c r="A20">
        <v>34000119</v>
      </c>
      <c r="B20" t="s">
        <v>300</v>
      </c>
      <c r="C20" s="2">
        <v>0</v>
      </c>
      <c r="D20" s="3">
        <v>2182500</v>
      </c>
      <c r="E20" s="2">
        <f t="shared" si="0"/>
        <v>2182500</v>
      </c>
      <c r="F20" s="2">
        <v>2182500</v>
      </c>
      <c r="G20" s="2" t="b">
        <f t="shared" si="1"/>
        <v>1</v>
      </c>
      <c r="H20">
        <f>VLOOKUP(A20,'Distribusi SHU'!C:C,1,0)</f>
        <v>34000119</v>
      </c>
      <c r="I20" t="b">
        <f t="shared" si="2"/>
        <v>1</v>
      </c>
      <c r="K20" s="1">
        <v>34000691</v>
      </c>
      <c r="L20" s="1" t="s">
        <v>190</v>
      </c>
      <c r="M20">
        <f>VLOOKUP(K20,'Distribusi SHU'!C:I,7,0)</f>
        <v>350000</v>
      </c>
    </row>
    <row r="21" spans="1:13" x14ac:dyDescent="0.2">
      <c r="A21">
        <v>34000124</v>
      </c>
      <c r="B21" t="s">
        <v>276</v>
      </c>
      <c r="C21" s="2">
        <v>0</v>
      </c>
      <c r="D21" s="3">
        <v>1200833.3333333333</v>
      </c>
      <c r="E21" s="2">
        <f t="shared" si="0"/>
        <v>1200833.3333333333</v>
      </c>
      <c r="F21" s="2">
        <v>1200833.3333333333</v>
      </c>
      <c r="G21" s="2" t="b">
        <f t="shared" si="1"/>
        <v>1</v>
      </c>
      <c r="H21">
        <f>VLOOKUP(A21,'Distribusi SHU'!C:C,1,0)</f>
        <v>34000124</v>
      </c>
      <c r="I21" t="b">
        <f t="shared" si="2"/>
        <v>1</v>
      </c>
      <c r="K21" s="1">
        <v>34000173</v>
      </c>
      <c r="L21" s="1" t="s">
        <v>192</v>
      </c>
      <c r="M21">
        <f>VLOOKUP(K21,'Distribusi SHU'!C:I,7,0)</f>
        <v>1620000</v>
      </c>
    </row>
    <row r="22" spans="1:13" x14ac:dyDescent="0.2">
      <c r="A22">
        <v>34000125</v>
      </c>
      <c r="B22" t="s">
        <v>603</v>
      </c>
      <c r="C22" s="2">
        <v>0</v>
      </c>
      <c r="D22" s="3">
        <v>2254166.666666667</v>
      </c>
      <c r="E22" s="2">
        <f t="shared" si="0"/>
        <v>2254166.666666667</v>
      </c>
      <c r="F22" s="2">
        <v>2254166.666666667</v>
      </c>
      <c r="G22" s="2" t="b">
        <f t="shared" si="1"/>
        <v>1</v>
      </c>
      <c r="H22">
        <f>VLOOKUP(A22,'Distribusi SHU'!C:C,1,0)</f>
        <v>34000125</v>
      </c>
      <c r="I22" t="b">
        <f t="shared" si="2"/>
        <v>1</v>
      </c>
      <c r="K22" s="1">
        <v>34000060</v>
      </c>
      <c r="L22" s="1" t="s">
        <v>194</v>
      </c>
      <c r="M22">
        <f>VLOOKUP(K22,'Distribusi SHU'!C:I,7,0)</f>
        <v>2247500</v>
      </c>
    </row>
    <row r="23" spans="1:13" x14ac:dyDescent="0.2">
      <c r="A23">
        <v>34000128</v>
      </c>
      <c r="B23" t="s">
        <v>578</v>
      </c>
      <c r="C23" s="2">
        <v>0</v>
      </c>
      <c r="D23" s="3">
        <v>787500</v>
      </c>
      <c r="E23" s="2">
        <f t="shared" si="0"/>
        <v>787500</v>
      </c>
      <c r="F23" s="2">
        <v>787500</v>
      </c>
      <c r="G23" s="2" t="b">
        <f t="shared" si="1"/>
        <v>1</v>
      </c>
      <c r="H23">
        <f>VLOOKUP(A23,'Distribusi SHU'!C:C,1,0)</f>
        <v>34000128</v>
      </c>
      <c r="I23" t="b">
        <f t="shared" si="2"/>
        <v>1</v>
      </c>
      <c r="K23" s="1">
        <v>34000283</v>
      </c>
      <c r="L23" s="1" t="s">
        <v>196</v>
      </c>
      <c r="M23">
        <f>VLOOKUP(K23,'Distribusi SHU'!C:I,7,0)</f>
        <v>1050000</v>
      </c>
    </row>
    <row r="24" spans="1:13" x14ac:dyDescent="0.2">
      <c r="A24">
        <v>34000129</v>
      </c>
      <c r="B24" t="s">
        <v>564</v>
      </c>
      <c r="C24" s="2">
        <v>0</v>
      </c>
      <c r="D24" s="3">
        <v>240000</v>
      </c>
      <c r="E24" s="2">
        <f t="shared" si="0"/>
        <v>240000</v>
      </c>
      <c r="F24" s="2">
        <v>240000</v>
      </c>
      <c r="G24" s="2" t="b">
        <f t="shared" si="1"/>
        <v>1</v>
      </c>
      <c r="H24">
        <f>VLOOKUP(A24,'Distribusi SHU'!C:C,1,0)</f>
        <v>34000129</v>
      </c>
      <c r="I24" t="b">
        <f t="shared" si="2"/>
        <v>1</v>
      </c>
      <c r="K24" s="1">
        <v>34000502</v>
      </c>
      <c r="L24" s="1" t="s">
        <v>198</v>
      </c>
      <c r="M24">
        <f>VLOOKUP(K24,'Distribusi SHU'!C:I,7,0)</f>
        <v>1050000</v>
      </c>
    </row>
    <row r="25" spans="1:13" x14ac:dyDescent="0.2">
      <c r="A25">
        <v>34000132</v>
      </c>
      <c r="B25" t="s">
        <v>599</v>
      </c>
      <c r="C25" s="2">
        <v>0</v>
      </c>
      <c r="D25" s="3">
        <v>2280000</v>
      </c>
      <c r="E25" s="2">
        <f t="shared" si="0"/>
        <v>2280000</v>
      </c>
      <c r="F25" s="2">
        <v>2280000</v>
      </c>
      <c r="G25" s="2" t="b">
        <f t="shared" si="1"/>
        <v>1</v>
      </c>
      <c r="H25">
        <f>VLOOKUP(A25,'Distribusi SHU'!C:C,1,0)</f>
        <v>34000132</v>
      </c>
      <c r="I25" t="b">
        <f t="shared" si="2"/>
        <v>1</v>
      </c>
      <c r="K25" s="1">
        <v>34000142</v>
      </c>
      <c r="L25" s="1" t="s">
        <v>182</v>
      </c>
      <c r="M25">
        <f>VLOOKUP(K25,'Distribusi SHU'!C:I,7,0)</f>
        <v>1050000</v>
      </c>
    </row>
    <row r="26" spans="1:13" x14ac:dyDescent="0.2">
      <c r="A26">
        <v>34000142</v>
      </c>
      <c r="B26" t="s">
        <v>182</v>
      </c>
      <c r="C26" s="2">
        <v>0</v>
      </c>
      <c r="D26" s="3">
        <v>1050000</v>
      </c>
      <c r="E26" s="2">
        <f t="shared" si="0"/>
        <v>1050000</v>
      </c>
      <c r="F26" s="2">
        <v>1050000</v>
      </c>
      <c r="G26" s="2" t="b">
        <f t="shared" si="1"/>
        <v>1</v>
      </c>
      <c r="H26">
        <f>VLOOKUP(A26,'Distribusi SHU'!C:C,1,0)</f>
        <v>34000142</v>
      </c>
      <c r="I26" t="b">
        <f t="shared" si="2"/>
        <v>1</v>
      </c>
      <c r="K26" s="1">
        <v>34000526</v>
      </c>
      <c r="L26" s="1" t="s">
        <v>206</v>
      </c>
      <c r="M26">
        <f>VLOOKUP(K26,'Distribusi SHU'!C:I,7,0)</f>
        <v>240000</v>
      </c>
    </row>
    <row r="27" spans="1:13" x14ac:dyDescent="0.2">
      <c r="A27">
        <v>34000143</v>
      </c>
      <c r="B27" t="s">
        <v>751</v>
      </c>
      <c r="C27" s="2">
        <v>0</v>
      </c>
      <c r="D27" s="3">
        <v>1920000</v>
      </c>
      <c r="E27" s="2">
        <f t="shared" si="0"/>
        <v>1920000</v>
      </c>
      <c r="F27" s="2">
        <v>1920000</v>
      </c>
      <c r="G27" s="2" t="b">
        <f t="shared" si="1"/>
        <v>1</v>
      </c>
      <c r="H27">
        <f>VLOOKUP(A27,'Distribusi SHU'!C:C,1,0)</f>
        <v>34000143</v>
      </c>
      <c r="I27" t="b">
        <f t="shared" si="2"/>
        <v>1</v>
      </c>
      <c r="K27" s="1">
        <v>34000359</v>
      </c>
      <c r="L27" s="1" t="s">
        <v>212</v>
      </c>
      <c r="M27">
        <f>VLOOKUP(K27,'Distribusi SHU'!C:I,7,0)</f>
        <v>3135000</v>
      </c>
    </row>
    <row r="28" spans="1:13" x14ac:dyDescent="0.2">
      <c r="A28">
        <v>34000148</v>
      </c>
      <c r="B28" t="s">
        <v>182</v>
      </c>
      <c r="C28" s="2">
        <v>0</v>
      </c>
      <c r="D28" s="3">
        <v>416666.66666666669</v>
      </c>
      <c r="E28" s="2">
        <f t="shared" si="0"/>
        <v>416666.66666666669</v>
      </c>
      <c r="F28" s="2">
        <v>416666.66666666669</v>
      </c>
      <c r="G28" s="2" t="b">
        <f t="shared" si="1"/>
        <v>1</v>
      </c>
      <c r="H28">
        <f>VLOOKUP(A28,'Distribusi SHU'!C:C,1,0)</f>
        <v>34000148</v>
      </c>
      <c r="I28" t="b">
        <f t="shared" si="2"/>
        <v>1</v>
      </c>
      <c r="K28" s="1">
        <v>34000237</v>
      </c>
      <c r="L28" s="1" t="s">
        <v>214</v>
      </c>
      <c r="M28">
        <f>VLOOKUP(K28,'Distribusi SHU'!C:I,7,0)</f>
        <v>670000</v>
      </c>
    </row>
    <row r="29" spans="1:13" x14ac:dyDescent="0.2">
      <c r="A29">
        <v>34000159</v>
      </c>
      <c r="B29" t="s">
        <v>811</v>
      </c>
      <c r="C29" s="2">
        <v>0</v>
      </c>
      <c r="D29" s="3">
        <v>1800000</v>
      </c>
      <c r="E29" s="2">
        <f t="shared" si="0"/>
        <v>1800000</v>
      </c>
      <c r="F29" s="2">
        <v>1800000</v>
      </c>
      <c r="G29" s="2" t="b">
        <f t="shared" si="1"/>
        <v>1</v>
      </c>
      <c r="H29">
        <f>VLOOKUP(A29,'Distribusi SHU'!C:C,1,0)</f>
        <v>34000159</v>
      </c>
      <c r="I29" t="b">
        <f t="shared" si="2"/>
        <v>1</v>
      </c>
      <c r="K29" s="1">
        <v>34000571</v>
      </c>
      <c r="L29" s="1" t="s">
        <v>216</v>
      </c>
      <c r="M29">
        <f>VLOOKUP(K29,'Distribusi SHU'!C:I,7,0)</f>
        <v>1162666.6666666667</v>
      </c>
    </row>
    <row r="30" spans="1:13" x14ac:dyDescent="0.2">
      <c r="A30">
        <v>34000160</v>
      </c>
      <c r="B30" t="s">
        <v>242</v>
      </c>
      <c r="C30" s="2">
        <v>0</v>
      </c>
      <c r="D30" s="3">
        <v>1977500</v>
      </c>
      <c r="E30" s="2">
        <f t="shared" si="0"/>
        <v>1977500</v>
      </c>
      <c r="F30" s="2">
        <v>1977500</v>
      </c>
      <c r="G30" s="2" t="b">
        <f t="shared" si="1"/>
        <v>1</v>
      </c>
      <c r="H30">
        <f>VLOOKUP(A30,'Distribusi SHU'!C:C,1,0)</f>
        <v>34000160</v>
      </c>
      <c r="I30" t="b">
        <f t="shared" si="2"/>
        <v>1</v>
      </c>
      <c r="K30" s="1">
        <v>34000654</v>
      </c>
      <c r="L30" s="1" t="s">
        <v>220</v>
      </c>
      <c r="M30">
        <f>VLOOKUP(K30,'Distribusi SHU'!C:I,7,0)</f>
        <v>1250000</v>
      </c>
    </row>
    <row r="31" spans="1:13" x14ac:dyDescent="0.2">
      <c r="A31">
        <v>34000166</v>
      </c>
      <c r="B31" t="s">
        <v>468</v>
      </c>
      <c r="C31" s="2">
        <v>0</v>
      </c>
      <c r="D31" s="3">
        <v>833333.33333333337</v>
      </c>
      <c r="E31" s="2">
        <f t="shared" si="0"/>
        <v>833333.33333333337</v>
      </c>
      <c r="F31" s="2">
        <v>833333.33333333337</v>
      </c>
      <c r="G31" s="2" t="b">
        <f t="shared" si="1"/>
        <v>1</v>
      </c>
      <c r="H31">
        <f>VLOOKUP(A31,'Distribusi SHU'!C:C,1,0)</f>
        <v>34000166</v>
      </c>
      <c r="I31" t="b">
        <f t="shared" si="2"/>
        <v>1</v>
      </c>
      <c r="K31" s="1">
        <v>34000486</v>
      </c>
      <c r="L31" s="1" t="s">
        <v>222</v>
      </c>
      <c r="M31">
        <f>VLOOKUP(K31,'Distribusi SHU'!C:I,7,0)</f>
        <v>1385833.3333333333</v>
      </c>
    </row>
    <row r="32" spans="1:13" x14ac:dyDescent="0.2">
      <c r="A32">
        <v>34000173</v>
      </c>
      <c r="B32" t="s">
        <v>192</v>
      </c>
      <c r="C32" s="2">
        <v>0</v>
      </c>
      <c r="D32" s="3">
        <v>1620000</v>
      </c>
      <c r="E32" s="2">
        <f t="shared" si="0"/>
        <v>1620000</v>
      </c>
      <c r="F32" s="2">
        <v>1620000</v>
      </c>
      <c r="G32" s="2" t="b">
        <f t="shared" si="1"/>
        <v>1</v>
      </c>
      <c r="H32">
        <f>VLOOKUP(A32,'Distribusi SHU'!C:C,1,0)</f>
        <v>34000173</v>
      </c>
      <c r="I32" t="b">
        <f t="shared" si="2"/>
        <v>1</v>
      </c>
      <c r="K32" s="1">
        <v>34000258</v>
      </c>
      <c r="L32" s="1" t="s">
        <v>226</v>
      </c>
      <c r="M32">
        <f>VLOOKUP(K32,'Distribusi SHU'!C:I,7,0)</f>
        <v>1440000</v>
      </c>
    </row>
    <row r="33" spans="1:13" x14ac:dyDescent="0.2">
      <c r="A33">
        <v>34000180</v>
      </c>
      <c r="B33" t="s">
        <v>369</v>
      </c>
      <c r="C33" s="2">
        <v>0</v>
      </c>
      <c r="D33" s="3">
        <v>1137500</v>
      </c>
      <c r="E33" s="2">
        <f t="shared" si="0"/>
        <v>1137500</v>
      </c>
      <c r="F33" s="2">
        <v>1137500</v>
      </c>
      <c r="G33" s="2" t="b">
        <f t="shared" si="1"/>
        <v>1</v>
      </c>
      <c r="H33">
        <f>VLOOKUP(A33,'Distribusi SHU'!C:C,1,0)</f>
        <v>34000180</v>
      </c>
      <c r="I33" t="b">
        <f t="shared" si="2"/>
        <v>1</v>
      </c>
      <c r="K33" s="1">
        <v>34000640</v>
      </c>
      <c r="L33" s="1" t="s">
        <v>230</v>
      </c>
      <c r="M33">
        <f>VLOOKUP(K33,'Distribusi SHU'!C:I,7,0)</f>
        <v>1920000</v>
      </c>
    </row>
    <row r="34" spans="1:13" x14ac:dyDescent="0.2">
      <c r="A34">
        <v>34000184</v>
      </c>
      <c r="B34" t="s">
        <v>393</v>
      </c>
      <c r="C34" s="2">
        <v>0</v>
      </c>
      <c r="D34" s="3">
        <v>240000</v>
      </c>
      <c r="E34" s="2">
        <f t="shared" si="0"/>
        <v>240000</v>
      </c>
      <c r="F34" s="2">
        <v>240000</v>
      </c>
      <c r="G34" s="2" t="b">
        <f t="shared" si="1"/>
        <v>1</v>
      </c>
      <c r="H34">
        <f>VLOOKUP(A34,'Distribusi SHU'!C:C,1,0)</f>
        <v>34000184</v>
      </c>
      <c r="I34" t="b">
        <f t="shared" si="2"/>
        <v>1</v>
      </c>
      <c r="K34" s="1">
        <v>34000492</v>
      </c>
      <c r="L34" s="1" t="s">
        <v>232</v>
      </c>
      <c r="M34">
        <f>VLOOKUP(K34,'Distribusi SHU'!C:I,7,0)</f>
        <v>1350000</v>
      </c>
    </row>
    <row r="35" spans="1:13" x14ac:dyDescent="0.2">
      <c r="A35">
        <v>34000192</v>
      </c>
      <c r="B35" t="s">
        <v>466</v>
      </c>
      <c r="C35" s="2">
        <v>0</v>
      </c>
      <c r="D35" s="3">
        <v>1485000</v>
      </c>
      <c r="E35" s="2">
        <f t="shared" si="0"/>
        <v>1485000</v>
      </c>
      <c r="F35" s="2">
        <v>1485000</v>
      </c>
      <c r="G35" s="2" t="b">
        <f t="shared" si="1"/>
        <v>1</v>
      </c>
      <c r="H35">
        <f>VLOOKUP(A35,'Distribusi SHU'!C:C,1,0)</f>
        <v>34000192</v>
      </c>
      <c r="I35" t="b">
        <f t="shared" si="2"/>
        <v>1</v>
      </c>
      <c r="K35" s="1">
        <v>34000363</v>
      </c>
      <c r="L35" s="1" t="s">
        <v>236</v>
      </c>
      <c r="M35">
        <f>VLOOKUP(K35,'Distribusi SHU'!C:I,7,0)</f>
        <v>2010000</v>
      </c>
    </row>
    <row r="36" spans="1:13" x14ac:dyDescent="0.2">
      <c r="A36">
        <v>34000203</v>
      </c>
      <c r="B36" t="s">
        <v>140</v>
      </c>
      <c r="C36" s="2">
        <v>0</v>
      </c>
      <c r="D36" s="3">
        <v>1035000</v>
      </c>
      <c r="E36" s="2">
        <f t="shared" si="0"/>
        <v>1035000</v>
      </c>
      <c r="F36" s="2">
        <v>1035000</v>
      </c>
      <c r="G36" s="2" t="b">
        <f t="shared" si="1"/>
        <v>1</v>
      </c>
      <c r="H36">
        <f>VLOOKUP(A36,'Distribusi SHU'!C:C,1,0)</f>
        <v>34000203</v>
      </c>
      <c r="I36" t="b">
        <f t="shared" si="2"/>
        <v>1</v>
      </c>
      <c r="K36" s="1">
        <v>34000277</v>
      </c>
      <c r="L36" s="1" t="s">
        <v>238</v>
      </c>
      <c r="M36">
        <f>VLOOKUP(K36,'Distribusi SHU'!C:I,7,0)</f>
        <v>1421333.3333333335</v>
      </c>
    </row>
    <row r="37" spans="1:13" x14ac:dyDescent="0.2">
      <c r="A37">
        <v>34000206</v>
      </c>
      <c r="B37" t="s">
        <v>1239</v>
      </c>
      <c r="C37" s="2">
        <v>0</v>
      </c>
      <c r="D37" s="3">
        <v>1345000</v>
      </c>
      <c r="E37" s="2">
        <f t="shared" si="0"/>
        <v>1345000</v>
      </c>
      <c r="F37" s="2">
        <v>1345000</v>
      </c>
      <c r="G37" s="2" t="b">
        <f t="shared" si="1"/>
        <v>1</v>
      </c>
      <c r="H37">
        <f>VLOOKUP(A37,'Distribusi SHU'!C:C,1,0)</f>
        <v>34000206</v>
      </c>
      <c r="I37" t="b">
        <f t="shared" si="2"/>
        <v>1</v>
      </c>
      <c r="K37" s="1">
        <v>34000446</v>
      </c>
      <c r="L37" s="1" t="s">
        <v>240</v>
      </c>
      <c r="M37">
        <f>VLOOKUP(K37,'Distribusi SHU'!C:I,7,0)</f>
        <v>1665000</v>
      </c>
    </row>
    <row r="38" spans="1:13" x14ac:dyDescent="0.2">
      <c r="A38">
        <v>34000210</v>
      </c>
      <c r="B38" t="s">
        <v>272</v>
      </c>
      <c r="C38" s="2">
        <v>0</v>
      </c>
      <c r="D38" s="3">
        <v>1571666.6666666665</v>
      </c>
      <c r="E38" s="2">
        <f t="shared" si="0"/>
        <v>1571666.6666666665</v>
      </c>
      <c r="F38" s="2">
        <v>1571666.6666666665</v>
      </c>
      <c r="G38" s="2" t="b">
        <f t="shared" si="1"/>
        <v>1</v>
      </c>
      <c r="H38">
        <f>VLOOKUP(A38,'Distribusi SHU'!C:C,1,0)</f>
        <v>34000210</v>
      </c>
      <c r="I38" t="b">
        <f t="shared" si="2"/>
        <v>1</v>
      </c>
      <c r="K38" s="1">
        <v>34000160</v>
      </c>
      <c r="L38" s="1" t="s">
        <v>242</v>
      </c>
      <c r="M38">
        <f>VLOOKUP(K38,'Distribusi SHU'!C:I,7,0)</f>
        <v>1977500</v>
      </c>
    </row>
    <row r="39" spans="1:13" x14ac:dyDescent="0.2">
      <c r="A39">
        <v>34000216</v>
      </c>
      <c r="B39" t="s">
        <v>644</v>
      </c>
      <c r="C39" s="2">
        <v>0</v>
      </c>
      <c r="D39" s="3">
        <v>625000</v>
      </c>
      <c r="E39" s="2">
        <f t="shared" si="0"/>
        <v>625000</v>
      </c>
      <c r="F39" s="2">
        <v>625000</v>
      </c>
      <c r="G39" s="2" t="b">
        <f t="shared" si="1"/>
        <v>1</v>
      </c>
      <c r="H39">
        <f>VLOOKUP(A39,'Distribusi SHU'!C:C,1,0)</f>
        <v>34000216</v>
      </c>
      <c r="I39" t="b">
        <f t="shared" si="2"/>
        <v>1</v>
      </c>
      <c r="K39" s="1">
        <v>34000100</v>
      </c>
      <c r="L39" s="1" t="s">
        <v>244</v>
      </c>
      <c r="M39">
        <f>VLOOKUP(K39,'Distribusi SHU'!C:I,7,0)</f>
        <v>1290000</v>
      </c>
    </row>
    <row r="40" spans="1:13" x14ac:dyDescent="0.2">
      <c r="A40">
        <v>34000218</v>
      </c>
      <c r="B40" t="s">
        <v>482</v>
      </c>
      <c r="C40" s="2">
        <v>0</v>
      </c>
      <c r="D40" s="3">
        <v>1018333.3333333334</v>
      </c>
      <c r="E40" s="2">
        <f t="shared" si="0"/>
        <v>1018333.3333333334</v>
      </c>
      <c r="F40" s="2">
        <v>1018333.3333333334</v>
      </c>
      <c r="G40" s="2" t="b">
        <f t="shared" si="1"/>
        <v>1</v>
      </c>
      <c r="H40">
        <f>VLOOKUP(A40,'Distribusi SHU'!C:C,1,0)</f>
        <v>34000218</v>
      </c>
      <c r="I40" t="b">
        <f t="shared" si="2"/>
        <v>1</v>
      </c>
      <c r="K40" s="1">
        <v>34000631</v>
      </c>
      <c r="L40" s="1" t="s">
        <v>247</v>
      </c>
      <c r="M40">
        <f>VLOOKUP(K40,'Distribusi SHU'!C:I,7,0)</f>
        <v>1977500.0000000005</v>
      </c>
    </row>
    <row r="41" spans="1:13" x14ac:dyDescent="0.2">
      <c r="A41">
        <v>34000224</v>
      </c>
      <c r="B41" t="s">
        <v>340</v>
      </c>
      <c r="C41" s="2">
        <v>0</v>
      </c>
      <c r="D41" s="3">
        <v>540000</v>
      </c>
      <c r="E41" s="2">
        <f t="shared" si="0"/>
        <v>540000</v>
      </c>
      <c r="F41" s="2">
        <v>540000</v>
      </c>
      <c r="G41" s="2" t="b">
        <f t="shared" si="1"/>
        <v>1</v>
      </c>
      <c r="H41">
        <f>VLOOKUP(A41,'Distribusi SHU'!C:C,1,0)</f>
        <v>34000224</v>
      </c>
      <c r="I41" t="b">
        <f t="shared" si="2"/>
        <v>1</v>
      </c>
      <c r="K41" s="1">
        <v>34000476</v>
      </c>
      <c r="L41" s="1" t="s">
        <v>255</v>
      </c>
      <c r="M41">
        <f>VLOOKUP(K41,'Distribusi SHU'!C:I,7,0)</f>
        <v>1440000</v>
      </c>
    </row>
    <row r="42" spans="1:13" x14ac:dyDescent="0.2">
      <c r="A42">
        <v>34000229</v>
      </c>
      <c r="B42" t="s">
        <v>439</v>
      </c>
      <c r="C42" s="2">
        <v>0</v>
      </c>
      <c r="D42" s="3">
        <v>1173333.3333333335</v>
      </c>
      <c r="E42" s="2">
        <f t="shared" si="0"/>
        <v>1173333.3333333335</v>
      </c>
      <c r="F42" s="2">
        <v>1173333.3333333335</v>
      </c>
      <c r="G42" s="2" t="b">
        <f t="shared" si="1"/>
        <v>1</v>
      </c>
      <c r="H42">
        <f>VLOOKUP(A42,'Distribusi SHU'!C:C,1,0)</f>
        <v>34000229</v>
      </c>
      <c r="I42" t="b">
        <f t="shared" si="2"/>
        <v>1</v>
      </c>
      <c r="K42" s="1">
        <v>34000695</v>
      </c>
      <c r="L42" s="1" t="s">
        <v>260</v>
      </c>
      <c r="M42">
        <f>VLOOKUP(K42,'Distribusi SHU'!C:I,7,0)</f>
        <v>3345000</v>
      </c>
    </row>
    <row r="43" spans="1:13" x14ac:dyDescent="0.2">
      <c r="A43">
        <v>34000237</v>
      </c>
      <c r="B43" t="s">
        <v>214</v>
      </c>
      <c r="C43" s="2">
        <v>0</v>
      </c>
      <c r="D43" s="3">
        <v>670000</v>
      </c>
      <c r="E43" s="2">
        <f t="shared" si="0"/>
        <v>670000</v>
      </c>
      <c r="F43" s="2">
        <v>670000</v>
      </c>
      <c r="G43" s="2" t="b">
        <f t="shared" si="1"/>
        <v>1</v>
      </c>
      <c r="H43">
        <f>VLOOKUP(A43,'Distribusi SHU'!C:C,1,0)</f>
        <v>34000237</v>
      </c>
      <c r="I43" t="b">
        <f t="shared" si="2"/>
        <v>1</v>
      </c>
      <c r="K43" s="1">
        <v>34000455</v>
      </c>
      <c r="L43" s="1" t="s">
        <v>262</v>
      </c>
      <c r="M43">
        <f>VLOOKUP(K43,'Distribusi SHU'!C:I,7,0)</f>
        <v>1250000</v>
      </c>
    </row>
    <row r="44" spans="1:13" x14ac:dyDescent="0.2">
      <c r="A44">
        <v>34000238</v>
      </c>
      <c r="B44" t="s">
        <v>749</v>
      </c>
      <c r="C44" s="2">
        <v>0</v>
      </c>
      <c r="D44" s="3">
        <v>1409166.6666666665</v>
      </c>
      <c r="E44" s="2">
        <f t="shared" si="0"/>
        <v>1409166.6666666665</v>
      </c>
      <c r="F44" s="2">
        <v>1409166.6666666665</v>
      </c>
      <c r="G44" s="2" t="b">
        <f t="shared" si="1"/>
        <v>1</v>
      </c>
      <c r="H44">
        <f>VLOOKUP(A44,'Distribusi SHU'!C:C,1,0)</f>
        <v>34000238</v>
      </c>
      <c r="I44" t="b">
        <f t="shared" si="2"/>
        <v>1</v>
      </c>
      <c r="K44" s="1">
        <v>34000527</v>
      </c>
      <c r="L44" s="1" t="s">
        <v>270</v>
      </c>
      <c r="M44">
        <f>VLOOKUP(K44,'Distribusi SHU'!C:I,7,0)</f>
        <v>2355000</v>
      </c>
    </row>
    <row r="45" spans="1:13" x14ac:dyDescent="0.2">
      <c r="A45">
        <v>34000241</v>
      </c>
      <c r="B45" t="s">
        <v>317</v>
      </c>
      <c r="C45" s="2">
        <v>0</v>
      </c>
      <c r="D45" s="3">
        <v>1215000</v>
      </c>
      <c r="E45" s="2">
        <f t="shared" si="0"/>
        <v>1215000</v>
      </c>
      <c r="F45" s="2">
        <v>1215000</v>
      </c>
      <c r="G45" s="2" t="b">
        <f t="shared" si="1"/>
        <v>1</v>
      </c>
      <c r="H45">
        <f>VLOOKUP(A45,'Distribusi SHU'!C:C,1,0)</f>
        <v>34000241</v>
      </c>
      <c r="I45" t="b">
        <f t="shared" si="2"/>
        <v>1</v>
      </c>
      <c r="K45" s="1">
        <v>34000210</v>
      </c>
      <c r="L45" s="1" t="s">
        <v>272</v>
      </c>
      <c r="M45">
        <f>VLOOKUP(K45,'Distribusi SHU'!C:I,7,0)</f>
        <v>1571666.6666666665</v>
      </c>
    </row>
    <row r="46" spans="1:13" x14ac:dyDescent="0.2">
      <c r="A46">
        <v>34000247</v>
      </c>
      <c r="B46" t="s">
        <v>387</v>
      </c>
      <c r="C46" s="2">
        <v>0</v>
      </c>
      <c r="D46" s="3">
        <v>1358000</v>
      </c>
      <c r="E46" s="2">
        <f t="shared" si="0"/>
        <v>1358000</v>
      </c>
      <c r="F46" s="2">
        <v>1358000</v>
      </c>
      <c r="G46" s="2" t="b">
        <f t="shared" si="1"/>
        <v>1</v>
      </c>
      <c r="H46">
        <f>VLOOKUP(A46,'Distribusi SHU'!C:C,1,0)</f>
        <v>34000247</v>
      </c>
      <c r="I46" t="b">
        <f t="shared" si="2"/>
        <v>1</v>
      </c>
      <c r="K46" s="1">
        <v>34000115</v>
      </c>
      <c r="L46" s="1" t="s">
        <v>274</v>
      </c>
      <c r="M46">
        <f>VLOOKUP(K46,'Distribusi SHU'!C:I,7,0)</f>
        <v>1200833.3333333333</v>
      </c>
    </row>
    <row r="47" spans="1:13" x14ac:dyDescent="0.2">
      <c r="A47">
        <v>34000250</v>
      </c>
      <c r="B47" t="s">
        <v>661</v>
      </c>
      <c r="C47" s="2">
        <v>0</v>
      </c>
      <c r="D47" s="3">
        <v>1604166.6666666667</v>
      </c>
      <c r="E47" s="2">
        <f t="shared" si="0"/>
        <v>1604166.6666666667</v>
      </c>
      <c r="F47" s="2">
        <v>1604166.6666666667</v>
      </c>
      <c r="G47" s="2" t="b">
        <f t="shared" si="1"/>
        <v>1</v>
      </c>
      <c r="H47">
        <f>VLOOKUP(A47,'Distribusi SHU'!C:C,1,0)</f>
        <v>34000250</v>
      </c>
      <c r="I47" t="b">
        <f t="shared" si="2"/>
        <v>1</v>
      </c>
      <c r="K47" s="1">
        <v>34000124</v>
      </c>
      <c r="L47" s="1" t="s">
        <v>276</v>
      </c>
      <c r="M47">
        <f>VLOOKUP(K47,'Distribusi SHU'!C:I,7,0)</f>
        <v>1200833.3333333333</v>
      </c>
    </row>
    <row r="48" spans="1:13" x14ac:dyDescent="0.2">
      <c r="A48">
        <v>34000252</v>
      </c>
      <c r="B48" t="s">
        <v>304</v>
      </c>
      <c r="C48" s="2">
        <v>0</v>
      </c>
      <c r="D48" s="3">
        <v>1050000</v>
      </c>
      <c r="E48" s="2">
        <f t="shared" si="0"/>
        <v>1050000</v>
      </c>
      <c r="F48" s="2">
        <v>1050000</v>
      </c>
      <c r="G48" s="2" t="b">
        <f t="shared" si="1"/>
        <v>1</v>
      </c>
      <c r="H48">
        <f>VLOOKUP(A48,'Distribusi SHU'!C:C,1,0)</f>
        <v>34000252</v>
      </c>
      <c r="I48" t="b">
        <f t="shared" si="2"/>
        <v>1</v>
      </c>
      <c r="K48" s="1">
        <v>34000050</v>
      </c>
      <c r="L48" s="1" t="s">
        <v>284</v>
      </c>
      <c r="M48">
        <f>VLOOKUP(K48,'Distribusi SHU'!C:I,7,0)</f>
        <v>1050000</v>
      </c>
    </row>
    <row r="49" spans="1:13" x14ac:dyDescent="0.2">
      <c r="A49">
        <v>34000255</v>
      </c>
      <c r="B49" t="s">
        <v>677</v>
      </c>
      <c r="C49" s="2">
        <v>0</v>
      </c>
      <c r="D49" s="3">
        <v>1050000</v>
      </c>
      <c r="E49" s="2">
        <f t="shared" si="0"/>
        <v>1050000</v>
      </c>
      <c r="F49" s="2">
        <v>1050000</v>
      </c>
      <c r="G49" s="2" t="b">
        <f t="shared" si="1"/>
        <v>1</v>
      </c>
      <c r="H49">
        <f>VLOOKUP(A49,'Distribusi SHU'!C:C,1,0)</f>
        <v>34000255</v>
      </c>
      <c r="I49" t="b">
        <f t="shared" si="2"/>
        <v>1</v>
      </c>
      <c r="K49" s="1">
        <v>34000404</v>
      </c>
      <c r="L49" s="1" t="s">
        <v>288</v>
      </c>
      <c r="M49">
        <f>VLOOKUP(K49,'Distribusi SHU'!C:I,7,0)</f>
        <v>558333.33333333326</v>
      </c>
    </row>
    <row r="50" spans="1:13" x14ac:dyDescent="0.2">
      <c r="A50">
        <v>34000259</v>
      </c>
      <c r="B50" t="s">
        <v>480</v>
      </c>
      <c r="C50" s="2">
        <v>0</v>
      </c>
      <c r="D50" s="3">
        <v>985000</v>
      </c>
      <c r="E50" s="2">
        <f t="shared" si="0"/>
        <v>985000</v>
      </c>
      <c r="F50" s="2">
        <v>985000</v>
      </c>
      <c r="G50" s="2" t="b">
        <f t="shared" si="1"/>
        <v>1</v>
      </c>
      <c r="H50">
        <f>VLOOKUP(A50,'Distribusi SHU'!C:C,1,0)</f>
        <v>34000259</v>
      </c>
      <c r="I50" t="b">
        <f t="shared" si="2"/>
        <v>1</v>
      </c>
      <c r="K50" s="1">
        <v>34000316</v>
      </c>
      <c r="L50" s="1" t="s">
        <v>292</v>
      </c>
      <c r="M50">
        <f>VLOOKUP(K50,'Distribusi SHU'!C:I,7,0)</f>
        <v>1200833.3333333333</v>
      </c>
    </row>
    <row r="51" spans="1:13" x14ac:dyDescent="0.2">
      <c r="A51">
        <v>34000265</v>
      </c>
      <c r="B51" t="s">
        <v>373</v>
      </c>
      <c r="C51" s="2">
        <v>0</v>
      </c>
      <c r="D51" s="3">
        <v>2010000</v>
      </c>
      <c r="E51" s="2">
        <f t="shared" si="0"/>
        <v>2010000</v>
      </c>
      <c r="F51" s="2">
        <v>2010000</v>
      </c>
      <c r="G51" s="2" t="b">
        <f t="shared" si="1"/>
        <v>1</v>
      </c>
      <c r="H51">
        <f>VLOOKUP(A51,'Distribusi SHU'!C:C,1,0)</f>
        <v>34000265</v>
      </c>
      <c r="I51" t="b">
        <f t="shared" si="2"/>
        <v>1</v>
      </c>
      <c r="K51" s="1">
        <v>34000422</v>
      </c>
      <c r="L51" s="1" t="s">
        <v>294</v>
      </c>
      <c r="M51">
        <f>VLOOKUP(K51,'Distribusi SHU'!C:I,7,0)</f>
        <v>1890000</v>
      </c>
    </row>
    <row r="52" spans="1:13" x14ac:dyDescent="0.2">
      <c r="A52">
        <v>34000270</v>
      </c>
      <c r="B52" t="s">
        <v>188</v>
      </c>
      <c r="C52" s="2">
        <v>0</v>
      </c>
      <c r="D52" s="3">
        <v>1620000</v>
      </c>
      <c r="E52" s="2">
        <f t="shared" si="0"/>
        <v>1620000</v>
      </c>
      <c r="F52" s="2">
        <v>1620000</v>
      </c>
      <c r="G52" s="2" t="b">
        <f t="shared" si="1"/>
        <v>1</v>
      </c>
      <c r="H52">
        <f>VLOOKUP(A52,'Distribusi SHU'!C:C,1,0)</f>
        <v>34000270</v>
      </c>
      <c r="I52" t="b">
        <f t="shared" si="2"/>
        <v>1</v>
      </c>
      <c r="K52" s="1">
        <v>34000119</v>
      </c>
      <c r="L52" s="1" t="s">
        <v>300</v>
      </c>
      <c r="M52">
        <f>VLOOKUP(K52,'Distribusi SHU'!C:I,7,0)</f>
        <v>2182500</v>
      </c>
    </row>
    <row r="53" spans="1:13" x14ac:dyDescent="0.2">
      <c r="A53">
        <v>34000273</v>
      </c>
      <c r="B53" t="s">
        <v>1271</v>
      </c>
      <c r="C53" s="2">
        <v>0</v>
      </c>
      <c r="D53" s="3">
        <v>480000</v>
      </c>
      <c r="E53" s="2">
        <f t="shared" si="0"/>
        <v>480000</v>
      </c>
      <c r="F53" s="2">
        <v>480000</v>
      </c>
      <c r="G53" s="2" t="b">
        <f t="shared" si="1"/>
        <v>1</v>
      </c>
      <c r="H53">
        <f>VLOOKUP(A53,'Distribusi SHU'!C:C,1,0)</f>
        <v>34000273</v>
      </c>
      <c r="I53" t="b">
        <f t="shared" si="2"/>
        <v>1</v>
      </c>
      <c r="K53" s="1">
        <v>34000252</v>
      </c>
      <c r="L53" s="1" t="s">
        <v>304</v>
      </c>
      <c r="M53">
        <f>VLOOKUP(K53,'Distribusi SHU'!C:I,7,0)</f>
        <v>1050000</v>
      </c>
    </row>
    <row r="54" spans="1:13" x14ac:dyDescent="0.2">
      <c r="A54">
        <v>34000277</v>
      </c>
      <c r="B54" t="s">
        <v>238</v>
      </c>
      <c r="C54" s="2">
        <v>0</v>
      </c>
      <c r="D54" s="3">
        <v>1421333.3333333335</v>
      </c>
      <c r="E54" s="2">
        <f t="shared" si="0"/>
        <v>1421333.3333333335</v>
      </c>
      <c r="F54" s="2">
        <v>1421333.3333333335</v>
      </c>
      <c r="G54" s="2" t="b">
        <f t="shared" si="1"/>
        <v>1</v>
      </c>
      <c r="H54">
        <f>VLOOKUP(A54,'Distribusi SHU'!C:C,1,0)</f>
        <v>34000277</v>
      </c>
      <c r="I54" t="b">
        <f t="shared" si="2"/>
        <v>1</v>
      </c>
      <c r="K54" s="1">
        <v>34000582</v>
      </c>
      <c r="L54" s="1" t="s">
        <v>308</v>
      </c>
      <c r="M54">
        <f>VLOOKUP(K54,'Distribusi SHU'!C:I,7,0)</f>
        <v>982833.33333333337</v>
      </c>
    </row>
    <row r="55" spans="1:13" x14ac:dyDescent="0.2">
      <c r="A55">
        <v>34000282</v>
      </c>
      <c r="B55" t="s">
        <v>574</v>
      </c>
      <c r="C55" s="2">
        <v>0</v>
      </c>
      <c r="D55" s="3">
        <v>180000</v>
      </c>
      <c r="E55" s="2">
        <f t="shared" si="0"/>
        <v>180000</v>
      </c>
      <c r="F55" s="2">
        <v>180000</v>
      </c>
      <c r="G55" s="2" t="b">
        <f t="shared" si="1"/>
        <v>1</v>
      </c>
      <c r="H55">
        <f>VLOOKUP(A55,'Distribusi SHU'!C:C,1,0)</f>
        <v>34000282</v>
      </c>
      <c r="I55" t="b">
        <f t="shared" si="2"/>
        <v>1</v>
      </c>
      <c r="K55" s="1">
        <v>34000336</v>
      </c>
      <c r="L55" s="1" t="s">
        <v>310</v>
      </c>
      <c r="M55">
        <f>VLOOKUP(K55,'Distribusi SHU'!C:I,7,0)</f>
        <v>327500</v>
      </c>
    </row>
    <row r="56" spans="1:13" x14ac:dyDescent="0.2">
      <c r="A56">
        <v>34000283</v>
      </c>
      <c r="B56" t="s">
        <v>196</v>
      </c>
      <c r="C56" s="2">
        <v>0</v>
      </c>
      <c r="D56" s="3">
        <v>1050000</v>
      </c>
      <c r="E56" s="2">
        <f t="shared" si="0"/>
        <v>1050000</v>
      </c>
      <c r="F56" s="2">
        <v>1050000</v>
      </c>
      <c r="G56" s="2" t="b">
        <f t="shared" si="1"/>
        <v>1</v>
      </c>
      <c r="H56">
        <f>VLOOKUP(A56,'Distribusi SHU'!C:C,1,0)</f>
        <v>34000283</v>
      </c>
      <c r="I56" t="b">
        <f t="shared" si="2"/>
        <v>1</v>
      </c>
      <c r="K56" s="1">
        <v>34000624</v>
      </c>
      <c r="L56" s="1" t="s">
        <v>315</v>
      </c>
      <c r="M56">
        <f>VLOOKUP(K56,'Distribusi SHU'!C:I,7,0)</f>
        <v>720000</v>
      </c>
    </row>
    <row r="57" spans="1:13" x14ac:dyDescent="0.2">
      <c r="A57">
        <v>34000300</v>
      </c>
      <c r="B57" t="s">
        <v>667</v>
      </c>
      <c r="C57" s="2">
        <v>0</v>
      </c>
      <c r="D57" s="3">
        <v>1530000</v>
      </c>
      <c r="E57" s="2">
        <f t="shared" si="0"/>
        <v>1530000</v>
      </c>
      <c r="F57" s="2">
        <v>1530000</v>
      </c>
      <c r="G57" s="2" t="b">
        <f t="shared" si="1"/>
        <v>1</v>
      </c>
      <c r="H57">
        <f>VLOOKUP(A57,'Distribusi SHU'!C:C,1,0)</f>
        <v>34000300</v>
      </c>
      <c r="I57" t="b">
        <f t="shared" si="2"/>
        <v>1</v>
      </c>
      <c r="K57" s="1">
        <v>34000241</v>
      </c>
      <c r="L57" s="1" t="s">
        <v>317</v>
      </c>
      <c r="M57">
        <f>VLOOKUP(K57,'Distribusi SHU'!C:I,7,0)</f>
        <v>1215000</v>
      </c>
    </row>
    <row r="58" spans="1:13" x14ac:dyDescent="0.2">
      <c r="A58">
        <v>34000301</v>
      </c>
      <c r="B58" t="s">
        <v>325</v>
      </c>
      <c r="C58" s="2">
        <v>0</v>
      </c>
      <c r="D58" s="3">
        <v>1170833.3333333335</v>
      </c>
      <c r="E58" s="2">
        <f t="shared" si="0"/>
        <v>1170833.3333333335</v>
      </c>
      <c r="F58" s="2">
        <v>1170833.3333333335</v>
      </c>
      <c r="G58" s="2" t="b">
        <f t="shared" si="1"/>
        <v>1</v>
      </c>
      <c r="H58">
        <f>VLOOKUP(A58,'Distribusi SHU'!C:C,1,0)</f>
        <v>34000301</v>
      </c>
      <c r="I58" t="b">
        <f t="shared" si="2"/>
        <v>1</v>
      </c>
      <c r="K58" s="1">
        <v>34000780</v>
      </c>
      <c r="L58" s="1" t="s">
        <v>320</v>
      </c>
      <c r="M58">
        <f>VLOOKUP(K58,'Distribusi SHU'!C:I,7,0)</f>
        <v>2295000</v>
      </c>
    </row>
    <row r="59" spans="1:13" x14ac:dyDescent="0.2">
      <c r="A59">
        <v>34000307</v>
      </c>
      <c r="B59" t="s">
        <v>671</v>
      </c>
      <c r="C59" s="2">
        <v>0</v>
      </c>
      <c r="D59" s="3">
        <v>834166.66666666663</v>
      </c>
      <c r="E59" s="2">
        <f t="shared" si="0"/>
        <v>834166.66666666663</v>
      </c>
      <c r="F59" s="2">
        <v>834166.66666666663</v>
      </c>
      <c r="G59" s="2" t="b">
        <f t="shared" si="1"/>
        <v>1</v>
      </c>
      <c r="H59">
        <f>VLOOKUP(A59,'Distribusi SHU'!C:C,1,0)</f>
        <v>34000307</v>
      </c>
      <c r="I59" t="b">
        <f t="shared" si="2"/>
        <v>1</v>
      </c>
      <c r="K59" s="1">
        <v>34000027</v>
      </c>
      <c r="L59" s="1" t="s">
        <v>323</v>
      </c>
      <c r="M59">
        <f>VLOOKUP(K59,'Distribusi SHU'!C:I,7,0)</f>
        <v>1050000</v>
      </c>
    </row>
    <row r="60" spans="1:13" x14ac:dyDescent="0.2">
      <c r="A60">
        <v>34000311</v>
      </c>
      <c r="B60" t="s">
        <v>633</v>
      </c>
      <c r="C60" s="2">
        <v>0</v>
      </c>
      <c r="D60" s="3">
        <v>1560833.3333333333</v>
      </c>
      <c r="E60" s="2">
        <f t="shared" si="0"/>
        <v>1560833.3333333333</v>
      </c>
      <c r="F60" s="2">
        <v>1560833.3333333333</v>
      </c>
      <c r="G60" s="2" t="b">
        <f t="shared" si="1"/>
        <v>1</v>
      </c>
      <c r="H60">
        <f>VLOOKUP(A60,'Distribusi SHU'!C:C,1,0)</f>
        <v>34000311</v>
      </c>
      <c r="I60" t="b">
        <f t="shared" si="2"/>
        <v>1</v>
      </c>
      <c r="K60" s="1">
        <v>34000301</v>
      </c>
      <c r="L60" s="1" t="s">
        <v>325</v>
      </c>
      <c r="M60">
        <f>VLOOKUP(K60,'Distribusi SHU'!C:I,7,0)</f>
        <v>1170833.3333333335</v>
      </c>
    </row>
    <row r="61" spans="1:13" x14ac:dyDescent="0.2">
      <c r="A61">
        <v>34000313</v>
      </c>
      <c r="B61" t="s">
        <v>176</v>
      </c>
      <c r="C61" s="2">
        <v>0</v>
      </c>
      <c r="D61" s="3">
        <v>2267500</v>
      </c>
      <c r="E61" s="2">
        <f t="shared" si="0"/>
        <v>2267500</v>
      </c>
      <c r="F61" s="2">
        <v>2267500</v>
      </c>
      <c r="G61" s="2" t="b">
        <f t="shared" si="1"/>
        <v>1</v>
      </c>
      <c r="H61">
        <f>VLOOKUP(A61,'Distribusi SHU'!C:C,1,0)</f>
        <v>34000313</v>
      </c>
      <c r="I61" t="b">
        <f t="shared" si="2"/>
        <v>1</v>
      </c>
      <c r="K61" s="1">
        <v>34000224</v>
      </c>
      <c r="L61" s="1" t="s">
        <v>340</v>
      </c>
      <c r="M61">
        <f>VLOOKUP(K61,'Distribusi SHU'!C:I,7,0)</f>
        <v>540000</v>
      </c>
    </row>
    <row r="62" spans="1:13" x14ac:dyDescent="0.2">
      <c r="A62">
        <v>34000314</v>
      </c>
      <c r="B62" t="s">
        <v>605</v>
      </c>
      <c r="C62" s="2">
        <v>0</v>
      </c>
      <c r="D62" s="3">
        <v>1050000</v>
      </c>
      <c r="E62" s="2">
        <f t="shared" si="0"/>
        <v>1050000</v>
      </c>
      <c r="F62" s="2">
        <v>1050000</v>
      </c>
      <c r="G62" s="2" t="b">
        <f t="shared" si="1"/>
        <v>1</v>
      </c>
      <c r="H62">
        <f>VLOOKUP(A62,'Distribusi SHU'!C:C,1,0)</f>
        <v>34000314</v>
      </c>
      <c r="I62" t="b">
        <f t="shared" si="2"/>
        <v>1</v>
      </c>
      <c r="K62" s="1">
        <v>34000524</v>
      </c>
      <c r="L62" s="1" t="s">
        <v>343</v>
      </c>
      <c r="M62">
        <f>VLOOKUP(K62,'Distribusi SHU'!C:I,7,0)</f>
        <v>1430000</v>
      </c>
    </row>
    <row r="63" spans="1:13" x14ac:dyDescent="0.2">
      <c r="A63">
        <v>34000316</v>
      </c>
      <c r="B63" t="s">
        <v>292</v>
      </c>
      <c r="C63" s="2">
        <v>0</v>
      </c>
      <c r="D63" s="3">
        <v>1200833.3333333333</v>
      </c>
      <c r="E63" s="2">
        <f t="shared" si="0"/>
        <v>1200833.3333333333</v>
      </c>
      <c r="F63" s="2">
        <v>1200833.3333333333</v>
      </c>
      <c r="G63" s="2" t="b">
        <f t="shared" si="1"/>
        <v>1</v>
      </c>
      <c r="H63">
        <f>VLOOKUP(A63,'Distribusi SHU'!C:C,1,0)</f>
        <v>34000316</v>
      </c>
      <c r="I63" t="b">
        <f t="shared" si="2"/>
        <v>1</v>
      </c>
      <c r="K63" s="1">
        <v>34000077</v>
      </c>
      <c r="L63" s="1" t="s">
        <v>349</v>
      </c>
      <c r="M63">
        <f>VLOOKUP(K63,'Distribusi SHU'!C:I,7,0)</f>
        <v>1050000</v>
      </c>
    </row>
    <row r="64" spans="1:13" x14ac:dyDescent="0.2">
      <c r="A64">
        <v>34000320</v>
      </c>
      <c r="B64" t="s">
        <v>168</v>
      </c>
      <c r="C64" s="2">
        <v>0</v>
      </c>
      <c r="D64" s="3">
        <v>1350000</v>
      </c>
      <c r="E64" s="2">
        <f t="shared" si="0"/>
        <v>1350000</v>
      </c>
      <c r="F64" s="2">
        <v>1350000</v>
      </c>
      <c r="G64" s="2" t="b">
        <f t="shared" si="1"/>
        <v>1</v>
      </c>
      <c r="H64">
        <f>VLOOKUP(A64,'Distribusi SHU'!C:C,1,0)</f>
        <v>34000320</v>
      </c>
      <c r="I64" t="b">
        <f t="shared" si="2"/>
        <v>1</v>
      </c>
      <c r="K64" s="1">
        <v>34000012</v>
      </c>
      <c r="L64" s="1" t="s">
        <v>353</v>
      </c>
      <c r="M64">
        <f>VLOOKUP(K64,'Distribusi SHU'!C:I,7,0)</f>
        <v>746666.66666666663</v>
      </c>
    </row>
    <row r="65" spans="1:13" x14ac:dyDescent="0.2">
      <c r="A65">
        <v>34000335</v>
      </c>
      <c r="B65" t="s">
        <v>771</v>
      </c>
      <c r="C65" s="2">
        <v>0</v>
      </c>
      <c r="D65" s="3">
        <v>960000</v>
      </c>
      <c r="E65" s="2">
        <f t="shared" si="0"/>
        <v>960000</v>
      </c>
      <c r="F65" s="2">
        <v>960000</v>
      </c>
      <c r="G65" s="2" t="b">
        <f t="shared" si="1"/>
        <v>1</v>
      </c>
      <c r="H65">
        <f>VLOOKUP(A65,'Distribusi SHU'!C:C,1,0)</f>
        <v>34000335</v>
      </c>
      <c r="I65" t="b">
        <f t="shared" si="2"/>
        <v>1</v>
      </c>
      <c r="K65" s="1">
        <v>34000794</v>
      </c>
      <c r="L65" s="1" t="s">
        <v>355</v>
      </c>
      <c r="M65">
        <f>VLOOKUP(K65,'Distribusi SHU'!C:I,7,0)</f>
        <v>1080000</v>
      </c>
    </row>
    <row r="66" spans="1:13" x14ac:dyDescent="0.2">
      <c r="A66">
        <v>34000336</v>
      </c>
      <c r="B66" t="s">
        <v>310</v>
      </c>
      <c r="C66" s="2">
        <v>0</v>
      </c>
      <c r="D66" s="3">
        <v>327500</v>
      </c>
      <c r="E66" s="2">
        <f t="shared" si="0"/>
        <v>327500</v>
      </c>
      <c r="F66" s="2">
        <v>327500</v>
      </c>
      <c r="G66" s="2" t="b">
        <f t="shared" si="1"/>
        <v>1</v>
      </c>
      <c r="H66">
        <f>VLOOKUP(A66,'Distribusi SHU'!C:C,1,0)</f>
        <v>34000336</v>
      </c>
      <c r="I66" t="b">
        <f t="shared" si="2"/>
        <v>1</v>
      </c>
      <c r="K66" s="1">
        <v>34000478</v>
      </c>
      <c r="L66" s="1" t="s">
        <v>361</v>
      </c>
      <c r="M66">
        <f>VLOOKUP(K66,'Distribusi SHU'!C:I,7,0)</f>
        <v>525000</v>
      </c>
    </row>
    <row r="67" spans="1:13" x14ac:dyDescent="0.2">
      <c r="A67">
        <v>34000341</v>
      </c>
      <c r="B67" t="s">
        <v>447</v>
      </c>
      <c r="C67" s="2">
        <v>0</v>
      </c>
      <c r="D67" s="3">
        <v>1090833.3333333335</v>
      </c>
      <c r="E67" s="2">
        <f t="shared" ref="E67:E129" si="3">SUM(C67:D67)</f>
        <v>1090833.3333333335</v>
      </c>
      <c r="F67" s="2">
        <v>1090833.3333333335</v>
      </c>
      <c r="G67" s="2" t="b">
        <f t="shared" ref="G67:G130" si="4">D67=F67</f>
        <v>1</v>
      </c>
      <c r="H67">
        <f>VLOOKUP(A67,'Distribusi SHU'!C:C,1,0)</f>
        <v>34000341</v>
      </c>
      <c r="I67" t="b">
        <f t="shared" ref="I67:I130" si="5">A67=H67</f>
        <v>1</v>
      </c>
      <c r="K67" s="1">
        <v>34000552</v>
      </c>
      <c r="L67" s="1" t="s">
        <v>363</v>
      </c>
      <c r="M67">
        <f>VLOOKUP(K67,'Distribusi SHU'!C:I,7,0)</f>
        <v>1770000</v>
      </c>
    </row>
    <row r="68" spans="1:13" x14ac:dyDescent="0.2">
      <c r="A68">
        <v>34000344</v>
      </c>
      <c r="B68" t="s">
        <v>399</v>
      </c>
      <c r="C68" s="2">
        <v>0</v>
      </c>
      <c r="D68" s="3">
        <v>2481666.666666667</v>
      </c>
      <c r="E68" s="2">
        <f t="shared" si="3"/>
        <v>2481666.666666667</v>
      </c>
      <c r="F68" s="2">
        <v>2481666.666666667</v>
      </c>
      <c r="G68" s="2" t="b">
        <f t="shared" si="4"/>
        <v>1</v>
      </c>
      <c r="H68">
        <f>VLOOKUP(A68,'Distribusi SHU'!C:C,1,0)</f>
        <v>34000344</v>
      </c>
      <c r="I68" t="b">
        <f t="shared" si="5"/>
        <v>1</v>
      </c>
      <c r="K68" s="1">
        <v>34000351</v>
      </c>
      <c r="L68" s="1" t="s">
        <v>365</v>
      </c>
      <c r="M68">
        <f>VLOOKUP(K68,'Distribusi SHU'!C:I,7,0)</f>
        <v>1242000</v>
      </c>
    </row>
    <row r="69" spans="1:13" x14ac:dyDescent="0.2">
      <c r="A69">
        <v>34000346</v>
      </c>
      <c r="B69" t="s">
        <v>166</v>
      </c>
      <c r="C69" s="2">
        <v>0</v>
      </c>
      <c r="D69" s="3">
        <v>1145833.3333333333</v>
      </c>
      <c r="E69" s="2">
        <f t="shared" si="3"/>
        <v>1145833.3333333333</v>
      </c>
      <c r="F69" s="2">
        <v>1145833.3333333333</v>
      </c>
      <c r="G69" s="2" t="b">
        <f t="shared" si="4"/>
        <v>1</v>
      </c>
      <c r="H69">
        <f>VLOOKUP(A69,'Distribusi SHU'!C:C,1,0)</f>
        <v>34000346</v>
      </c>
      <c r="I69" t="b">
        <f t="shared" si="5"/>
        <v>1</v>
      </c>
      <c r="K69" s="1">
        <v>34000180</v>
      </c>
      <c r="L69" s="1" t="s">
        <v>369</v>
      </c>
      <c r="M69">
        <f>VLOOKUP(K69,'Distribusi SHU'!C:I,7,0)</f>
        <v>1137500</v>
      </c>
    </row>
    <row r="70" spans="1:13" x14ac:dyDescent="0.2">
      <c r="A70">
        <v>34000351</v>
      </c>
      <c r="B70" t="s">
        <v>365</v>
      </c>
      <c r="C70" s="2">
        <v>0</v>
      </c>
      <c r="D70" s="3">
        <v>1242000</v>
      </c>
      <c r="E70" s="2">
        <f t="shared" si="3"/>
        <v>1242000</v>
      </c>
      <c r="F70" s="2">
        <v>1242000</v>
      </c>
      <c r="G70" s="2" t="b">
        <f t="shared" si="4"/>
        <v>1</v>
      </c>
      <c r="H70">
        <f>VLOOKUP(A70,'Distribusi SHU'!C:C,1,0)</f>
        <v>34000351</v>
      </c>
      <c r="I70" t="b">
        <f t="shared" si="5"/>
        <v>1</v>
      </c>
      <c r="K70" s="1">
        <v>34000265</v>
      </c>
      <c r="L70" s="1" t="s">
        <v>373</v>
      </c>
      <c r="M70">
        <f>VLOOKUP(K70,'Distribusi SHU'!C:I,7,0)</f>
        <v>2010000</v>
      </c>
    </row>
    <row r="71" spans="1:13" x14ac:dyDescent="0.2">
      <c r="A71">
        <v>34000359</v>
      </c>
      <c r="B71" t="s">
        <v>212</v>
      </c>
      <c r="C71" s="2">
        <v>0</v>
      </c>
      <c r="D71" s="3">
        <v>3135000</v>
      </c>
      <c r="E71" s="2">
        <f t="shared" si="3"/>
        <v>3135000</v>
      </c>
      <c r="F71" s="2">
        <v>3135000</v>
      </c>
      <c r="G71" s="2" t="b">
        <f t="shared" si="4"/>
        <v>1</v>
      </c>
      <c r="H71">
        <f>VLOOKUP(A71,'Distribusi SHU'!C:C,1,0)</f>
        <v>34000359</v>
      </c>
      <c r="I71" t="b">
        <f t="shared" si="5"/>
        <v>1</v>
      </c>
      <c r="K71" s="1">
        <v>34000643</v>
      </c>
      <c r="L71" s="1" t="s">
        <v>375</v>
      </c>
      <c r="M71">
        <f>VLOOKUP(K71,'Distribusi SHU'!C:I,7,0)</f>
        <v>1250000</v>
      </c>
    </row>
    <row r="72" spans="1:13" x14ac:dyDescent="0.2">
      <c r="A72">
        <v>34000363</v>
      </c>
      <c r="B72" t="s">
        <v>236</v>
      </c>
      <c r="C72" s="2">
        <v>0</v>
      </c>
      <c r="D72" s="3">
        <v>2010000</v>
      </c>
      <c r="E72" s="2">
        <f t="shared" si="3"/>
        <v>2010000</v>
      </c>
      <c r="F72" s="2">
        <v>2010000</v>
      </c>
      <c r="G72" s="2" t="b">
        <f t="shared" si="4"/>
        <v>1</v>
      </c>
      <c r="H72">
        <f>VLOOKUP(A72,'Distribusi SHU'!C:C,1,0)</f>
        <v>34000363</v>
      </c>
      <c r="I72" t="b">
        <f t="shared" si="5"/>
        <v>1</v>
      </c>
      <c r="K72" s="1">
        <v>34000534</v>
      </c>
      <c r="L72" s="1" t="s">
        <v>381</v>
      </c>
      <c r="M72">
        <f>VLOOKUP(K72,'Distribusi SHU'!C:I,7,0)</f>
        <v>2545000</v>
      </c>
    </row>
    <row r="73" spans="1:13" x14ac:dyDescent="0.2">
      <c r="A73">
        <v>34000370</v>
      </c>
      <c r="B73" t="s">
        <v>184</v>
      </c>
      <c r="C73" s="2">
        <v>0</v>
      </c>
      <c r="D73" s="3">
        <v>1455000</v>
      </c>
      <c r="E73" s="2">
        <f t="shared" si="3"/>
        <v>1455000</v>
      </c>
      <c r="F73" s="2">
        <v>1455000</v>
      </c>
      <c r="G73" s="2" t="b">
        <f t="shared" si="4"/>
        <v>1</v>
      </c>
      <c r="H73">
        <f>VLOOKUP(A73,'Distribusi SHU'!C:C,1,0)</f>
        <v>34000370</v>
      </c>
      <c r="I73" t="b">
        <f t="shared" si="5"/>
        <v>1</v>
      </c>
      <c r="K73" s="1">
        <v>34000247</v>
      </c>
      <c r="L73" s="1" t="s">
        <v>387</v>
      </c>
      <c r="M73">
        <f>VLOOKUP(K73,'Distribusi SHU'!C:I,7,0)</f>
        <v>1358000</v>
      </c>
    </row>
    <row r="74" spans="1:13" x14ac:dyDescent="0.2">
      <c r="A74">
        <v>34000379</v>
      </c>
      <c r="B74" t="s">
        <v>484</v>
      </c>
      <c r="C74" s="2">
        <v>0</v>
      </c>
      <c r="D74" s="3">
        <v>1572500</v>
      </c>
      <c r="E74" s="2">
        <f t="shared" si="3"/>
        <v>1572500</v>
      </c>
      <c r="F74" s="2">
        <v>1572500</v>
      </c>
      <c r="G74" s="2" t="b">
        <f t="shared" si="4"/>
        <v>1</v>
      </c>
      <c r="H74">
        <f>VLOOKUP(A74,'Distribusi SHU'!C:C,1,0)</f>
        <v>34000379</v>
      </c>
      <c r="I74" t="b">
        <f t="shared" si="5"/>
        <v>1</v>
      </c>
      <c r="K74" s="1">
        <v>34000184</v>
      </c>
      <c r="L74" s="1" t="s">
        <v>393</v>
      </c>
      <c r="M74">
        <f>VLOOKUP(K74,'Distribusi SHU'!C:I,7,0)</f>
        <v>240000</v>
      </c>
    </row>
    <row r="75" spans="1:13" x14ac:dyDescent="0.2">
      <c r="A75">
        <v>34000380</v>
      </c>
      <c r="B75" t="s">
        <v>654</v>
      </c>
      <c r="C75" s="2">
        <v>0</v>
      </c>
      <c r="D75" s="3">
        <v>1955000</v>
      </c>
      <c r="E75" s="2">
        <f t="shared" si="3"/>
        <v>1955000</v>
      </c>
      <c r="F75" s="2">
        <v>1955000</v>
      </c>
      <c r="G75" s="2" t="b">
        <f t="shared" si="4"/>
        <v>1</v>
      </c>
      <c r="H75">
        <f>VLOOKUP(A75,'Distribusi SHU'!C:C,1,0)</f>
        <v>34000380</v>
      </c>
      <c r="I75" t="b">
        <f t="shared" si="5"/>
        <v>1</v>
      </c>
      <c r="K75" s="1">
        <v>34000009</v>
      </c>
      <c r="L75" s="1" t="s">
        <v>395</v>
      </c>
      <c r="M75">
        <f>VLOOKUP(K75,'Distribusi SHU'!C:I,7,0)</f>
        <v>1680000</v>
      </c>
    </row>
    <row r="76" spans="1:13" x14ac:dyDescent="0.2">
      <c r="A76">
        <v>34000388</v>
      </c>
      <c r="B76" t="s">
        <v>538</v>
      </c>
      <c r="C76" s="2">
        <v>0</v>
      </c>
      <c r="D76" s="3">
        <v>1250000</v>
      </c>
      <c r="E76" s="2">
        <f t="shared" si="3"/>
        <v>1250000</v>
      </c>
      <c r="F76" s="2">
        <v>1250000</v>
      </c>
      <c r="G76" s="2" t="b">
        <f t="shared" si="4"/>
        <v>1</v>
      </c>
      <c r="H76">
        <f>VLOOKUP(A76,'Distribusi SHU'!C:C,1,0)</f>
        <v>34000388</v>
      </c>
      <c r="I76" t="b">
        <f t="shared" si="5"/>
        <v>1</v>
      </c>
      <c r="K76" s="1">
        <v>34000495</v>
      </c>
      <c r="L76" s="1" t="s">
        <v>397</v>
      </c>
      <c r="M76">
        <f>VLOOKUP(K76,'Distribusi SHU'!C:I,7,0)</f>
        <v>2025000</v>
      </c>
    </row>
    <row r="77" spans="1:13" x14ac:dyDescent="0.2">
      <c r="A77">
        <v>34000390</v>
      </c>
      <c r="B77" t="s">
        <v>445</v>
      </c>
      <c r="C77" s="2">
        <v>0</v>
      </c>
      <c r="D77" s="3">
        <v>2325000</v>
      </c>
      <c r="E77" s="2">
        <f t="shared" si="3"/>
        <v>2325000</v>
      </c>
      <c r="F77" s="2">
        <v>2325000</v>
      </c>
      <c r="G77" s="2" t="b">
        <f t="shared" si="4"/>
        <v>1</v>
      </c>
      <c r="H77">
        <f>VLOOKUP(A77,'Distribusi SHU'!C:C,1,0)</f>
        <v>34000390</v>
      </c>
      <c r="I77" t="b">
        <f t="shared" si="5"/>
        <v>1</v>
      </c>
      <c r="K77" s="1">
        <v>34000344</v>
      </c>
      <c r="L77" s="1" t="s">
        <v>399</v>
      </c>
      <c r="M77">
        <f>VLOOKUP(K77,'Distribusi SHU'!C:I,7,0)</f>
        <v>2481666.666666667</v>
      </c>
    </row>
    <row r="78" spans="1:13" x14ac:dyDescent="0.2">
      <c r="A78">
        <v>34000391</v>
      </c>
      <c r="B78" t="s">
        <v>1381</v>
      </c>
      <c r="C78" s="2">
        <v>0</v>
      </c>
      <c r="D78" s="3">
        <v>1350000</v>
      </c>
      <c r="E78" s="2">
        <f t="shared" si="3"/>
        <v>1350000</v>
      </c>
      <c r="F78" s="2">
        <v>1350000</v>
      </c>
      <c r="G78" s="2" t="b">
        <f t="shared" si="4"/>
        <v>1</v>
      </c>
      <c r="H78">
        <f>VLOOKUP(A78,'Distribusi SHU'!C:C,1,0)</f>
        <v>34000391</v>
      </c>
      <c r="I78" t="b">
        <f t="shared" si="5"/>
        <v>1</v>
      </c>
      <c r="K78" s="1">
        <v>34000424</v>
      </c>
      <c r="L78" s="1" t="s">
        <v>401</v>
      </c>
      <c r="M78">
        <f>VLOOKUP(K78,'Distribusi SHU'!C:I,7,0)</f>
        <v>1890000</v>
      </c>
    </row>
    <row r="79" spans="1:13" x14ac:dyDescent="0.2">
      <c r="A79">
        <v>34000393</v>
      </c>
      <c r="B79" t="s">
        <v>407</v>
      </c>
      <c r="C79" s="2">
        <v>0</v>
      </c>
      <c r="D79" s="3">
        <v>1145833.3333333333</v>
      </c>
      <c r="E79" s="2">
        <f t="shared" si="3"/>
        <v>1145833.3333333333</v>
      </c>
      <c r="F79" s="2">
        <v>1145833.3333333333</v>
      </c>
      <c r="G79" s="2" t="b">
        <f t="shared" si="4"/>
        <v>1</v>
      </c>
      <c r="H79">
        <f>VLOOKUP(A79,'Distribusi SHU'!C:C,1,0)</f>
        <v>34000393</v>
      </c>
      <c r="I79" t="b">
        <f t="shared" si="5"/>
        <v>1</v>
      </c>
      <c r="K79" s="1">
        <v>34000532</v>
      </c>
      <c r="L79" s="1" t="s">
        <v>403</v>
      </c>
      <c r="M79">
        <f>VLOOKUP(K79,'Distribusi SHU'!C:I,7,0)</f>
        <v>350000</v>
      </c>
    </row>
    <row r="80" spans="1:13" x14ac:dyDescent="0.2">
      <c r="A80">
        <v>34000394</v>
      </c>
      <c r="B80" t="s">
        <v>535</v>
      </c>
      <c r="C80" s="2">
        <v>0</v>
      </c>
      <c r="D80" s="3">
        <v>1890000</v>
      </c>
      <c r="E80" s="2">
        <f t="shared" si="3"/>
        <v>1890000</v>
      </c>
      <c r="F80" s="2">
        <v>1890000</v>
      </c>
      <c r="G80" s="2" t="b">
        <f t="shared" si="4"/>
        <v>1</v>
      </c>
      <c r="H80">
        <f>VLOOKUP(A80,'Distribusi SHU'!C:C,1,0)</f>
        <v>34000394</v>
      </c>
      <c r="I80" t="b">
        <f t="shared" si="5"/>
        <v>1</v>
      </c>
      <c r="K80" s="1">
        <v>34000391</v>
      </c>
      <c r="L80" s="1" t="s">
        <v>405</v>
      </c>
      <c r="M80">
        <f>VLOOKUP(K80,'Distribusi SHU'!C:I,7,0)</f>
        <v>1350000</v>
      </c>
    </row>
    <row r="81" spans="1:13" x14ac:dyDescent="0.2">
      <c r="A81">
        <v>34000405</v>
      </c>
      <c r="B81" t="s">
        <v>178</v>
      </c>
      <c r="C81" s="2">
        <v>0</v>
      </c>
      <c r="D81" s="3">
        <v>112000</v>
      </c>
      <c r="E81" s="2">
        <f t="shared" si="3"/>
        <v>112000</v>
      </c>
      <c r="F81" s="2">
        <v>112000</v>
      </c>
      <c r="G81" s="2" t="b">
        <f t="shared" si="4"/>
        <v>1</v>
      </c>
      <c r="H81">
        <f>VLOOKUP(A81,'Distribusi SHU'!C:C,1,0)</f>
        <v>34000405</v>
      </c>
      <c r="I81" t="b">
        <f t="shared" si="5"/>
        <v>1</v>
      </c>
      <c r="K81" s="1">
        <v>34000393</v>
      </c>
      <c r="L81" s="1" t="s">
        <v>407</v>
      </c>
      <c r="M81">
        <f>VLOOKUP(K81,'Distribusi SHU'!C:I,7,0)</f>
        <v>1145833.3333333333</v>
      </c>
    </row>
    <row r="82" spans="1:13" x14ac:dyDescent="0.2">
      <c r="A82">
        <v>34000413</v>
      </c>
      <c r="B82" t="s">
        <v>739</v>
      </c>
      <c r="C82" s="2">
        <v>0</v>
      </c>
      <c r="D82" s="3">
        <v>1555000</v>
      </c>
      <c r="E82" s="2">
        <f t="shared" si="3"/>
        <v>1555000</v>
      </c>
      <c r="F82" s="2">
        <v>1555000</v>
      </c>
      <c r="G82" s="2" t="b">
        <f t="shared" si="4"/>
        <v>1</v>
      </c>
      <c r="H82">
        <f>VLOOKUP(A82,'Distribusi SHU'!C:C,1,0)</f>
        <v>34000413</v>
      </c>
      <c r="I82" t="b">
        <f t="shared" si="5"/>
        <v>1</v>
      </c>
      <c r="K82" s="1">
        <v>34000754</v>
      </c>
      <c r="L82" s="1" t="s">
        <v>415</v>
      </c>
      <c r="M82">
        <f>VLOOKUP(K82,'Distribusi SHU'!C:I,7,0)</f>
        <v>198000</v>
      </c>
    </row>
    <row r="83" spans="1:13" x14ac:dyDescent="0.2">
      <c r="A83">
        <v>34000414</v>
      </c>
      <c r="B83" t="s">
        <v>570</v>
      </c>
      <c r="C83" s="2">
        <v>0</v>
      </c>
      <c r="D83" s="3">
        <v>1620000</v>
      </c>
      <c r="E83" s="2">
        <f t="shared" si="3"/>
        <v>1620000</v>
      </c>
      <c r="F83" s="2">
        <v>1620000</v>
      </c>
      <c r="G83" s="2" t="b">
        <f t="shared" si="4"/>
        <v>1</v>
      </c>
      <c r="H83">
        <f>VLOOKUP(A83,'Distribusi SHU'!C:C,1,0)</f>
        <v>34000414</v>
      </c>
      <c r="I83" t="b">
        <f t="shared" si="5"/>
        <v>1</v>
      </c>
      <c r="K83" s="1">
        <v>34000807</v>
      </c>
      <c r="L83" s="1" t="s">
        <v>423</v>
      </c>
      <c r="M83">
        <f>VLOOKUP(K83,'Distribusi SHU'!C:I,7,0)</f>
        <v>1434000</v>
      </c>
    </row>
    <row r="84" spans="1:13" x14ac:dyDescent="0.2">
      <c r="A84">
        <v>34000418</v>
      </c>
      <c r="B84" t="s">
        <v>745</v>
      </c>
      <c r="C84" s="2">
        <v>0</v>
      </c>
      <c r="D84" s="3">
        <v>486833.33333333331</v>
      </c>
      <c r="E84" s="2">
        <f t="shared" si="3"/>
        <v>486833.33333333331</v>
      </c>
      <c r="F84" s="2">
        <v>486833.33333333331</v>
      </c>
      <c r="G84" s="2" t="b">
        <f t="shared" si="4"/>
        <v>1</v>
      </c>
      <c r="H84">
        <f>VLOOKUP(A84,'Distribusi SHU'!C:C,1,0)</f>
        <v>34000418</v>
      </c>
      <c r="I84" t="b">
        <f t="shared" si="5"/>
        <v>1</v>
      </c>
      <c r="K84" s="1">
        <v>34000522</v>
      </c>
      <c r="L84" s="1" t="s">
        <v>429</v>
      </c>
      <c r="M84">
        <f>VLOOKUP(K84,'Distribusi SHU'!C:I,7,0)</f>
        <v>1200833.3333333333</v>
      </c>
    </row>
    <row r="85" spans="1:13" x14ac:dyDescent="0.2">
      <c r="A85">
        <v>34000422</v>
      </c>
      <c r="B85" t="s">
        <v>294</v>
      </c>
      <c r="C85" s="2">
        <v>0</v>
      </c>
      <c r="D85" s="3">
        <v>1890000</v>
      </c>
      <c r="E85" s="2">
        <f t="shared" si="3"/>
        <v>1890000</v>
      </c>
      <c r="F85" s="2">
        <v>1890000</v>
      </c>
      <c r="G85" s="2" t="b">
        <f t="shared" si="4"/>
        <v>1</v>
      </c>
      <c r="H85">
        <f>VLOOKUP(A85,'Distribusi SHU'!C:C,1,0)</f>
        <v>34000422</v>
      </c>
      <c r="I85" t="b">
        <f t="shared" si="5"/>
        <v>1</v>
      </c>
      <c r="K85" s="1">
        <v>34000701</v>
      </c>
      <c r="L85" s="1" t="s">
        <v>433</v>
      </c>
      <c r="M85">
        <f>VLOOKUP(K85,'Distribusi SHU'!C:I,7,0)</f>
        <v>475555.55555555556</v>
      </c>
    </row>
    <row r="86" spans="1:13" x14ac:dyDescent="0.2">
      <c r="A86">
        <v>34000424</v>
      </c>
      <c r="B86" t="s">
        <v>401</v>
      </c>
      <c r="C86" s="2">
        <v>0</v>
      </c>
      <c r="D86" s="3">
        <v>1890000</v>
      </c>
      <c r="E86" s="2">
        <f t="shared" si="3"/>
        <v>1890000</v>
      </c>
      <c r="F86" s="2">
        <v>1890000</v>
      </c>
      <c r="G86" s="2" t="b">
        <f t="shared" si="4"/>
        <v>1</v>
      </c>
      <c r="H86">
        <f>VLOOKUP(A86,'Distribusi SHU'!C:C,1,0)</f>
        <v>34000424</v>
      </c>
      <c r="I86" t="b">
        <f t="shared" si="5"/>
        <v>1</v>
      </c>
      <c r="K86" s="1">
        <v>34000229</v>
      </c>
      <c r="L86" s="1" t="s">
        <v>439</v>
      </c>
      <c r="M86">
        <f>VLOOKUP(K86,'Distribusi SHU'!C:I,7,0)</f>
        <v>1173333.3333333335</v>
      </c>
    </row>
    <row r="87" spans="1:13" x14ac:dyDescent="0.2">
      <c r="A87">
        <v>34000425</v>
      </c>
      <c r="B87" t="s">
        <v>583</v>
      </c>
      <c r="C87" s="2">
        <v>0</v>
      </c>
      <c r="D87" s="3">
        <v>1050000</v>
      </c>
      <c r="E87" s="2">
        <f t="shared" si="3"/>
        <v>1050000</v>
      </c>
      <c r="F87" s="2">
        <v>1050000</v>
      </c>
      <c r="G87" s="2" t="b">
        <f t="shared" si="4"/>
        <v>1</v>
      </c>
      <c r="H87">
        <f>VLOOKUP(A87,'Distribusi SHU'!C:C,1,0)</f>
        <v>34000425</v>
      </c>
      <c r="I87" t="b">
        <f t="shared" si="5"/>
        <v>1</v>
      </c>
      <c r="K87" s="1">
        <v>34000541</v>
      </c>
      <c r="L87" s="1" t="s">
        <v>441</v>
      </c>
      <c r="M87">
        <f>VLOOKUP(K87,'Distribusi SHU'!C:I,7,0)</f>
        <v>520833.33333333337</v>
      </c>
    </row>
    <row r="88" spans="1:13" x14ac:dyDescent="0.2">
      <c r="A88">
        <v>34000446</v>
      </c>
      <c r="B88" t="s">
        <v>240</v>
      </c>
      <c r="C88" s="2">
        <v>0</v>
      </c>
      <c r="D88" s="3">
        <v>1665000</v>
      </c>
      <c r="E88" s="2">
        <f t="shared" si="3"/>
        <v>1665000</v>
      </c>
      <c r="F88" s="2">
        <v>1665000</v>
      </c>
      <c r="G88" s="2" t="b">
        <f t="shared" si="4"/>
        <v>1</v>
      </c>
      <c r="H88">
        <f>VLOOKUP(A88,'Distribusi SHU'!C:C,1,0)</f>
        <v>34000446</v>
      </c>
      <c r="I88" t="b">
        <f t="shared" si="5"/>
        <v>1</v>
      </c>
      <c r="K88" s="1">
        <v>34000727</v>
      </c>
      <c r="L88" s="1" t="s">
        <v>443</v>
      </c>
      <c r="M88">
        <f>VLOOKUP(K88,'Distribusi SHU'!C:I,7,0)</f>
        <v>109166.66666666667</v>
      </c>
    </row>
    <row r="89" spans="1:13" x14ac:dyDescent="0.2">
      <c r="A89">
        <v>34000453</v>
      </c>
      <c r="B89" t="s">
        <v>1382</v>
      </c>
      <c r="C89" s="2">
        <v>0</v>
      </c>
      <c r="D89" s="3">
        <v>1922500</v>
      </c>
      <c r="E89" s="2">
        <f t="shared" si="3"/>
        <v>1922500</v>
      </c>
      <c r="F89" s="2">
        <v>1922500</v>
      </c>
      <c r="G89" s="2" t="b">
        <f t="shared" si="4"/>
        <v>1</v>
      </c>
      <c r="H89">
        <f>VLOOKUP(A89,'Distribusi SHU'!C:C,1,0)</f>
        <v>34000453</v>
      </c>
      <c r="I89" t="b">
        <f t="shared" si="5"/>
        <v>1</v>
      </c>
      <c r="K89" s="1">
        <v>34000390</v>
      </c>
      <c r="L89" s="1" t="s">
        <v>445</v>
      </c>
      <c r="M89">
        <f>VLOOKUP(K89,'Distribusi SHU'!C:I,7,0)</f>
        <v>2325000</v>
      </c>
    </row>
    <row r="90" spans="1:13" x14ac:dyDescent="0.2">
      <c r="A90">
        <v>34000455</v>
      </c>
      <c r="B90" t="s">
        <v>262</v>
      </c>
      <c r="C90" s="2">
        <v>0</v>
      </c>
      <c r="D90" s="3">
        <v>1250000</v>
      </c>
      <c r="E90" s="2">
        <f t="shared" si="3"/>
        <v>1250000</v>
      </c>
      <c r="F90" s="2">
        <v>1250000</v>
      </c>
      <c r="G90" s="2" t="b">
        <f t="shared" si="4"/>
        <v>1</v>
      </c>
      <c r="H90">
        <f>VLOOKUP(A90,'Distribusi SHU'!C:C,1,0)</f>
        <v>34000455</v>
      </c>
      <c r="I90" t="b">
        <f t="shared" si="5"/>
        <v>1</v>
      </c>
      <c r="K90" s="1">
        <v>34000341</v>
      </c>
      <c r="L90" s="1" t="s">
        <v>447</v>
      </c>
      <c r="M90">
        <f>VLOOKUP(K90,'Distribusi SHU'!C:I,7,0)</f>
        <v>1090833.3333333335</v>
      </c>
    </row>
    <row r="91" spans="1:13" x14ac:dyDescent="0.2">
      <c r="A91">
        <v>34000469</v>
      </c>
      <c r="B91" t="s">
        <v>162</v>
      </c>
      <c r="C91" s="2">
        <v>0</v>
      </c>
      <c r="D91" s="3">
        <v>1050000</v>
      </c>
      <c r="E91" s="2">
        <f t="shared" si="3"/>
        <v>1050000</v>
      </c>
      <c r="F91" s="2">
        <v>1050000</v>
      </c>
      <c r="G91" s="2" t="b">
        <f t="shared" si="4"/>
        <v>1</v>
      </c>
      <c r="H91">
        <f>VLOOKUP(A91,'Distribusi SHU'!C:C,1,0)</f>
        <v>34000469</v>
      </c>
      <c r="I91" t="b">
        <f t="shared" si="5"/>
        <v>1</v>
      </c>
      <c r="K91" s="1">
        <v>34000520</v>
      </c>
      <c r="L91" s="1" t="s">
        <v>449</v>
      </c>
      <c r="M91">
        <f>VLOOKUP(K91,'Distribusi SHU'!C:I,7,0)</f>
        <v>1485000</v>
      </c>
    </row>
    <row r="92" spans="1:13" x14ac:dyDescent="0.2">
      <c r="A92">
        <v>34000470</v>
      </c>
      <c r="B92" t="s">
        <v>492</v>
      </c>
      <c r="C92" s="2">
        <v>0</v>
      </c>
      <c r="D92" s="3">
        <v>1485000</v>
      </c>
      <c r="E92" s="2">
        <f t="shared" si="3"/>
        <v>1485000</v>
      </c>
      <c r="F92" s="2">
        <v>1485000</v>
      </c>
      <c r="G92" s="2" t="b">
        <f t="shared" si="4"/>
        <v>1</v>
      </c>
      <c r="H92">
        <f>VLOOKUP(A92,'Distribusi SHU'!C:C,1,0)</f>
        <v>34000470</v>
      </c>
      <c r="I92" t="b">
        <f t="shared" si="5"/>
        <v>1</v>
      </c>
      <c r="K92" s="1">
        <v>34000575</v>
      </c>
      <c r="L92" s="1" t="s">
        <v>451</v>
      </c>
      <c r="M92">
        <f>VLOOKUP(K92,'Distribusi SHU'!C:I,7,0)</f>
        <v>770000</v>
      </c>
    </row>
    <row r="93" spans="1:13" x14ac:dyDescent="0.2">
      <c r="A93">
        <v>34000473</v>
      </c>
      <c r="B93" t="s">
        <v>797</v>
      </c>
      <c r="C93" s="2">
        <v>0</v>
      </c>
      <c r="D93" s="3">
        <v>2150000.0000000005</v>
      </c>
      <c r="E93" s="2">
        <f t="shared" si="3"/>
        <v>2150000.0000000005</v>
      </c>
      <c r="F93" s="2">
        <v>2150000.0000000005</v>
      </c>
      <c r="G93" s="2" t="b">
        <f t="shared" si="4"/>
        <v>1</v>
      </c>
      <c r="H93">
        <f>VLOOKUP(A93,'Distribusi SHU'!C:C,1,0)</f>
        <v>34000473</v>
      </c>
      <c r="I93" t="b">
        <f t="shared" si="5"/>
        <v>1</v>
      </c>
      <c r="K93" s="1">
        <v>34000630</v>
      </c>
      <c r="L93" s="1" t="s">
        <v>453</v>
      </c>
      <c r="M93">
        <f>VLOOKUP(K93,'Distribusi SHU'!C:I,7,0)</f>
        <v>782000</v>
      </c>
    </row>
    <row r="94" spans="1:13" x14ac:dyDescent="0.2">
      <c r="A94">
        <v>34000476</v>
      </c>
      <c r="B94" t="s">
        <v>255</v>
      </c>
      <c r="C94" s="2">
        <v>0</v>
      </c>
      <c r="D94" s="3">
        <v>1440000</v>
      </c>
      <c r="E94" s="2">
        <f t="shared" si="3"/>
        <v>1440000</v>
      </c>
      <c r="F94" s="2">
        <v>1440000</v>
      </c>
      <c r="G94" s="2" t="b">
        <f t="shared" si="4"/>
        <v>1</v>
      </c>
      <c r="H94">
        <f>VLOOKUP(A94,'Distribusi SHU'!C:C,1,0)</f>
        <v>34000476</v>
      </c>
      <c r="I94" t="b">
        <f t="shared" si="5"/>
        <v>1</v>
      </c>
      <c r="K94" s="1">
        <v>34000497</v>
      </c>
      <c r="L94" s="1" t="s">
        <v>455</v>
      </c>
      <c r="M94">
        <f>VLOOKUP(K94,'Distribusi SHU'!C:I,7,0)</f>
        <v>1050000</v>
      </c>
    </row>
    <row r="95" spans="1:13" x14ac:dyDescent="0.2">
      <c r="A95">
        <v>34000478</v>
      </c>
      <c r="B95" t="s">
        <v>361</v>
      </c>
      <c r="C95" s="2">
        <v>0</v>
      </c>
      <c r="D95" s="3">
        <v>525000</v>
      </c>
      <c r="E95" s="2">
        <f t="shared" si="3"/>
        <v>525000</v>
      </c>
      <c r="F95" s="2">
        <v>525000</v>
      </c>
      <c r="G95" s="2" t="b">
        <f t="shared" si="4"/>
        <v>1</v>
      </c>
      <c r="H95">
        <f>VLOOKUP(A95,'Distribusi SHU'!C:C,1,0)</f>
        <v>34000478</v>
      </c>
      <c r="I95" t="b">
        <f t="shared" si="5"/>
        <v>1</v>
      </c>
      <c r="K95" s="1">
        <v>34000765</v>
      </c>
      <c r="L95" s="1" t="s">
        <v>457</v>
      </c>
      <c r="M95">
        <f>VLOOKUP(K95,'Distribusi SHU'!C:I,7,0)</f>
        <v>1050000</v>
      </c>
    </row>
    <row r="96" spans="1:13" x14ac:dyDescent="0.2">
      <c r="A96">
        <v>34000479</v>
      </c>
      <c r="B96" t="s">
        <v>747</v>
      </c>
      <c r="C96" s="2">
        <v>0</v>
      </c>
      <c r="D96" s="3">
        <v>436666.66666666669</v>
      </c>
      <c r="E96" s="2">
        <f t="shared" si="3"/>
        <v>436666.66666666669</v>
      </c>
      <c r="F96" s="2">
        <v>436666.66666666669</v>
      </c>
      <c r="G96" s="2" t="b">
        <f t="shared" si="4"/>
        <v>1</v>
      </c>
      <c r="H96">
        <f>VLOOKUP(A96,'Distribusi SHU'!C:C,1,0)</f>
        <v>34000479</v>
      </c>
      <c r="I96" t="b">
        <f t="shared" si="5"/>
        <v>1</v>
      </c>
      <c r="K96" s="1">
        <v>34000648</v>
      </c>
      <c r="L96" s="1" t="s">
        <v>462</v>
      </c>
      <c r="M96">
        <f>VLOOKUP(K96,'Distribusi SHU'!C:I,7,0)</f>
        <v>896666.66666666674</v>
      </c>
    </row>
    <row r="97" spans="1:13" x14ac:dyDescent="0.2">
      <c r="A97">
        <v>34000484</v>
      </c>
      <c r="B97" t="s">
        <v>129</v>
      </c>
      <c r="C97" s="2">
        <v>0</v>
      </c>
      <c r="D97" s="3">
        <v>1410000</v>
      </c>
      <c r="E97" s="2">
        <f t="shared" si="3"/>
        <v>1410000</v>
      </c>
      <c r="F97" s="2">
        <v>1410000</v>
      </c>
      <c r="G97" s="2" t="b">
        <f t="shared" si="4"/>
        <v>1</v>
      </c>
      <c r="H97">
        <f>VLOOKUP(A97,'Distribusi SHU'!C:C,1,0)</f>
        <v>34000484</v>
      </c>
      <c r="I97" t="b">
        <f t="shared" si="5"/>
        <v>1</v>
      </c>
      <c r="K97" s="1">
        <v>34000192</v>
      </c>
      <c r="L97" s="1" t="s">
        <v>466</v>
      </c>
      <c r="M97">
        <f>VLOOKUP(K97,'Distribusi SHU'!C:I,7,0)</f>
        <v>1485000</v>
      </c>
    </row>
    <row r="98" spans="1:13" x14ac:dyDescent="0.2">
      <c r="A98">
        <v>34000486</v>
      </c>
      <c r="B98" t="s">
        <v>222</v>
      </c>
      <c r="C98" s="2">
        <v>0</v>
      </c>
      <c r="D98" s="3">
        <v>1385833.3333333333</v>
      </c>
      <c r="E98" s="2">
        <f t="shared" si="3"/>
        <v>1385833.3333333333</v>
      </c>
      <c r="F98" s="2">
        <v>1385833.3333333333</v>
      </c>
      <c r="G98" s="2" t="b">
        <f t="shared" si="4"/>
        <v>1</v>
      </c>
      <c r="H98">
        <f>VLOOKUP(A98,'Distribusi SHU'!C:C,1,0)</f>
        <v>34000486</v>
      </c>
      <c r="I98" t="b">
        <f t="shared" si="5"/>
        <v>1</v>
      </c>
      <c r="K98" s="1">
        <v>34000166</v>
      </c>
      <c r="L98" s="1" t="s">
        <v>468</v>
      </c>
      <c r="M98">
        <f>VLOOKUP(K98,'Distribusi SHU'!C:I,7,0)</f>
        <v>833333.33333333337</v>
      </c>
    </row>
    <row r="99" spans="1:13" x14ac:dyDescent="0.2">
      <c r="A99">
        <v>34000490</v>
      </c>
      <c r="B99" t="s">
        <v>486</v>
      </c>
      <c r="C99" s="2">
        <v>0</v>
      </c>
      <c r="D99" s="3">
        <v>2130000</v>
      </c>
      <c r="E99" s="2">
        <f t="shared" si="3"/>
        <v>2130000</v>
      </c>
      <c r="F99" s="2">
        <v>2130000</v>
      </c>
      <c r="G99" s="2" t="b">
        <f t="shared" si="4"/>
        <v>1</v>
      </c>
      <c r="H99">
        <f>VLOOKUP(A99,'Distribusi SHU'!C:C,1,0)</f>
        <v>34000490</v>
      </c>
      <c r="I99" t="b">
        <f t="shared" si="5"/>
        <v>1</v>
      </c>
      <c r="K99" s="1">
        <v>34000639</v>
      </c>
      <c r="L99" s="1" t="s">
        <v>470</v>
      </c>
      <c r="M99">
        <f>VLOOKUP(K99,'Distribusi SHU'!C:I,7,0)</f>
        <v>813333.33333333337</v>
      </c>
    </row>
    <row r="100" spans="1:13" x14ac:dyDescent="0.2">
      <c r="A100">
        <v>34000492</v>
      </c>
      <c r="B100" t="s">
        <v>232</v>
      </c>
      <c r="C100" s="2">
        <v>0</v>
      </c>
      <c r="D100" s="3">
        <v>1350000</v>
      </c>
      <c r="E100" s="2">
        <f t="shared" si="3"/>
        <v>1350000</v>
      </c>
      <c r="F100" s="2">
        <v>1350000</v>
      </c>
      <c r="G100" s="2" t="b">
        <f t="shared" si="4"/>
        <v>1</v>
      </c>
      <c r="H100">
        <f>VLOOKUP(A100,'Distribusi SHU'!C:C,1,0)</f>
        <v>34000492</v>
      </c>
      <c r="I100" t="b">
        <f t="shared" si="5"/>
        <v>1</v>
      </c>
      <c r="K100" s="1">
        <v>34000106</v>
      </c>
      <c r="L100" s="1" t="s">
        <v>472</v>
      </c>
      <c r="M100">
        <f>VLOOKUP(K100,'Distribusi SHU'!C:I,7,0)</f>
        <v>2090000.0000000005</v>
      </c>
    </row>
    <row r="101" spans="1:13" x14ac:dyDescent="0.2">
      <c r="A101">
        <v>34000495</v>
      </c>
      <c r="B101" t="s">
        <v>397</v>
      </c>
      <c r="C101" s="2">
        <v>0</v>
      </c>
      <c r="D101" s="3">
        <v>2025000</v>
      </c>
      <c r="E101" s="2">
        <f t="shared" si="3"/>
        <v>2025000</v>
      </c>
      <c r="F101" s="2">
        <v>2025000</v>
      </c>
      <c r="G101" s="2" t="b">
        <f t="shared" si="4"/>
        <v>1</v>
      </c>
      <c r="H101">
        <f>VLOOKUP(A101,'Distribusi SHU'!C:C,1,0)</f>
        <v>34000495</v>
      </c>
      <c r="I101" t="b">
        <f t="shared" si="5"/>
        <v>1</v>
      </c>
      <c r="K101" s="1">
        <v>34000758</v>
      </c>
      <c r="L101" s="1" t="s">
        <v>474</v>
      </c>
      <c r="M101">
        <f>VLOOKUP(K101,'Distribusi SHU'!C:I,7,0)</f>
        <v>1050000</v>
      </c>
    </row>
    <row r="102" spans="1:13" x14ac:dyDescent="0.2">
      <c r="A102">
        <v>34000497</v>
      </c>
      <c r="B102" t="s">
        <v>455</v>
      </c>
      <c r="C102" s="2">
        <v>0</v>
      </c>
      <c r="D102" s="3">
        <v>1050000</v>
      </c>
      <c r="E102" s="2">
        <f t="shared" si="3"/>
        <v>1050000</v>
      </c>
      <c r="F102" s="2">
        <v>1050000</v>
      </c>
      <c r="G102" s="2" t="b">
        <f t="shared" si="4"/>
        <v>1</v>
      </c>
      <c r="H102">
        <f>VLOOKUP(A102,'Distribusi SHU'!C:C,1,0)</f>
        <v>34000497</v>
      </c>
      <c r="I102" t="b">
        <f t="shared" si="5"/>
        <v>1</v>
      </c>
      <c r="K102" s="1">
        <v>34000118</v>
      </c>
      <c r="L102" s="1" t="s">
        <v>476</v>
      </c>
      <c r="M102">
        <f>VLOOKUP(K102,'Distribusi SHU'!C:I,7,0)</f>
        <v>2295333.3333333335</v>
      </c>
    </row>
    <row r="103" spans="1:13" x14ac:dyDescent="0.2">
      <c r="A103">
        <v>34000502</v>
      </c>
      <c r="B103" t="s">
        <v>198</v>
      </c>
      <c r="C103" s="2">
        <v>0</v>
      </c>
      <c r="D103" s="3">
        <v>1050000</v>
      </c>
      <c r="E103" s="2">
        <f t="shared" si="3"/>
        <v>1050000</v>
      </c>
      <c r="F103" s="2">
        <v>1050000</v>
      </c>
      <c r="G103" s="2" t="b">
        <f t="shared" si="4"/>
        <v>1</v>
      </c>
      <c r="H103">
        <f>VLOOKUP(A103,'Distribusi SHU'!C:C,1,0)</f>
        <v>34000502</v>
      </c>
      <c r="I103" t="b">
        <f t="shared" si="5"/>
        <v>1</v>
      </c>
      <c r="K103" s="1">
        <v>34000259</v>
      </c>
      <c r="L103" s="1" t="s">
        <v>480</v>
      </c>
      <c r="M103">
        <f>VLOOKUP(K103,'Distribusi SHU'!C:I,7,0)</f>
        <v>985000</v>
      </c>
    </row>
    <row r="104" spans="1:13" x14ac:dyDescent="0.2">
      <c r="A104">
        <v>34000510</v>
      </c>
      <c r="B104" t="s">
        <v>160</v>
      </c>
      <c r="C104" s="2">
        <v>0</v>
      </c>
      <c r="D104" s="3">
        <v>888000</v>
      </c>
      <c r="E104" s="2">
        <f t="shared" si="3"/>
        <v>888000</v>
      </c>
      <c r="F104" s="2">
        <v>888000</v>
      </c>
      <c r="G104" s="2" t="b">
        <f t="shared" si="4"/>
        <v>1</v>
      </c>
      <c r="H104">
        <f>VLOOKUP(A104,'Distribusi SHU'!C:C,1,0)</f>
        <v>34000510</v>
      </c>
      <c r="I104" t="b">
        <f t="shared" si="5"/>
        <v>1</v>
      </c>
      <c r="K104" s="1">
        <v>34000218</v>
      </c>
      <c r="L104" s="1" t="s">
        <v>482</v>
      </c>
      <c r="M104">
        <f>VLOOKUP(K104,'Distribusi SHU'!C:I,7,0)</f>
        <v>1018333.3333333334</v>
      </c>
    </row>
    <row r="105" spans="1:13" x14ac:dyDescent="0.2">
      <c r="A105">
        <v>34000514</v>
      </c>
      <c r="B105" t="s">
        <v>694</v>
      </c>
      <c r="C105" s="2">
        <v>0</v>
      </c>
      <c r="D105" s="3">
        <v>1530000</v>
      </c>
      <c r="E105" s="2">
        <f t="shared" si="3"/>
        <v>1530000</v>
      </c>
      <c r="F105" s="2">
        <v>1530000</v>
      </c>
      <c r="G105" s="2" t="b">
        <f t="shared" si="4"/>
        <v>1</v>
      </c>
      <c r="H105">
        <f>VLOOKUP(A105,'Distribusi SHU'!C:C,1,0)</f>
        <v>34000514</v>
      </c>
      <c r="I105" t="b">
        <f t="shared" si="5"/>
        <v>1</v>
      </c>
      <c r="K105" s="1">
        <v>34000379</v>
      </c>
      <c r="L105" s="1" t="s">
        <v>484</v>
      </c>
      <c r="M105">
        <f>VLOOKUP(K105,'Distribusi SHU'!C:I,7,0)</f>
        <v>1572500</v>
      </c>
    </row>
    <row r="106" spans="1:13" x14ac:dyDescent="0.2">
      <c r="A106">
        <v>34000515</v>
      </c>
      <c r="B106" t="s">
        <v>733</v>
      </c>
      <c r="C106" s="2">
        <v>0</v>
      </c>
      <c r="D106" s="3">
        <v>144000</v>
      </c>
      <c r="E106" s="2">
        <f t="shared" si="3"/>
        <v>144000</v>
      </c>
      <c r="F106" s="2">
        <v>144000</v>
      </c>
      <c r="G106" s="2" t="b">
        <f t="shared" si="4"/>
        <v>1</v>
      </c>
      <c r="H106">
        <f>VLOOKUP(A106,'Distribusi SHU'!C:C,1,0)</f>
        <v>34000515</v>
      </c>
      <c r="I106" t="b">
        <f t="shared" si="5"/>
        <v>1</v>
      </c>
      <c r="K106" s="1">
        <v>34000490</v>
      </c>
      <c r="L106" s="1" t="s">
        <v>486</v>
      </c>
      <c r="M106">
        <f>VLOOKUP(K106,'Distribusi SHU'!C:I,7,0)</f>
        <v>2130000</v>
      </c>
    </row>
    <row r="107" spans="1:13" x14ac:dyDescent="0.2">
      <c r="A107">
        <v>34000517</v>
      </c>
      <c r="B107" t="s">
        <v>186</v>
      </c>
      <c r="C107" s="2">
        <v>0</v>
      </c>
      <c r="D107" s="3">
        <v>612500</v>
      </c>
      <c r="E107" s="2">
        <f t="shared" si="3"/>
        <v>612500</v>
      </c>
      <c r="F107" s="2">
        <v>612500</v>
      </c>
      <c r="G107" s="2" t="b">
        <f t="shared" si="4"/>
        <v>1</v>
      </c>
      <c r="H107">
        <f>VLOOKUP(A107,'Distribusi SHU'!C:C,1,0)</f>
        <v>34000517</v>
      </c>
      <c r="I107" t="b">
        <f t="shared" si="5"/>
        <v>1</v>
      </c>
      <c r="K107" s="1">
        <v>34000470</v>
      </c>
      <c r="L107" s="1" t="s">
        <v>492</v>
      </c>
      <c r="M107">
        <f>VLOOKUP(K107,'Distribusi SHU'!C:I,7,0)</f>
        <v>1485000</v>
      </c>
    </row>
    <row r="108" spans="1:13" x14ac:dyDescent="0.2">
      <c r="A108">
        <v>34000520</v>
      </c>
      <c r="B108" t="s">
        <v>449</v>
      </c>
      <c r="C108" s="2">
        <v>0</v>
      </c>
      <c r="D108" s="3">
        <v>1485000</v>
      </c>
      <c r="E108" s="2">
        <f t="shared" si="3"/>
        <v>1485000</v>
      </c>
      <c r="F108" s="2">
        <v>1485000</v>
      </c>
      <c r="G108" s="2" t="b">
        <f t="shared" si="4"/>
        <v>1</v>
      </c>
      <c r="H108">
        <f>VLOOKUP(A108,'Distribusi SHU'!C:C,1,0)</f>
        <v>34000520</v>
      </c>
      <c r="I108" t="b">
        <f t="shared" si="5"/>
        <v>1</v>
      </c>
      <c r="K108" s="1">
        <v>34000562</v>
      </c>
      <c r="L108" s="1" t="s">
        <v>496</v>
      </c>
      <c r="M108">
        <f>VLOOKUP(K108,'Distribusi SHU'!C:I,7,0)</f>
        <v>1554000</v>
      </c>
    </row>
    <row r="109" spans="1:13" x14ac:dyDescent="0.2">
      <c r="A109">
        <v>34000522</v>
      </c>
      <c r="B109" t="s">
        <v>429</v>
      </c>
      <c r="C109" s="2">
        <v>0</v>
      </c>
      <c r="D109" s="3">
        <v>1200833.3333333333</v>
      </c>
      <c r="E109" s="2">
        <f t="shared" si="3"/>
        <v>1200833.3333333333</v>
      </c>
      <c r="F109" s="2">
        <v>1200833.3333333333</v>
      </c>
      <c r="G109" s="2" t="b">
        <f t="shared" si="4"/>
        <v>1</v>
      </c>
      <c r="H109">
        <f>VLOOKUP(A109,'Distribusi SHU'!C:C,1,0)</f>
        <v>34000522</v>
      </c>
      <c r="I109" t="b">
        <f t="shared" si="5"/>
        <v>1</v>
      </c>
      <c r="K109" s="1">
        <v>34000453</v>
      </c>
      <c r="L109" s="1" t="s">
        <v>562</v>
      </c>
      <c r="M109">
        <f>VLOOKUP(K109,'Distribusi SHU'!C:I,7,0)</f>
        <v>1922500</v>
      </c>
    </row>
    <row r="110" spans="1:13" x14ac:dyDescent="0.2">
      <c r="A110">
        <v>34000524</v>
      </c>
      <c r="B110" t="s">
        <v>343</v>
      </c>
      <c r="C110" s="2">
        <v>0</v>
      </c>
      <c r="D110" s="3">
        <v>1430000</v>
      </c>
      <c r="E110" s="2">
        <f t="shared" si="3"/>
        <v>1430000</v>
      </c>
      <c r="F110" s="2">
        <v>1430000</v>
      </c>
      <c r="G110" s="2" t="b">
        <f t="shared" si="4"/>
        <v>1</v>
      </c>
      <c r="H110">
        <f>VLOOKUP(A110,'Distribusi SHU'!C:C,1,0)</f>
        <v>34000524</v>
      </c>
      <c r="I110" t="b">
        <f t="shared" si="5"/>
        <v>1</v>
      </c>
      <c r="K110" s="1">
        <v>34000129</v>
      </c>
      <c r="L110" s="1" t="s">
        <v>564</v>
      </c>
      <c r="M110">
        <f>VLOOKUP(K110,'Distribusi SHU'!C:I,7,0)</f>
        <v>240000</v>
      </c>
    </row>
    <row r="111" spans="1:13" x14ac:dyDescent="0.2">
      <c r="A111">
        <v>34000526</v>
      </c>
      <c r="B111" t="s">
        <v>206</v>
      </c>
      <c r="C111" s="2">
        <v>0</v>
      </c>
      <c r="D111" s="3">
        <v>240000</v>
      </c>
      <c r="E111" s="2">
        <f t="shared" si="3"/>
        <v>240000</v>
      </c>
      <c r="F111" s="2">
        <v>240000</v>
      </c>
      <c r="G111" s="2" t="b">
        <f t="shared" si="4"/>
        <v>1</v>
      </c>
      <c r="H111">
        <f>VLOOKUP(A111,'Distribusi SHU'!C:C,1,0)</f>
        <v>34000526</v>
      </c>
      <c r="I111" t="b">
        <f t="shared" si="5"/>
        <v>1</v>
      </c>
      <c r="K111" s="1">
        <v>34000394</v>
      </c>
      <c r="L111" s="1" t="s">
        <v>535</v>
      </c>
      <c r="M111">
        <f>VLOOKUP(K111,'Distribusi SHU'!C:I,7,0)</f>
        <v>1890000</v>
      </c>
    </row>
    <row r="112" spans="1:13" x14ac:dyDescent="0.2">
      <c r="A112">
        <v>34000527</v>
      </c>
      <c r="B112" t="s">
        <v>270</v>
      </c>
      <c r="C112" s="2">
        <v>0</v>
      </c>
      <c r="D112" s="3">
        <v>2355000</v>
      </c>
      <c r="E112" s="2">
        <f t="shared" si="3"/>
        <v>2355000</v>
      </c>
      <c r="F112" s="2">
        <v>2355000</v>
      </c>
      <c r="G112" s="2" t="b">
        <f t="shared" si="4"/>
        <v>1</v>
      </c>
      <c r="H112">
        <f>VLOOKUP(A112,'Distribusi SHU'!C:C,1,0)</f>
        <v>34000527</v>
      </c>
      <c r="I112" t="b">
        <f t="shared" si="5"/>
        <v>1</v>
      </c>
      <c r="K112" s="1">
        <v>34000668</v>
      </c>
      <c r="L112" s="1" t="s">
        <v>567</v>
      </c>
      <c r="M112">
        <f>VLOOKUP(K112,'Distribusi SHU'!C:I,7,0)</f>
        <v>1839666.6666666667</v>
      </c>
    </row>
    <row r="113" spans="1:13" x14ac:dyDescent="0.2">
      <c r="A113">
        <v>34000532</v>
      </c>
      <c r="B113" t="s">
        <v>403</v>
      </c>
      <c r="C113" s="2">
        <v>0</v>
      </c>
      <c r="D113" s="3">
        <v>350000</v>
      </c>
      <c r="E113" s="2">
        <f t="shared" si="3"/>
        <v>350000</v>
      </c>
      <c r="F113" s="2">
        <v>350000</v>
      </c>
      <c r="G113" s="2" t="b">
        <f t="shared" si="4"/>
        <v>1</v>
      </c>
      <c r="H113">
        <f>VLOOKUP(A113,'Distribusi SHU'!C:C,1,0)</f>
        <v>34000532</v>
      </c>
      <c r="I113" t="b">
        <f t="shared" si="5"/>
        <v>1</v>
      </c>
      <c r="K113" s="1">
        <v>34000388</v>
      </c>
      <c r="L113" s="1" t="s">
        <v>538</v>
      </c>
      <c r="M113">
        <f>VLOOKUP(K113,'Distribusi SHU'!C:I,7,0)</f>
        <v>1250000</v>
      </c>
    </row>
    <row r="114" spans="1:13" x14ac:dyDescent="0.2">
      <c r="A114">
        <v>34000534</v>
      </c>
      <c r="B114" t="s">
        <v>381</v>
      </c>
      <c r="C114" s="2">
        <v>0</v>
      </c>
      <c r="D114" s="3">
        <v>2545000</v>
      </c>
      <c r="E114" s="2">
        <f t="shared" si="3"/>
        <v>2545000</v>
      </c>
      <c r="F114" s="2">
        <v>2545000</v>
      </c>
      <c r="G114" s="2" t="b">
        <f t="shared" si="4"/>
        <v>1</v>
      </c>
      <c r="H114">
        <f>VLOOKUP(A114,'Distribusi SHU'!C:C,1,0)</f>
        <v>34000534</v>
      </c>
      <c r="I114" t="b">
        <f t="shared" si="5"/>
        <v>1</v>
      </c>
      <c r="K114" s="1">
        <v>34000414</v>
      </c>
      <c r="L114" s="1" t="s">
        <v>570</v>
      </c>
      <c r="M114">
        <f>VLOOKUP(K114,'Distribusi SHU'!C:I,7,0)</f>
        <v>1620000</v>
      </c>
    </row>
    <row r="115" spans="1:13" x14ac:dyDescent="0.2">
      <c r="A115">
        <v>34000536</v>
      </c>
      <c r="B115" t="s">
        <v>679</v>
      </c>
      <c r="C115" s="2">
        <v>0</v>
      </c>
      <c r="D115" s="3">
        <v>109166.66666666667</v>
      </c>
      <c r="E115" s="2">
        <f t="shared" si="3"/>
        <v>109166.66666666667</v>
      </c>
      <c r="F115" s="2">
        <v>109166.66666666667</v>
      </c>
      <c r="G115" s="2" t="b">
        <f t="shared" si="4"/>
        <v>1</v>
      </c>
      <c r="H115">
        <f>VLOOKUP(A115,'Distribusi SHU'!C:C,1,0)</f>
        <v>34000536</v>
      </c>
      <c r="I115" t="b">
        <f t="shared" si="5"/>
        <v>1</v>
      </c>
      <c r="K115" s="1">
        <v>34000282</v>
      </c>
      <c r="L115" s="1" t="s">
        <v>574</v>
      </c>
      <c r="M115">
        <f>VLOOKUP(K115,'Distribusi SHU'!C:I,7,0)</f>
        <v>180000</v>
      </c>
    </row>
    <row r="116" spans="1:13" x14ac:dyDescent="0.2">
      <c r="A116">
        <v>34000541</v>
      </c>
      <c r="B116" t="s">
        <v>441</v>
      </c>
      <c r="C116" s="2">
        <v>0</v>
      </c>
      <c r="D116" s="3">
        <v>520833.33333333337</v>
      </c>
      <c r="E116" s="2">
        <f t="shared" si="3"/>
        <v>520833.33333333337</v>
      </c>
      <c r="F116" s="2">
        <v>520833.33333333337</v>
      </c>
      <c r="G116" s="2" t="b">
        <f t="shared" si="4"/>
        <v>1</v>
      </c>
      <c r="H116">
        <f>VLOOKUP(A116,'Distribusi SHU'!C:C,1,0)</f>
        <v>34000541</v>
      </c>
      <c r="I116" t="b">
        <f t="shared" si="5"/>
        <v>1</v>
      </c>
      <c r="K116" s="1">
        <v>34000096</v>
      </c>
      <c r="L116" s="1" t="s">
        <v>576</v>
      </c>
      <c r="M116">
        <f>VLOOKUP(K116,'Distribusi SHU'!C:I,7,0)</f>
        <v>1420000</v>
      </c>
    </row>
    <row r="117" spans="1:13" x14ac:dyDescent="0.2">
      <c r="A117">
        <v>34000552</v>
      </c>
      <c r="B117" t="s">
        <v>363</v>
      </c>
      <c r="C117" s="2">
        <v>0</v>
      </c>
      <c r="D117" s="3">
        <v>1770000</v>
      </c>
      <c r="E117" s="2">
        <f t="shared" si="3"/>
        <v>1770000</v>
      </c>
      <c r="F117" s="2">
        <v>1770000</v>
      </c>
      <c r="G117" s="2" t="b">
        <f t="shared" si="4"/>
        <v>1</v>
      </c>
      <c r="H117">
        <f>VLOOKUP(A117,'Distribusi SHU'!C:C,1,0)</f>
        <v>34000552</v>
      </c>
      <c r="I117" t="b">
        <f t="shared" si="5"/>
        <v>1</v>
      </c>
      <c r="K117" s="1">
        <v>34000128</v>
      </c>
      <c r="L117" s="1" t="s">
        <v>578</v>
      </c>
      <c r="M117">
        <f>VLOOKUP(K117,'Distribusi SHU'!C:I,7,0)</f>
        <v>787500</v>
      </c>
    </row>
    <row r="118" spans="1:13" x14ac:dyDescent="0.2">
      <c r="A118">
        <v>34000562</v>
      </c>
      <c r="B118" t="s">
        <v>496</v>
      </c>
      <c r="C118" s="2">
        <v>0</v>
      </c>
      <c r="D118" s="3">
        <v>1554000</v>
      </c>
      <c r="E118" s="2">
        <f t="shared" si="3"/>
        <v>1554000</v>
      </c>
      <c r="F118" s="2">
        <v>1554000</v>
      </c>
      <c r="G118" s="2" t="b">
        <f t="shared" si="4"/>
        <v>1</v>
      </c>
      <c r="H118">
        <f>VLOOKUP(A118,'Distribusi SHU'!C:C,1,0)</f>
        <v>34000562</v>
      </c>
      <c r="I118" t="b">
        <f t="shared" si="5"/>
        <v>1</v>
      </c>
      <c r="K118" s="1">
        <v>34000628</v>
      </c>
      <c r="L118" s="1" t="s">
        <v>580</v>
      </c>
      <c r="M118">
        <f>VLOOKUP(K118,'Distribusi SHU'!C:I,7,0)</f>
        <v>1920000</v>
      </c>
    </row>
    <row r="119" spans="1:13" x14ac:dyDescent="0.2">
      <c r="A119">
        <v>34000570</v>
      </c>
      <c r="B119" t="s">
        <v>135</v>
      </c>
      <c r="C119" s="2">
        <v>0</v>
      </c>
      <c r="D119" s="3">
        <v>1116000</v>
      </c>
      <c r="E119" s="2">
        <f t="shared" si="3"/>
        <v>1116000</v>
      </c>
      <c r="F119" s="2">
        <v>1116000</v>
      </c>
      <c r="G119" s="2" t="b">
        <f t="shared" si="4"/>
        <v>1</v>
      </c>
      <c r="H119">
        <f>VLOOKUP(A119,'Distribusi SHU'!C:C,1,0)</f>
        <v>34000570</v>
      </c>
      <c r="I119" t="b">
        <f t="shared" si="5"/>
        <v>1</v>
      </c>
      <c r="K119" s="1">
        <v>34000425</v>
      </c>
      <c r="L119" s="1" t="s">
        <v>583</v>
      </c>
      <c r="M119">
        <f>VLOOKUP(K119,'Distribusi SHU'!C:I,7,0)</f>
        <v>1050000</v>
      </c>
    </row>
    <row r="120" spans="1:13" x14ac:dyDescent="0.2">
      <c r="A120">
        <v>34000571</v>
      </c>
      <c r="B120" t="s">
        <v>216</v>
      </c>
      <c r="C120" s="2">
        <v>0</v>
      </c>
      <c r="D120" s="3">
        <v>1162666.6666666667</v>
      </c>
      <c r="E120" s="2">
        <f t="shared" si="3"/>
        <v>1162666.6666666667</v>
      </c>
      <c r="F120" s="2">
        <v>1162666.6666666667</v>
      </c>
      <c r="G120" s="2" t="b">
        <f t="shared" si="4"/>
        <v>1</v>
      </c>
      <c r="H120">
        <f>VLOOKUP(A120,'Distribusi SHU'!C:C,1,0)</f>
        <v>34000571</v>
      </c>
      <c r="I120" t="b">
        <f t="shared" si="5"/>
        <v>1</v>
      </c>
      <c r="K120" s="1">
        <v>34000049</v>
      </c>
      <c r="L120" s="1" t="s">
        <v>585</v>
      </c>
      <c r="M120">
        <f>VLOOKUP(K120,'Distribusi SHU'!C:I,7,0)</f>
        <v>1050000</v>
      </c>
    </row>
    <row r="121" spans="1:13" x14ac:dyDescent="0.2">
      <c r="A121">
        <v>34000573</v>
      </c>
      <c r="B121" t="s">
        <v>681</v>
      </c>
      <c r="C121" s="2">
        <v>0</v>
      </c>
      <c r="D121" s="3">
        <v>1083333.3333333333</v>
      </c>
      <c r="E121" s="2">
        <f t="shared" si="3"/>
        <v>1083333.3333333333</v>
      </c>
      <c r="F121" s="2">
        <v>1083333.3333333333</v>
      </c>
      <c r="G121" s="2" t="b">
        <f t="shared" si="4"/>
        <v>1</v>
      </c>
      <c r="H121">
        <f>VLOOKUP(A121,'Distribusi SHU'!C:C,1,0)</f>
        <v>34000573</v>
      </c>
      <c r="I121" t="b">
        <f t="shared" si="5"/>
        <v>1</v>
      </c>
      <c r="K121" s="1">
        <v>34000785</v>
      </c>
      <c r="L121" s="1" t="s">
        <v>587</v>
      </c>
      <c r="M121">
        <f>VLOOKUP(K121,'Distribusi SHU'!C:I,7,0)</f>
        <v>1920000</v>
      </c>
    </row>
    <row r="122" spans="1:13" x14ac:dyDescent="0.2">
      <c r="A122">
        <v>34000574</v>
      </c>
      <c r="B122" t="s">
        <v>650</v>
      </c>
      <c r="C122" s="2">
        <v>0</v>
      </c>
      <c r="D122" s="3">
        <v>1890000</v>
      </c>
      <c r="E122" s="2">
        <f t="shared" si="3"/>
        <v>1890000</v>
      </c>
      <c r="F122" s="2">
        <v>1890000</v>
      </c>
      <c r="G122" s="2" t="b">
        <f t="shared" si="4"/>
        <v>1</v>
      </c>
      <c r="H122">
        <f>VLOOKUP(A122,'Distribusi SHU'!C:C,1,0)</f>
        <v>34000574</v>
      </c>
      <c r="I122" t="b">
        <f t="shared" si="5"/>
        <v>1</v>
      </c>
      <c r="K122" s="1">
        <v>34000634</v>
      </c>
      <c r="L122" s="1" t="s">
        <v>589</v>
      </c>
      <c r="M122">
        <f>VLOOKUP(K122,'Distribusi SHU'!C:I,7,0)</f>
        <v>1200000</v>
      </c>
    </row>
    <row r="123" spans="1:13" x14ac:dyDescent="0.2">
      <c r="A123">
        <v>34000575</v>
      </c>
      <c r="B123" t="s">
        <v>451</v>
      </c>
      <c r="C123" s="2">
        <v>0</v>
      </c>
      <c r="D123" s="3">
        <v>770000</v>
      </c>
      <c r="E123" s="2">
        <f t="shared" si="3"/>
        <v>770000</v>
      </c>
      <c r="F123" s="2">
        <v>770000</v>
      </c>
      <c r="G123" s="2" t="b">
        <f t="shared" si="4"/>
        <v>1</v>
      </c>
      <c r="H123">
        <f>VLOOKUP(A123,'Distribusi SHU'!C:C,1,0)</f>
        <v>34000575</v>
      </c>
      <c r="I123" t="b">
        <f t="shared" si="5"/>
        <v>1</v>
      </c>
      <c r="K123" s="1">
        <v>34000132</v>
      </c>
      <c r="L123" s="1" t="s">
        <v>599</v>
      </c>
      <c r="M123">
        <f>VLOOKUP(K123,'Distribusi SHU'!C:I,7,0)</f>
        <v>2280000</v>
      </c>
    </row>
    <row r="124" spans="1:13" x14ac:dyDescent="0.2">
      <c r="A124">
        <v>34000582</v>
      </c>
      <c r="B124" t="s">
        <v>308</v>
      </c>
      <c r="C124" s="2">
        <v>0</v>
      </c>
      <c r="D124" s="3">
        <v>982833.33333333337</v>
      </c>
      <c r="E124" s="2">
        <f t="shared" si="3"/>
        <v>982833.33333333337</v>
      </c>
      <c r="F124" s="2">
        <v>982833.33333333337</v>
      </c>
      <c r="G124" s="2" t="b">
        <f t="shared" si="4"/>
        <v>1</v>
      </c>
      <c r="H124">
        <f>VLOOKUP(A124,'Distribusi SHU'!C:C,1,0)</f>
        <v>34000582</v>
      </c>
      <c r="I124" t="b">
        <f t="shared" si="5"/>
        <v>1</v>
      </c>
      <c r="K124" s="1">
        <v>34000594</v>
      </c>
      <c r="L124" s="1" t="s">
        <v>601</v>
      </c>
      <c r="M124">
        <f>VLOOKUP(K124,'Distribusi SHU'!C:I,7,0)</f>
        <v>1194000</v>
      </c>
    </row>
    <row r="125" spans="1:13" x14ac:dyDescent="0.2">
      <c r="A125">
        <v>34000589</v>
      </c>
      <c r="B125" t="s">
        <v>642</v>
      </c>
      <c r="C125" s="2">
        <v>0</v>
      </c>
      <c r="D125" s="3">
        <v>1232500</v>
      </c>
      <c r="E125" s="2">
        <f t="shared" si="3"/>
        <v>1232500</v>
      </c>
      <c r="F125" s="2">
        <v>1232500</v>
      </c>
      <c r="G125" s="2" t="b">
        <f t="shared" si="4"/>
        <v>1</v>
      </c>
      <c r="H125">
        <f>VLOOKUP(A125,'Distribusi SHU'!C:C,1,0)</f>
        <v>34000589</v>
      </c>
      <c r="I125" t="b">
        <f t="shared" si="5"/>
        <v>1</v>
      </c>
      <c r="K125" s="1">
        <v>34000125</v>
      </c>
      <c r="L125" s="1" t="s">
        <v>603</v>
      </c>
      <c r="M125">
        <f>VLOOKUP(K125,'Distribusi SHU'!C:I,7,0)</f>
        <v>2254166.666666667</v>
      </c>
    </row>
    <row r="126" spans="1:13" x14ac:dyDescent="0.2">
      <c r="A126">
        <v>34000594</v>
      </c>
      <c r="B126" t="s">
        <v>601</v>
      </c>
      <c r="C126" s="2">
        <v>0</v>
      </c>
      <c r="D126" s="3">
        <v>1194000</v>
      </c>
      <c r="E126" s="2">
        <f t="shared" si="3"/>
        <v>1194000</v>
      </c>
      <c r="F126" s="2">
        <v>1194000</v>
      </c>
      <c r="G126" s="2" t="b">
        <f t="shared" si="4"/>
        <v>1</v>
      </c>
      <c r="H126">
        <f>VLOOKUP(A126,'Distribusi SHU'!C:C,1,0)</f>
        <v>34000594</v>
      </c>
      <c r="I126" t="b">
        <f t="shared" si="5"/>
        <v>1</v>
      </c>
      <c r="K126" s="1">
        <v>34000314</v>
      </c>
      <c r="L126" s="1" t="s">
        <v>605</v>
      </c>
      <c r="M126">
        <f>VLOOKUP(K126,'Distribusi SHU'!C:I,7,0)</f>
        <v>1050000</v>
      </c>
    </row>
    <row r="127" spans="1:13" x14ac:dyDescent="0.2">
      <c r="A127">
        <v>34000601</v>
      </c>
      <c r="B127" t="s">
        <v>652</v>
      </c>
      <c r="C127" s="2">
        <v>0</v>
      </c>
      <c r="D127" s="3">
        <v>1950000</v>
      </c>
      <c r="E127" s="2">
        <f t="shared" si="3"/>
        <v>1950000</v>
      </c>
      <c r="F127" s="2">
        <v>1950000</v>
      </c>
      <c r="G127" s="2" t="b">
        <f t="shared" si="4"/>
        <v>1</v>
      </c>
      <c r="H127">
        <f>VLOOKUP(A127,'Distribusi SHU'!C:C,1,0)</f>
        <v>34000601</v>
      </c>
      <c r="I127" t="b">
        <f t="shared" si="5"/>
        <v>1</v>
      </c>
      <c r="K127" s="1">
        <v>34000728</v>
      </c>
      <c r="L127" s="1" t="s">
        <v>616</v>
      </c>
      <c r="M127">
        <f>VLOOKUP(K127,'Distribusi SHU'!C:I,7,0)</f>
        <v>1770000</v>
      </c>
    </row>
    <row r="128" spans="1:13" x14ac:dyDescent="0.2">
      <c r="A128">
        <v>34000605</v>
      </c>
      <c r="B128" t="s">
        <v>1263</v>
      </c>
      <c r="C128" s="2">
        <v>0</v>
      </c>
      <c r="D128" s="3">
        <v>486000</v>
      </c>
      <c r="E128" s="2">
        <f t="shared" si="3"/>
        <v>486000</v>
      </c>
      <c r="F128" s="2">
        <v>486000</v>
      </c>
      <c r="G128" s="2" t="b">
        <f t="shared" si="4"/>
        <v>1</v>
      </c>
      <c r="H128">
        <f>VLOOKUP(A128,'Distribusi SHU'!C:C,1,0)</f>
        <v>34000605</v>
      </c>
      <c r="I128" t="b">
        <f t="shared" si="5"/>
        <v>1</v>
      </c>
      <c r="K128" s="1">
        <v>34000311</v>
      </c>
      <c r="L128" s="1" t="s">
        <v>633</v>
      </c>
      <c r="M128">
        <f>VLOOKUP(K128,'Distribusi SHU'!C:I,7,0)</f>
        <v>1560833.3333333333</v>
      </c>
    </row>
    <row r="129" spans="1:13" x14ac:dyDescent="0.2">
      <c r="A129">
        <v>34000624</v>
      </c>
      <c r="B129" t="s">
        <v>315</v>
      </c>
      <c r="C129" s="2">
        <v>0</v>
      </c>
      <c r="D129" s="3">
        <v>720000</v>
      </c>
      <c r="E129" s="2">
        <f t="shared" si="3"/>
        <v>720000</v>
      </c>
      <c r="F129" s="2">
        <v>720000</v>
      </c>
      <c r="G129" s="2" t="b">
        <f t="shared" si="4"/>
        <v>1</v>
      </c>
      <c r="H129">
        <f>VLOOKUP(A129,'Distribusi SHU'!C:C,1,0)</f>
        <v>34000624</v>
      </c>
      <c r="I129" t="b">
        <f t="shared" si="5"/>
        <v>1</v>
      </c>
      <c r="K129" s="1">
        <v>34000589</v>
      </c>
      <c r="L129" s="1" t="s">
        <v>642</v>
      </c>
      <c r="M129">
        <f>VLOOKUP(K129,'Distribusi SHU'!C:I,7,0)</f>
        <v>1232500</v>
      </c>
    </row>
    <row r="130" spans="1:13" x14ac:dyDescent="0.2">
      <c r="A130">
        <v>34000625</v>
      </c>
      <c r="B130" t="s">
        <v>172</v>
      </c>
      <c r="C130" s="2">
        <v>0</v>
      </c>
      <c r="D130" s="3">
        <v>1050000</v>
      </c>
      <c r="E130" s="2">
        <f t="shared" ref="E130:E176" si="6">SUM(C130:D130)</f>
        <v>1050000</v>
      </c>
      <c r="F130" s="2">
        <v>1050000</v>
      </c>
      <c r="G130" s="2" t="b">
        <f t="shared" si="4"/>
        <v>1</v>
      </c>
      <c r="H130">
        <f>VLOOKUP(A130,'Distribusi SHU'!C:C,1,0)</f>
        <v>34000625</v>
      </c>
      <c r="I130" t="b">
        <f t="shared" si="5"/>
        <v>1</v>
      </c>
      <c r="K130" s="1">
        <v>34000216</v>
      </c>
      <c r="L130" s="1" t="s">
        <v>644</v>
      </c>
      <c r="M130">
        <f>VLOOKUP(K130,'Distribusi SHU'!C:I,7,0)</f>
        <v>625000</v>
      </c>
    </row>
    <row r="131" spans="1:13" x14ac:dyDescent="0.2">
      <c r="A131">
        <v>34000628</v>
      </c>
      <c r="B131" t="s">
        <v>580</v>
      </c>
      <c r="C131" s="2">
        <v>0</v>
      </c>
      <c r="D131" s="3">
        <v>1920000</v>
      </c>
      <c r="E131" s="2">
        <f t="shared" si="6"/>
        <v>1920000</v>
      </c>
      <c r="F131" s="2">
        <v>1920000</v>
      </c>
      <c r="G131" s="2" t="b">
        <f t="shared" ref="G131:G175" si="7">D131=F131</f>
        <v>1</v>
      </c>
      <c r="H131">
        <f>VLOOKUP(A131,'Distribusi SHU'!C:C,1,0)</f>
        <v>34000628</v>
      </c>
      <c r="I131" t="b">
        <f t="shared" ref="I131:I175" si="8">A131=H131</f>
        <v>1</v>
      </c>
      <c r="K131" s="1">
        <v>34000689</v>
      </c>
      <c r="L131" s="1" t="s">
        <v>646</v>
      </c>
      <c r="M131">
        <f>VLOOKUP(K131,'Distribusi SHU'!C:I,7,0)</f>
        <v>1257500</v>
      </c>
    </row>
    <row r="132" spans="1:13" x14ac:dyDescent="0.2">
      <c r="A132">
        <v>34000630</v>
      </c>
      <c r="B132" t="s">
        <v>453</v>
      </c>
      <c r="C132" s="2">
        <v>0</v>
      </c>
      <c r="D132" s="3">
        <v>782000</v>
      </c>
      <c r="E132" s="2">
        <f t="shared" si="6"/>
        <v>782000</v>
      </c>
      <c r="F132" s="2">
        <v>782000</v>
      </c>
      <c r="G132" s="2" t="b">
        <f t="shared" si="7"/>
        <v>1</v>
      </c>
      <c r="H132">
        <f>VLOOKUP(A132,'Distribusi SHU'!C:C,1,0)</f>
        <v>34000630</v>
      </c>
      <c r="I132" t="b">
        <f t="shared" si="8"/>
        <v>1</v>
      </c>
      <c r="K132" s="1">
        <v>34000574</v>
      </c>
      <c r="L132" s="1" t="s">
        <v>650</v>
      </c>
      <c r="M132">
        <f>VLOOKUP(K132,'Distribusi SHU'!C:I,7,0)</f>
        <v>1890000</v>
      </c>
    </row>
    <row r="133" spans="1:13" x14ac:dyDescent="0.2">
      <c r="A133">
        <v>34000631</v>
      </c>
      <c r="B133" t="s">
        <v>247</v>
      </c>
      <c r="C133" s="2">
        <v>0</v>
      </c>
      <c r="D133" s="3">
        <v>1977500.0000000005</v>
      </c>
      <c r="E133" s="2">
        <f t="shared" si="6"/>
        <v>1977500.0000000005</v>
      </c>
      <c r="F133" s="2">
        <v>1977500.0000000005</v>
      </c>
      <c r="G133" s="2" t="b">
        <f t="shared" si="7"/>
        <v>1</v>
      </c>
      <c r="H133">
        <f>VLOOKUP(A133,'Distribusi SHU'!C:C,1,0)</f>
        <v>34000631</v>
      </c>
      <c r="I133" t="b">
        <f t="shared" si="8"/>
        <v>1</v>
      </c>
      <c r="K133" s="1">
        <v>34000601</v>
      </c>
      <c r="L133" s="1" t="s">
        <v>652</v>
      </c>
      <c r="M133">
        <f>VLOOKUP(K133,'Distribusi SHU'!C:I,7,0)</f>
        <v>1950000</v>
      </c>
    </row>
    <row r="134" spans="1:13" x14ac:dyDescent="0.2">
      <c r="A134">
        <v>34000634</v>
      </c>
      <c r="B134" t="s">
        <v>589</v>
      </c>
      <c r="C134" s="2">
        <v>0</v>
      </c>
      <c r="D134" s="3">
        <v>1200000</v>
      </c>
      <c r="E134" s="2">
        <f t="shared" si="6"/>
        <v>1200000</v>
      </c>
      <c r="F134" s="2">
        <v>1200000</v>
      </c>
      <c r="G134" s="2" t="b">
        <f t="shared" si="7"/>
        <v>1</v>
      </c>
      <c r="H134">
        <f>VLOOKUP(A134,'Distribusi SHU'!C:C,1,0)</f>
        <v>34000634</v>
      </c>
      <c r="I134" t="b">
        <f t="shared" si="8"/>
        <v>1</v>
      </c>
      <c r="K134" s="1">
        <v>34000380</v>
      </c>
      <c r="L134" s="1" t="s">
        <v>654</v>
      </c>
      <c r="M134">
        <f>VLOOKUP(K134,'Distribusi SHU'!C:I,7,0)</f>
        <v>1955000</v>
      </c>
    </row>
    <row r="135" spans="1:13" x14ac:dyDescent="0.2">
      <c r="A135">
        <v>34000635</v>
      </c>
      <c r="B135" t="s">
        <v>245</v>
      </c>
      <c r="C135" s="2">
        <v>0</v>
      </c>
      <c r="D135" s="3">
        <v>2280833.3333333335</v>
      </c>
      <c r="E135" s="2">
        <f t="shared" si="6"/>
        <v>2280833.3333333335</v>
      </c>
      <c r="F135" s="2">
        <v>2280833.3333333335</v>
      </c>
      <c r="G135" s="2" t="b">
        <f t="shared" si="7"/>
        <v>1</v>
      </c>
      <c r="H135">
        <f>VLOOKUP(A135,'Distribusi SHU'!C:C,1,0)</f>
        <v>34000635</v>
      </c>
      <c r="I135" t="b">
        <f t="shared" si="8"/>
        <v>1</v>
      </c>
      <c r="K135" s="1">
        <v>34000680</v>
      </c>
      <c r="L135" s="1" t="s">
        <v>617</v>
      </c>
      <c r="M135">
        <f>VLOOKUP(K135,'Distribusi SHU'!C:I,7,0)</f>
        <v>641666.66666666674</v>
      </c>
    </row>
    <row r="136" spans="1:13" x14ac:dyDescent="0.2">
      <c r="A136">
        <v>34000639</v>
      </c>
      <c r="B136" t="s">
        <v>470</v>
      </c>
      <c r="C136" s="2">
        <v>0</v>
      </c>
      <c r="D136" s="3">
        <v>813333.33333333337</v>
      </c>
      <c r="E136" s="2">
        <f t="shared" si="6"/>
        <v>813333.33333333337</v>
      </c>
      <c r="F136" s="2">
        <v>813333.33333333337</v>
      </c>
      <c r="G136" s="2" t="b">
        <f t="shared" si="7"/>
        <v>1</v>
      </c>
      <c r="H136">
        <f>VLOOKUP(A136,'Distribusi SHU'!C:C,1,0)</f>
        <v>34000639</v>
      </c>
      <c r="I136" t="b">
        <f t="shared" si="8"/>
        <v>1</v>
      </c>
      <c r="K136" s="1">
        <v>34000250</v>
      </c>
      <c r="L136" s="1" t="s">
        <v>661</v>
      </c>
      <c r="M136">
        <f>VLOOKUP(K136,'Distribusi SHU'!C:I,7,0)</f>
        <v>1604166.6666666667</v>
      </c>
    </row>
    <row r="137" spans="1:13" x14ac:dyDescent="0.2">
      <c r="A137">
        <v>34000640</v>
      </c>
      <c r="B137" t="s">
        <v>230</v>
      </c>
      <c r="C137" s="2">
        <v>0</v>
      </c>
      <c r="D137" s="3">
        <v>1920000</v>
      </c>
      <c r="E137" s="2">
        <f t="shared" si="6"/>
        <v>1920000</v>
      </c>
      <c r="F137" s="2">
        <v>1920000</v>
      </c>
      <c r="G137" s="2" t="b">
        <f t="shared" si="7"/>
        <v>1</v>
      </c>
      <c r="H137">
        <f>VLOOKUP(A137,'Distribusi SHU'!C:C,1,0)</f>
        <v>34000640</v>
      </c>
      <c r="I137" t="b">
        <f t="shared" si="8"/>
        <v>1</v>
      </c>
      <c r="K137" s="1">
        <v>34000736</v>
      </c>
      <c r="L137" s="1" t="s">
        <v>665</v>
      </c>
      <c r="M137">
        <f>VLOOKUP(K137,'Distribusi SHU'!C:I,7,0)</f>
        <v>960000</v>
      </c>
    </row>
    <row r="138" spans="1:13" x14ac:dyDescent="0.2">
      <c r="A138">
        <v>34000643</v>
      </c>
      <c r="B138" t="s">
        <v>375</v>
      </c>
      <c r="C138" s="2">
        <v>0</v>
      </c>
      <c r="D138" s="3">
        <v>1250000</v>
      </c>
      <c r="E138" s="2">
        <f t="shared" si="6"/>
        <v>1250000</v>
      </c>
      <c r="F138" s="2">
        <v>1250000</v>
      </c>
      <c r="G138" s="2" t="b">
        <f t="shared" si="7"/>
        <v>1</v>
      </c>
      <c r="H138">
        <f>VLOOKUP(A138,'Distribusi SHU'!C:C,1,0)</f>
        <v>34000643</v>
      </c>
      <c r="I138" t="b">
        <f t="shared" si="8"/>
        <v>1</v>
      </c>
      <c r="K138" s="1">
        <v>34000300</v>
      </c>
      <c r="L138" s="1" t="s">
        <v>667</v>
      </c>
      <c r="M138">
        <f>VLOOKUP(K138,'Distribusi SHU'!C:I,7,0)</f>
        <v>1530000</v>
      </c>
    </row>
    <row r="139" spans="1:13" x14ac:dyDescent="0.2">
      <c r="A139">
        <v>34000645</v>
      </c>
      <c r="B139" t="s">
        <v>737</v>
      </c>
      <c r="C139" s="2">
        <v>0</v>
      </c>
      <c r="D139" s="3">
        <v>687500</v>
      </c>
      <c r="E139" s="2">
        <f t="shared" si="6"/>
        <v>687500</v>
      </c>
      <c r="F139" s="2">
        <v>687500</v>
      </c>
      <c r="G139" s="2" t="b">
        <f t="shared" si="7"/>
        <v>1</v>
      </c>
      <c r="H139">
        <f>VLOOKUP(A139,'Distribusi SHU'!C:C,1,0)</f>
        <v>34000645</v>
      </c>
      <c r="I139" t="b">
        <f t="shared" si="8"/>
        <v>1</v>
      </c>
      <c r="K139" s="1">
        <v>34000773</v>
      </c>
      <c r="L139" s="1" t="s">
        <v>669</v>
      </c>
      <c r="M139">
        <f>VLOOKUP(K139,'Distribusi SHU'!C:I,7,0)</f>
        <v>1050000</v>
      </c>
    </row>
    <row r="140" spans="1:13" x14ac:dyDescent="0.2">
      <c r="A140">
        <v>34000648</v>
      </c>
      <c r="B140" t="s">
        <v>462</v>
      </c>
      <c r="C140" s="2">
        <v>0</v>
      </c>
      <c r="D140" s="3">
        <v>896666.66666666674</v>
      </c>
      <c r="E140" s="2">
        <f t="shared" si="6"/>
        <v>896666.66666666674</v>
      </c>
      <c r="F140" s="2">
        <v>896666.66666666674</v>
      </c>
      <c r="G140" s="2" t="b">
        <f t="shared" si="7"/>
        <v>1</v>
      </c>
      <c r="H140">
        <f>VLOOKUP(A140,'Distribusi SHU'!C:C,1,0)</f>
        <v>34000648</v>
      </c>
      <c r="I140" t="b">
        <f t="shared" si="8"/>
        <v>1</v>
      </c>
      <c r="K140" s="1">
        <v>34000307</v>
      </c>
      <c r="L140" s="1" t="s">
        <v>671</v>
      </c>
      <c r="M140">
        <f>VLOOKUP(K140,'Distribusi SHU'!C:I,7,0)</f>
        <v>834166.66666666663</v>
      </c>
    </row>
    <row r="141" spans="1:13" x14ac:dyDescent="0.2">
      <c r="A141">
        <v>34000653</v>
      </c>
      <c r="B141" t="s">
        <v>131</v>
      </c>
      <c r="C141" s="2">
        <v>0</v>
      </c>
      <c r="D141" s="3">
        <v>1920000</v>
      </c>
      <c r="E141" s="2">
        <f t="shared" si="6"/>
        <v>1920000</v>
      </c>
      <c r="F141" s="2">
        <v>1920000</v>
      </c>
      <c r="G141" s="2" t="b">
        <f t="shared" si="7"/>
        <v>1</v>
      </c>
      <c r="H141">
        <f>VLOOKUP(A141,'Distribusi SHU'!C:C,1,0)</f>
        <v>34000653</v>
      </c>
      <c r="I141" t="b">
        <f t="shared" si="8"/>
        <v>1</v>
      </c>
      <c r="K141" s="1">
        <v>34000766</v>
      </c>
      <c r="L141" s="1" t="s">
        <v>675</v>
      </c>
      <c r="M141">
        <f>VLOOKUP(K141,'Distribusi SHU'!C:I,7,0)</f>
        <v>1050000</v>
      </c>
    </row>
    <row r="142" spans="1:13" x14ac:dyDescent="0.2">
      <c r="A142">
        <v>34000654</v>
      </c>
      <c r="B142" t="s">
        <v>220</v>
      </c>
      <c r="C142" s="2">
        <v>0</v>
      </c>
      <c r="D142" s="3">
        <v>1250000</v>
      </c>
      <c r="E142" s="2">
        <f t="shared" si="6"/>
        <v>1250000</v>
      </c>
      <c r="F142" s="2">
        <v>1250000</v>
      </c>
      <c r="G142" s="2" t="b">
        <f t="shared" si="7"/>
        <v>1</v>
      </c>
      <c r="H142">
        <f>VLOOKUP(A142,'Distribusi SHU'!C:C,1,0)</f>
        <v>34000654</v>
      </c>
      <c r="I142" t="b">
        <f t="shared" si="8"/>
        <v>1</v>
      </c>
      <c r="K142" s="1">
        <v>34000255</v>
      </c>
      <c r="L142" s="1" t="s">
        <v>677</v>
      </c>
      <c r="M142">
        <f>VLOOKUP(K142,'Distribusi SHU'!C:I,7,0)</f>
        <v>1050000</v>
      </c>
    </row>
    <row r="143" spans="1:13" x14ac:dyDescent="0.2">
      <c r="A143">
        <v>34000658</v>
      </c>
      <c r="B143" t="s">
        <v>755</v>
      </c>
      <c r="C143" s="2">
        <v>0</v>
      </c>
      <c r="D143" s="3">
        <v>1410000</v>
      </c>
      <c r="E143" s="2">
        <f t="shared" si="6"/>
        <v>1410000</v>
      </c>
      <c r="F143" s="2">
        <v>1410000</v>
      </c>
      <c r="G143" s="2" t="b">
        <f t="shared" si="7"/>
        <v>1</v>
      </c>
      <c r="H143">
        <f>VLOOKUP(A143,'Distribusi SHU'!C:C,1,0)</f>
        <v>34000658</v>
      </c>
      <c r="I143" t="b">
        <f t="shared" si="8"/>
        <v>1</v>
      </c>
      <c r="K143" s="1">
        <v>34000536</v>
      </c>
      <c r="L143" s="1" t="s">
        <v>679</v>
      </c>
      <c r="M143">
        <f>VLOOKUP(K143,'Distribusi SHU'!C:I,7,0)</f>
        <v>109166.66666666667</v>
      </c>
    </row>
    <row r="144" spans="1:13" x14ac:dyDescent="0.2">
      <c r="A144">
        <v>34000668</v>
      </c>
      <c r="B144" t="s">
        <v>567</v>
      </c>
      <c r="C144" s="2">
        <v>0</v>
      </c>
      <c r="D144" s="3">
        <v>1839666.6666666667</v>
      </c>
      <c r="E144" s="2">
        <f t="shared" si="6"/>
        <v>1839666.6666666667</v>
      </c>
      <c r="F144" s="2">
        <v>1839666.6666666667</v>
      </c>
      <c r="G144" s="2" t="b">
        <f t="shared" si="7"/>
        <v>1</v>
      </c>
      <c r="H144">
        <f>VLOOKUP(A144,'Distribusi SHU'!C:C,1,0)</f>
        <v>34000668</v>
      </c>
      <c r="I144" t="b">
        <f t="shared" si="8"/>
        <v>1</v>
      </c>
      <c r="K144" s="1">
        <v>34000573</v>
      </c>
      <c r="L144" s="1" t="s">
        <v>681</v>
      </c>
      <c r="M144">
        <f>VLOOKUP(K144,'Distribusi SHU'!C:I,7,0)</f>
        <v>1083333.3333333333</v>
      </c>
    </row>
    <row r="145" spans="1:13" x14ac:dyDescent="0.2">
      <c r="A145">
        <v>34000680</v>
      </c>
      <c r="B145" t="s">
        <v>617</v>
      </c>
      <c r="C145" s="2">
        <v>0</v>
      </c>
      <c r="D145" s="3">
        <v>641666.66666666674</v>
      </c>
      <c r="E145" s="2">
        <f t="shared" si="6"/>
        <v>641666.66666666674</v>
      </c>
      <c r="F145" s="2">
        <v>641666.66666666674</v>
      </c>
      <c r="G145" s="2" t="b">
        <f t="shared" si="7"/>
        <v>1</v>
      </c>
      <c r="H145">
        <f>VLOOKUP(A145,'Distribusi SHU'!C:C,1,0)</f>
        <v>34000680</v>
      </c>
      <c r="I145" t="b">
        <f t="shared" si="8"/>
        <v>1</v>
      </c>
      <c r="K145" s="1">
        <v>34000761</v>
      </c>
      <c r="L145" s="1" t="s">
        <v>683</v>
      </c>
      <c r="M145">
        <f>VLOOKUP(K145,'Distribusi SHU'!C:I,7,0)</f>
        <v>1050000</v>
      </c>
    </row>
    <row r="146" spans="1:13" x14ac:dyDescent="0.2">
      <c r="A146">
        <v>34000689</v>
      </c>
      <c r="B146" t="s">
        <v>646</v>
      </c>
      <c r="C146" s="2">
        <v>0</v>
      </c>
      <c r="D146" s="3">
        <v>1257500</v>
      </c>
      <c r="E146" s="2">
        <f t="shared" si="6"/>
        <v>1257500</v>
      </c>
      <c r="F146" s="2">
        <v>1257500</v>
      </c>
      <c r="G146" s="2" t="b">
        <f t="shared" si="7"/>
        <v>1</v>
      </c>
      <c r="H146">
        <f>VLOOKUP(A146,'Distribusi SHU'!C:C,1,0)</f>
        <v>34000689</v>
      </c>
      <c r="I146" t="b">
        <f t="shared" si="8"/>
        <v>1</v>
      </c>
      <c r="K146" s="1">
        <v>34000116</v>
      </c>
      <c r="L146" s="1" t="s">
        <v>321</v>
      </c>
      <c r="M146">
        <f>VLOOKUP(K146,'Distribusi SHU'!C:I,7,0)</f>
        <v>917333.33333333326</v>
      </c>
    </row>
    <row r="147" spans="1:13" x14ac:dyDescent="0.2">
      <c r="A147">
        <v>34000691</v>
      </c>
      <c r="B147" t="s">
        <v>190</v>
      </c>
      <c r="C147" s="2">
        <v>0</v>
      </c>
      <c r="D147" s="3">
        <v>350000</v>
      </c>
      <c r="E147" s="2">
        <f t="shared" si="6"/>
        <v>350000</v>
      </c>
      <c r="F147" s="2">
        <v>350000</v>
      </c>
      <c r="G147" s="2" t="b">
        <f t="shared" si="7"/>
        <v>1</v>
      </c>
      <c r="H147">
        <f>VLOOKUP(A147,'Distribusi SHU'!C:C,1,0)</f>
        <v>34000691</v>
      </c>
      <c r="I147" t="b">
        <f t="shared" si="8"/>
        <v>1</v>
      </c>
      <c r="K147" s="1">
        <v>34000101</v>
      </c>
      <c r="L147" s="1" t="s">
        <v>687</v>
      </c>
      <c r="M147">
        <f>VLOOKUP(K147,'Distribusi SHU'!C:I,7,0)</f>
        <v>2130000</v>
      </c>
    </row>
    <row r="148" spans="1:13" x14ac:dyDescent="0.2">
      <c r="A148">
        <v>34000692</v>
      </c>
      <c r="B148" t="s">
        <v>155</v>
      </c>
      <c r="C148" s="2">
        <v>0</v>
      </c>
      <c r="D148" s="3">
        <v>2210000.0000000005</v>
      </c>
      <c r="E148" s="2">
        <f t="shared" si="6"/>
        <v>2210000.0000000005</v>
      </c>
      <c r="F148" s="2">
        <v>2210000.0000000005</v>
      </c>
      <c r="G148" s="2" t="b">
        <f t="shared" si="7"/>
        <v>1</v>
      </c>
      <c r="H148">
        <f>VLOOKUP(A148,'Distribusi SHU'!C:C,1,0)</f>
        <v>34000692</v>
      </c>
      <c r="I148" t="b">
        <f t="shared" si="8"/>
        <v>1</v>
      </c>
      <c r="K148" s="1">
        <v>34000862</v>
      </c>
      <c r="L148" s="1" t="s">
        <v>729</v>
      </c>
      <c r="M148">
        <f>VLOOKUP(K148,'Distribusi SHU'!C:I,7,0)</f>
        <v>962500</v>
      </c>
    </row>
    <row r="149" spans="1:13" x14ac:dyDescent="0.2">
      <c r="A149">
        <v>34000695</v>
      </c>
      <c r="B149" t="s">
        <v>260</v>
      </c>
      <c r="C149" s="2">
        <v>0</v>
      </c>
      <c r="D149" s="3">
        <v>3345000</v>
      </c>
      <c r="E149" s="2">
        <f t="shared" si="6"/>
        <v>3345000</v>
      </c>
      <c r="F149" s="2">
        <v>3345000</v>
      </c>
      <c r="G149" s="2" t="b">
        <f t="shared" si="7"/>
        <v>1</v>
      </c>
      <c r="H149">
        <f>VLOOKUP(A149,'Distribusi SHU'!C:C,1,0)</f>
        <v>34000695</v>
      </c>
      <c r="I149" t="b">
        <f t="shared" si="8"/>
        <v>1</v>
      </c>
      <c r="K149" s="1">
        <v>34000515</v>
      </c>
      <c r="L149" s="1" t="s">
        <v>733</v>
      </c>
      <c r="M149">
        <f>VLOOKUP(K149,'Distribusi SHU'!C:I,7,0)</f>
        <v>144000</v>
      </c>
    </row>
    <row r="150" spans="1:13" x14ac:dyDescent="0.2">
      <c r="A150">
        <v>34000701</v>
      </c>
      <c r="B150" t="s">
        <v>433</v>
      </c>
      <c r="C150" s="2">
        <v>0</v>
      </c>
      <c r="D150" s="3">
        <v>475555.55555555556</v>
      </c>
      <c r="E150" s="2">
        <f t="shared" si="6"/>
        <v>475555.55555555556</v>
      </c>
      <c r="F150" s="2">
        <v>475555.55555555556</v>
      </c>
      <c r="G150" s="2" t="b">
        <f t="shared" si="7"/>
        <v>1</v>
      </c>
      <c r="H150">
        <f>VLOOKUP(A150,'Distribusi SHU'!C:C,1,0)</f>
        <v>34000701</v>
      </c>
      <c r="I150" t="b">
        <f t="shared" si="8"/>
        <v>1</v>
      </c>
      <c r="K150" s="1">
        <v>34000645</v>
      </c>
      <c r="L150" s="1" t="s">
        <v>737</v>
      </c>
      <c r="M150">
        <f>VLOOKUP(K150,'Distribusi SHU'!C:I,7,0)</f>
        <v>687500</v>
      </c>
    </row>
    <row r="151" spans="1:13" x14ac:dyDescent="0.2">
      <c r="A151">
        <v>34000727</v>
      </c>
      <c r="B151" t="s">
        <v>443</v>
      </c>
      <c r="C151" s="2">
        <v>0</v>
      </c>
      <c r="D151" s="3">
        <v>109166.66666666667</v>
      </c>
      <c r="E151" s="2">
        <f t="shared" si="6"/>
        <v>109166.66666666667</v>
      </c>
      <c r="F151" s="2">
        <v>109166.66666666667</v>
      </c>
      <c r="G151" s="2" t="b">
        <f t="shared" si="7"/>
        <v>1</v>
      </c>
      <c r="H151">
        <f>VLOOKUP(A151,'Distribusi SHU'!C:C,1,0)</f>
        <v>34000727</v>
      </c>
      <c r="I151" t="b">
        <f t="shared" si="8"/>
        <v>1</v>
      </c>
      <c r="K151" s="1">
        <v>34000413</v>
      </c>
      <c r="L151" s="1" t="s">
        <v>739</v>
      </c>
      <c r="M151">
        <f>VLOOKUP(K151,'Distribusi SHU'!C:I,7,0)</f>
        <v>1555000</v>
      </c>
    </row>
    <row r="152" spans="1:13" x14ac:dyDescent="0.2">
      <c r="A152">
        <v>34000728</v>
      </c>
      <c r="B152" t="s">
        <v>616</v>
      </c>
      <c r="C152" s="2">
        <v>0</v>
      </c>
      <c r="D152" s="3">
        <v>1770000</v>
      </c>
      <c r="E152" s="2">
        <f t="shared" si="6"/>
        <v>1770000</v>
      </c>
      <c r="F152" s="2">
        <v>1770000</v>
      </c>
      <c r="G152" s="2" t="b">
        <f t="shared" si="7"/>
        <v>1</v>
      </c>
      <c r="H152">
        <f>VLOOKUP(A152,'Distribusi SHU'!C:C,1,0)</f>
        <v>34000728</v>
      </c>
      <c r="I152" t="b">
        <f t="shared" si="8"/>
        <v>1</v>
      </c>
      <c r="K152" s="1">
        <v>34000418</v>
      </c>
      <c r="L152" s="1" t="s">
        <v>745</v>
      </c>
      <c r="M152">
        <f>VLOOKUP(K152,'Distribusi SHU'!C:I,7,0)</f>
        <v>486833.33333333331</v>
      </c>
    </row>
    <row r="153" spans="1:13" x14ac:dyDescent="0.2">
      <c r="A153">
        <v>34000736</v>
      </c>
      <c r="B153" t="s">
        <v>665</v>
      </c>
      <c r="C153" s="2">
        <v>0</v>
      </c>
      <c r="D153" s="3">
        <v>960000</v>
      </c>
      <c r="E153" s="2">
        <f t="shared" si="6"/>
        <v>960000</v>
      </c>
      <c r="F153" s="2">
        <v>960000</v>
      </c>
      <c r="G153" s="2" t="b">
        <f t="shared" si="7"/>
        <v>1</v>
      </c>
      <c r="H153">
        <f>VLOOKUP(A153,'Distribusi SHU'!C:C,1,0)</f>
        <v>34000736</v>
      </c>
      <c r="I153" t="b">
        <f t="shared" si="8"/>
        <v>1</v>
      </c>
      <c r="K153" s="1">
        <v>34000479</v>
      </c>
      <c r="L153" s="1" t="s">
        <v>747</v>
      </c>
      <c r="M153">
        <f>VLOOKUP(K153,'Distribusi SHU'!C:I,7,0)</f>
        <v>436666.66666666669</v>
      </c>
    </row>
    <row r="154" spans="1:13" x14ac:dyDescent="0.2">
      <c r="A154">
        <v>34000754</v>
      </c>
      <c r="B154" t="s">
        <v>415</v>
      </c>
      <c r="C154" s="2">
        <v>0</v>
      </c>
      <c r="D154" s="3">
        <v>198000</v>
      </c>
      <c r="E154" s="2">
        <f t="shared" si="6"/>
        <v>198000</v>
      </c>
      <c r="F154" s="2">
        <v>198000</v>
      </c>
      <c r="G154" s="2" t="b">
        <f t="shared" si="7"/>
        <v>1</v>
      </c>
      <c r="H154">
        <f>VLOOKUP(A154,'Distribusi SHU'!C:C,1,0)</f>
        <v>34000754</v>
      </c>
      <c r="I154" t="b">
        <f t="shared" si="8"/>
        <v>1</v>
      </c>
      <c r="K154" s="1">
        <v>34000238</v>
      </c>
      <c r="L154" s="1" t="s">
        <v>749</v>
      </c>
      <c r="M154">
        <f>VLOOKUP(K154,'Distribusi SHU'!C:I,7,0)</f>
        <v>1409166.6666666665</v>
      </c>
    </row>
    <row r="155" spans="1:13" x14ac:dyDescent="0.2">
      <c r="A155">
        <v>34000758</v>
      </c>
      <c r="B155" t="s">
        <v>474</v>
      </c>
      <c r="C155" s="2">
        <v>0</v>
      </c>
      <c r="D155" s="3">
        <v>1050000</v>
      </c>
      <c r="E155" s="2">
        <f t="shared" si="6"/>
        <v>1050000</v>
      </c>
      <c r="F155" s="2">
        <v>1050000</v>
      </c>
      <c r="G155" s="2" t="b">
        <f t="shared" si="7"/>
        <v>1</v>
      </c>
      <c r="H155">
        <f>VLOOKUP(A155,'Distribusi SHU'!C:C,1,0)</f>
        <v>34000758</v>
      </c>
      <c r="I155" t="b">
        <f t="shared" si="8"/>
        <v>1</v>
      </c>
      <c r="K155" s="1">
        <v>34000143</v>
      </c>
      <c r="L155" s="1" t="s">
        <v>751</v>
      </c>
      <c r="M155">
        <f>VLOOKUP(K155,'Distribusi SHU'!C:I,7,0)</f>
        <v>1920000</v>
      </c>
    </row>
    <row r="156" spans="1:13" x14ac:dyDescent="0.2">
      <c r="A156">
        <v>34000759</v>
      </c>
      <c r="B156" t="s">
        <v>1242</v>
      </c>
      <c r="C156" s="2">
        <v>0</v>
      </c>
      <c r="D156" s="3">
        <v>614166.66666666663</v>
      </c>
      <c r="E156" s="2">
        <f t="shared" si="6"/>
        <v>614166.66666666663</v>
      </c>
      <c r="F156" s="2">
        <v>614166.66666666663</v>
      </c>
      <c r="G156" s="2" t="b">
        <f t="shared" si="7"/>
        <v>1</v>
      </c>
      <c r="H156">
        <f>VLOOKUP(A156,'Distribusi SHU'!C:C,1,0)</f>
        <v>34000759</v>
      </c>
      <c r="I156" t="b">
        <f t="shared" si="8"/>
        <v>1</v>
      </c>
      <c r="K156" s="1">
        <v>34000787</v>
      </c>
      <c r="L156" s="1" t="s">
        <v>753</v>
      </c>
      <c r="M156">
        <f>VLOOKUP(K156,'Distribusi SHU'!C:I,7,0)</f>
        <v>1455000</v>
      </c>
    </row>
    <row r="157" spans="1:13" x14ac:dyDescent="0.2">
      <c r="A157">
        <v>34000761</v>
      </c>
      <c r="B157" t="s">
        <v>683</v>
      </c>
      <c r="C157" s="2">
        <v>0</v>
      </c>
      <c r="D157" s="3">
        <v>1050000</v>
      </c>
      <c r="E157" s="2">
        <f t="shared" si="6"/>
        <v>1050000</v>
      </c>
      <c r="F157" s="2">
        <v>1050000</v>
      </c>
      <c r="G157" s="2" t="b">
        <f t="shared" si="7"/>
        <v>1</v>
      </c>
      <c r="H157">
        <f>VLOOKUP(A157,'Distribusi SHU'!C:C,1,0)</f>
        <v>34000761</v>
      </c>
      <c r="I157" t="b">
        <f t="shared" si="8"/>
        <v>1</v>
      </c>
      <c r="K157" s="1">
        <v>34000658</v>
      </c>
      <c r="L157" s="1" t="s">
        <v>755</v>
      </c>
      <c r="M157">
        <f>VLOOKUP(K157,'Distribusi SHU'!C:I,7,0)</f>
        <v>1410000</v>
      </c>
    </row>
    <row r="158" spans="1:13" x14ac:dyDescent="0.2">
      <c r="A158">
        <v>34000765</v>
      </c>
      <c r="B158" t="s">
        <v>457</v>
      </c>
      <c r="C158" s="2">
        <v>0</v>
      </c>
      <c r="D158" s="3">
        <v>1050000</v>
      </c>
      <c r="E158" s="2">
        <f t="shared" si="6"/>
        <v>1050000</v>
      </c>
      <c r="F158" s="2">
        <v>1050000</v>
      </c>
      <c r="G158" s="2" t="b">
        <f t="shared" si="7"/>
        <v>1</v>
      </c>
      <c r="H158">
        <f>VLOOKUP(A158,'Distribusi SHU'!C:C,1,0)</f>
        <v>34000765</v>
      </c>
      <c r="I158" t="b">
        <f t="shared" si="8"/>
        <v>1</v>
      </c>
      <c r="K158" s="1">
        <v>34000335</v>
      </c>
      <c r="L158" s="1" t="s">
        <v>771</v>
      </c>
      <c r="M158">
        <f>VLOOKUP(K158,'Distribusi SHU'!C:I,7,0)</f>
        <v>960000</v>
      </c>
    </row>
    <row r="159" spans="1:13" x14ac:dyDescent="0.2">
      <c r="A159">
        <v>34000766</v>
      </c>
      <c r="B159" t="s">
        <v>675</v>
      </c>
      <c r="C159" s="2">
        <v>0</v>
      </c>
      <c r="D159" s="3">
        <v>1050000</v>
      </c>
      <c r="E159" s="2">
        <f t="shared" si="6"/>
        <v>1050000</v>
      </c>
      <c r="F159" s="2">
        <v>1050000</v>
      </c>
      <c r="G159" s="2" t="b">
        <f t="shared" si="7"/>
        <v>1</v>
      </c>
      <c r="H159">
        <f>VLOOKUP(A159,'Distribusi SHU'!C:C,1,0)</f>
        <v>34000766</v>
      </c>
      <c r="I159" t="b">
        <f t="shared" si="8"/>
        <v>1</v>
      </c>
      <c r="K159" s="1">
        <v>34000094</v>
      </c>
      <c r="L159" s="1" t="s">
        <v>773</v>
      </c>
      <c r="M159">
        <f>VLOOKUP(K159,'Distribusi SHU'!C:I,7,0)</f>
        <v>1244166.6666666665</v>
      </c>
    </row>
    <row r="160" spans="1:13" x14ac:dyDescent="0.2">
      <c r="A160">
        <v>34000773</v>
      </c>
      <c r="B160" t="s">
        <v>669</v>
      </c>
      <c r="C160" s="2">
        <v>0</v>
      </c>
      <c r="D160" s="3">
        <v>1050000</v>
      </c>
      <c r="E160" s="2">
        <f t="shared" si="6"/>
        <v>1050000</v>
      </c>
      <c r="F160" s="2">
        <v>1050000</v>
      </c>
      <c r="G160" s="2" t="b">
        <f t="shared" si="7"/>
        <v>1</v>
      </c>
      <c r="H160">
        <f>VLOOKUP(A160,'Distribusi SHU'!C:C,1,0)</f>
        <v>34000773</v>
      </c>
      <c r="I160" t="b">
        <f t="shared" si="8"/>
        <v>1</v>
      </c>
      <c r="K160" s="1">
        <v>34000860</v>
      </c>
      <c r="L160" s="1" t="s">
        <v>780</v>
      </c>
      <c r="M160">
        <f>VLOOKUP(K160,'Distribusi SHU'!C:I,7,0)</f>
        <v>750000</v>
      </c>
    </row>
    <row r="161" spans="1:13" x14ac:dyDescent="0.2">
      <c r="A161">
        <v>34000778</v>
      </c>
      <c r="B161" t="s">
        <v>1252</v>
      </c>
      <c r="C161" s="2">
        <v>0</v>
      </c>
      <c r="D161" s="3">
        <v>854166.66666666674</v>
      </c>
      <c r="E161" s="2">
        <f t="shared" si="6"/>
        <v>854166.66666666674</v>
      </c>
      <c r="F161" s="2">
        <v>854166.66666666674</v>
      </c>
      <c r="G161" s="2" t="b">
        <f t="shared" si="7"/>
        <v>1</v>
      </c>
      <c r="H161">
        <f>VLOOKUP(A161,'Distribusi SHU'!C:C,1,0)</f>
        <v>34000778</v>
      </c>
      <c r="I161" t="b">
        <f t="shared" si="8"/>
        <v>1</v>
      </c>
      <c r="K161" s="1">
        <v>34000895</v>
      </c>
      <c r="L161" s="1" t="s">
        <v>789</v>
      </c>
      <c r="M161">
        <f>VLOOKUP(K161,'Distribusi SHU'!C:I,7,0)</f>
        <v>1088000</v>
      </c>
    </row>
    <row r="162" spans="1:13" x14ac:dyDescent="0.2">
      <c r="A162">
        <v>34000780</v>
      </c>
      <c r="B162" t="s">
        <v>320</v>
      </c>
      <c r="C162" s="2">
        <v>0</v>
      </c>
      <c r="D162" s="3">
        <v>2295000</v>
      </c>
      <c r="E162" s="2">
        <f t="shared" si="6"/>
        <v>2295000</v>
      </c>
      <c r="F162" s="2">
        <v>2295000</v>
      </c>
      <c r="G162" s="2" t="b">
        <f t="shared" si="7"/>
        <v>1</v>
      </c>
      <c r="H162">
        <f>VLOOKUP(A162,'Distribusi SHU'!C:C,1,0)</f>
        <v>34000780</v>
      </c>
      <c r="I162" t="b">
        <f t="shared" si="8"/>
        <v>1</v>
      </c>
      <c r="K162" s="1">
        <v>34000473</v>
      </c>
      <c r="L162" s="1" t="s">
        <v>797</v>
      </c>
      <c r="M162">
        <f>VLOOKUP(K162,'Distribusi SHU'!C:I,7,0)</f>
        <v>2150000.0000000005</v>
      </c>
    </row>
    <row r="163" spans="1:13" x14ac:dyDescent="0.2">
      <c r="A163">
        <v>34000785</v>
      </c>
      <c r="B163" t="s">
        <v>587</v>
      </c>
      <c r="C163" s="2">
        <v>0</v>
      </c>
      <c r="D163" s="3">
        <v>1920000</v>
      </c>
      <c r="E163" s="2">
        <f t="shared" si="6"/>
        <v>1920000</v>
      </c>
      <c r="F163" s="2">
        <v>1920000</v>
      </c>
      <c r="G163" s="2" t="b">
        <f t="shared" si="7"/>
        <v>1</v>
      </c>
      <c r="H163">
        <f>VLOOKUP(A163,'Distribusi SHU'!C:C,1,0)</f>
        <v>34000785</v>
      </c>
      <c r="I163" t="b">
        <f t="shared" si="8"/>
        <v>1</v>
      </c>
      <c r="K163" s="1">
        <v>34000159</v>
      </c>
      <c r="L163" s="1" t="s">
        <v>811</v>
      </c>
      <c r="M163">
        <f>VLOOKUP(K163,'Distribusi SHU'!C:I,7,0)</f>
        <v>1800000</v>
      </c>
    </row>
    <row r="164" spans="1:13" x14ac:dyDescent="0.2">
      <c r="A164">
        <v>34000787</v>
      </c>
      <c r="B164" t="s">
        <v>753</v>
      </c>
      <c r="C164" s="2">
        <v>0</v>
      </c>
      <c r="D164" s="3">
        <v>1455000</v>
      </c>
      <c r="E164" s="2">
        <f t="shared" si="6"/>
        <v>1455000</v>
      </c>
      <c r="F164" s="2">
        <v>1455000</v>
      </c>
      <c r="G164" s="2" t="b">
        <f t="shared" si="7"/>
        <v>1</v>
      </c>
      <c r="H164">
        <f>VLOOKUP(A164,'Distribusi SHU'!C:C,1,0)</f>
        <v>34000787</v>
      </c>
      <c r="I164" t="b">
        <f t="shared" si="8"/>
        <v>1</v>
      </c>
      <c r="K164" s="1">
        <v>34000074</v>
      </c>
      <c r="L164" s="1" t="s">
        <v>1235</v>
      </c>
      <c r="M164">
        <f>VLOOKUP(K164,'Distribusi SHU'!C:I,7,0)</f>
        <v>594000</v>
      </c>
    </row>
    <row r="165" spans="1:13" x14ac:dyDescent="0.2">
      <c r="A165">
        <v>34000794</v>
      </c>
      <c r="B165" t="s">
        <v>1383</v>
      </c>
      <c r="C165" s="2">
        <v>0</v>
      </c>
      <c r="D165" s="3">
        <v>1080000</v>
      </c>
      <c r="E165" s="2">
        <f t="shared" si="6"/>
        <v>1080000</v>
      </c>
      <c r="F165" s="2">
        <v>1080000</v>
      </c>
      <c r="G165" s="2" t="b">
        <f t="shared" si="7"/>
        <v>1</v>
      </c>
      <c r="H165">
        <f>VLOOKUP(A165,'Distribusi SHU'!C:C,1,0)</f>
        <v>34000794</v>
      </c>
      <c r="I165" t="b">
        <f t="shared" si="8"/>
        <v>1</v>
      </c>
      <c r="K165" s="1">
        <v>34000206</v>
      </c>
      <c r="L165" s="1" t="s">
        <v>1239</v>
      </c>
      <c r="M165">
        <f>VLOOKUP(K165,'Distribusi SHU'!C:I,7,0)</f>
        <v>1345000</v>
      </c>
    </row>
    <row r="166" spans="1:13" x14ac:dyDescent="0.2">
      <c r="A166">
        <v>34000807</v>
      </c>
      <c r="B166" t="s">
        <v>423</v>
      </c>
      <c r="C166" s="2">
        <v>0</v>
      </c>
      <c r="D166" s="3">
        <v>1434000</v>
      </c>
      <c r="E166" s="2">
        <f t="shared" si="6"/>
        <v>1434000</v>
      </c>
      <c r="F166" s="2">
        <v>1434000</v>
      </c>
      <c r="G166" s="2" t="b">
        <f t="shared" si="7"/>
        <v>1</v>
      </c>
      <c r="H166">
        <f>VLOOKUP(A166,'Distribusi SHU'!C:C,1,0)</f>
        <v>34000807</v>
      </c>
      <c r="I166" t="b">
        <f t="shared" si="8"/>
        <v>1</v>
      </c>
      <c r="K166" s="1">
        <v>34000635</v>
      </c>
      <c r="L166" s="1" t="s">
        <v>245</v>
      </c>
      <c r="M166">
        <f>VLOOKUP(K166,'Distribusi SHU'!C:I,7,0)</f>
        <v>2280833.3333333335</v>
      </c>
    </row>
    <row r="167" spans="1:13" x14ac:dyDescent="0.2">
      <c r="A167">
        <v>34000860</v>
      </c>
      <c r="B167" t="s">
        <v>780</v>
      </c>
      <c r="C167" s="2">
        <v>0</v>
      </c>
      <c r="D167" s="3">
        <v>750000</v>
      </c>
      <c r="E167" s="2">
        <f t="shared" si="6"/>
        <v>750000</v>
      </c>
      <c r="F167" s="2">
        <v>750000</v>
      </c>
      <c r="G167" s="2" t="b">
        <f t="shared" si="7"/>
        <v>1</v>
      </c>
      <c r="H167">
        <f>VLOOKUP(A167,'Distribusi SHU'!C:C,1,0)</f>
        <v>34000860</v>
      </c>
      <c r="I167" t="b">
        <f t="shared" si="8"/>
        <v>1</v>
      </c>
      <c r="K167" s="1">
        <v>34000759</v>
      </c>
      <c r="L167" s="1" t="s">
        <v>1242</v>
      </c>
      <c r="M167">
        <f>VLOOKUP(K167,'Distribusi SHU'!C:I,7,0)</f>
        <v>614166.66666666663</v>
      </c>
    </row>
    <row r="168" spans="1:13" x14ac:dyDescent="0.2">
      <c r="A168">
        <v>34000862</v>
      </c>
      <c r="B168" t="s">
        <v>729</v>
      </c>
      <c r="C168" s="2">
        <v>0</v>
      </c>
      <c r="D168" s="3">
        <v>962500</v>
      </c>
      <c r="E168" s="2">
        <f t="shared" si="6"/>
        <v>962500</v>
      </c>
      <c r="F168" s="2">
        <v>962500</v>
      </c>
      <c r="G168" s="2" t="b">
        <f t="shared" si="7"/>
        <v>1</v>
      </c>
      <c r="H168">
        <f>VLOOKUP(A168,'Distribusi SHU'!C:C,1,0)</f>
        <v>34000862</v>
      </c>
      <c r="I168" t="b">
        <f t="shared" si="8"/>
        <v>1</v>
      </c>
      <c r="K168" s="1">
        <v>34000927</v>
      </c>
      <c r="L168" s="1" t="s">
        <v>1250</v>
      </c>
      <c r="M168">
        <f>VLOOKUP(K168,'Distribusi SHU'!C:I,7,0)</f>
        <v>614166.66666666663</v>
      </c>
    </row>
    <row r="169" spans="1:13" x14ac:dyDescent="0.2">
      <c r="A169" s="1">
        <v>34000895</v>
      </c>
      <c r="B169" t="s">
        <v>789</v>
      </c>
      <c r="C169" s="2">
        <f>SUM(C2:C168)</f>
        <v>0</v>
      </c>
      <c r="D169" s="3">
        <v>1088000</v>
      </c>
      <c r="E169" s="2">
        <f t="shared" si="6"/>
        <v>1088000</v>
      </c>
      <c r="F169" s="2">
        <v>1088000</v>
      </c>
      <c r="G169" s="2" t="b">
        <f t="shared" si="7"/>
        <v>1</v>
      </c>
      <c r="H169">
        <f>VLOOKUP(A169,'Distribusi SHU'!C:C,1,0)</f>
        <v>34000895</v>
      </c>
      <c r="I169" t="b">
        <f t="shared" si="8"/>
        <v>1</v>
      </c>
      <c r="K169" s="1">
        <v>34000778</v>
      </c>
      <c r="L169" s="1" t="s">
        <v>1252</v>
      </c>
      <c r="M169">
        <f>VLOOKUP(K169,'Distribusi SHU'!C:I,7,0)</f>
        <v>854166.66666666674</v>
      </c>
    </row>
    <row r="170" spans="1:13" x14ac:dyDescent="0.2">
      <c r="A170">
        <v>34000927</v>
      </c>
      <c r="B170" t="s">
        <v>1250</v>
      </c>
      <c r="C170" s="2">
        <f>SUM(C3:C169)</f>
        <v>0</v>
      </c>
      <c r="D170" s="3">
        <v>614166.66666666663</v>
      </c>
      <c r="E170" s="2">
        <f t="shared" si="6"/>
        <v>614166.66666666663</v>
      </c>
      <c r="F170" s="2">
        <v>614166.66666666663</v>
      </c>
      <c r="G170" s="2" t="b">
        <f t="shared" si="7"/>
        <v>1</v>
      </c>
      <c r="H170">
        <f>VLOOKUP(A170,'Distribusi SHU'!C:C,1,0)</f>
        <v>34000927</v>
      </c>
      <c r="I170" t="b">
        <f t="shared" si="8"/>
        <v>1</v>
      </c>
      <c r="K170" s="1">
        <v>34000934</v>
      </c>
      <c r="L170" s="1" t="s">
        <v>1259</v>
      </c>
      <c r="M170">
        <f>VLOOKUP(K170,'Distribusi SHU'!C:I,7,0)</f>
        <v>240000</v>
      </c>
    </row>
    <row r="171" spans="1:13" x14ac:dyDescent="0.2">
      <c r="A171">
        <v>34000934</v>
      </c>
      <c r="B171" t="s">
        <v>1259</v>
      </c>
      <c r="C171" s="2">
        <f>SUM(C4:C170)</f>
        <v>0</v>
      </c>
      <c r="D171" s="3">
        <v>240000</v>
      </c>
      <c r="E171" s="2">
        <f t="shared" si="6"/>
        <v>240000</v>
      </c>
      <c r="F171" s="2">
        <v>240000</v>
      </c>
      <c r="G171" s="2" t="b">
        <f t="shared" si="7"/>
        <v>1</v>
      </c>
      <c r="H171">
        <f>VLOOKUP(A171,'Distribusi SHU'!C:C,1,0)</f>
        <v>34000934</v>
      </c>
      <c r="I171" t="b">
        <f t="shared" si="8"/>
        <v>1</v>
      </c>
      <c r="K171" s="1">
        <v>34000605</v>
      </c>
      <c r="L171" s="1" t="s">
        <v>1263</v>
      </c>
      <c r="M171">
        <f>VLOOKUP(K171,'Distribusi SHU'!C:I,7,0)</f>
        <v>486000</v>
      </c>
    </row>
    <row r="172" spans="1:13" x14ac:dyDescent="0.2">
      <c r="A172">
        <v>34000949</v>
      </c>
      <c r="B172" t="s">
        <v>1311</v>
      </c>
      <c r="C172" s="2">
        <f>SUM(C5:C171)</f>
        <v>0</v>
      </c>
      <c r="D172" s="3">
        <v>60000</v>
      </c>
      <c r="E172" s="2">
        <f t="shared" si="6"/>
        <v>60000</v>
      </c>
      <c r="F172" s="2">
        <v>60000</v>
      </c>
      <c r="G172" s="2" t="b">
        <f t="shared" si="7"/>
        <v>1</v>
      </c>
      <c r="H172">
        <f>VLOOKUP(A172,'Distribusi SHU'!C:C,1,0)</f>
        <v>34000949</v>
      </c>
      <c r="I172" t="b">
        <f t="shared" si="8"/>
        <v>1</v>
      </c>
      <c r="K172" s="1">
        <v>34000273</v>
      </c>
      <c r="L172" s="1" t="s">
        <v>1271</v>
      </c>
      <c r="M172">
        <f>VLOOKUP(K172,'Distribusi SHU'!C:I,7,0)</f>
        <v>480000</v>
      </c>
    </row>
    <row r="173" spans="1:13" x14ac:dyDescent="0.2">
      <c r="A173">
        <v>34000962</v>
      </c>
      <c r="B173" t="s">
        <v>1281</v>
      </c>
      <c r="C173" s="2">
        <f>SUM(C6:C172)</f>
        <v>0</v>
      </c>
      <c r="D173" s="3">
        <v>360000</v>
      </c>
      <c r="E173" s="2">
        <f t="shared" si="6"/>
        <v>360000</v>
      </c>
      <c r="F173" s="2">
        <v>360000</v>
      </c>
      <c r="G173" s="2" t="b">
        <f t="shared" si="7"/>
        <v>1</v>
      </c>
      <c r="H173">
        <f>VLOOKUP(A173,'Distribusi SHU'!C:C,1,0)</f>
        <v>34000962</v>
      </c>
      <c r="I173" t="b">
        <f t="shared" si="8"/>
        <v>1</v>
      </c>
      <c r="K173" s="1">
        <v>34000962</v>
      </c>
      <c r="L173" s="1" t="s">
        <v>1281</v>
      </c>
      <c r="M173">
        <f>VLOOKUP(K173,'Distribusi SHU'!C:I,7,0)</f>
        <v>360000</v>
      </c>
    </row>
    <row r="174" spans="1:13" x14ac:dyDescent="0.2">
      <c r="A174">
        <v>34000258</v>
      </c>
      <c r="B174" t="s">
        <v>226</v>
      </c>
      <c r="C174" s="2">
        <f>SUM(C8:C173)</f>
        <v>0</v>
      </c>
      <c r="D174" s="3">
        <v>1440000</v>
      </c>
      <c r="E174" s="2">
        <f t="shared" si="6"/>
        <v>1440000</v>
      </c>
      <c r="F174" s="2">
        <v>1440000</v>
      </c>
      <c r="G174" s="2" t="b">
        <f t="shared" si="7"/>
        <v>1</v>
      </c>
      <c r="H174">
        <f>VLOOKUP(A174,'Distribusi SHU'!C:C,1,0)</f>
        <v>34000258</v>
      </c>
      <c r="I174" t="b">
        <f t="shared" si="8"/>
        <v>1</v>
      </c>
      <c r="K174" s="1">
        <v>34000067</v>
      </c>
      <c r="L174" s="1" t="s">
        <v>1299</v>
      </c>
      <c r="M174">
        <f>VLOOKUP(K174,'Distribusi SHU'!C:I,7,0)</f>
        <v>840000</v>
      </c>
    </row>
    <row r="175" spans="1:13" x14ac:dyDescent="0.2">
      <c r="A175">
        <v>34000404</v>
      </c>
      <c r="B175" t="s">
        <v>288</v>
      </c>
      <c r="C175" s="2">
        <f>SUM(C9:C174)</f>
        <v>0</v>
      </c>
      <c r="D175" s="3">
        <v>558333.33333333326</v>
      </c>
      <c r="E175" s="2">
        <f t="shared" si="6"/>
        <v>558333.33333333326</v>
      </c>
      <c r="F175" s="2">
        <v>558333.33333333326</v>
      </c>
      <c r="G175" s="2" t="b">
        <f t="shared" si="7"/>
        <v>1</v>
      </c>
      <c r="H175">
        <f>VLOOKUP(A175,'Distribusi SHU'!C:C,1,0)</f>
        <v>34000404</v>
      </c>
      <c r="I175" t="b">
        <f t="shared" si="8"/>
        <v>1</v>
      </c>
      <c r="K175" s="1">
        <v>34000949</v>
      </c>
      <c r="L175" s="1" t="s">
        <v>1311</v>
      </c>
      <c r="M175">
        <f>VLOOKUP(K175,'Distribusi SHU'!C:I,7,0)</f>
        <v>60000</v>
      </c>
    </row>
    <row r="176" spans="1:13" x14ac:dyDescent="0.2">
      <c r="D176" s="2">
        <f>SUM(D2:D175)</f>
        <v>218972388.88888884</v>
      </c>
      <c r="E176" s="2">
        <f t="shared" si="6"/>
        <v>218972388.88888884</v>
      </c>
      <c r="F176" s="2">
        <f>SUM(F2:F175)</f>
        <v>218972388.88888884</v>
      </c>
      <c r="G176" s="2"/>
    </row>
  </sheetData>
  <autoFilter ref="A1:E176" xr:uid="{2792D4E2-1119-4592-AE37-B85E4174BB8B}"/>
  <conditionalFormatting sqref="A1:A1048576">
    <cfRule type="duplicateValues" dxfId="0" priority="1" stopIfTrue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C71D-816F-4DA9-9DC7-AEE6D305FCF1}">
  <dimension ref="B1:O43"/>
  <sheetViews>
    <sheetView tabSelected="1" workbookViewId="0">
      <pane ySplit="2" topLeftCell="A8" activePane="bottomLeft" state="frozen"/>
      <selection activeCell="I25" sqref="I25"/>
      <selection pane="bottomLeft" activeCell="I25" sqref="I25"/>
    </sheetView>
  </sheetViews>
  <sheetFormatPr defaultRowHeight="12.75" x14ac:dyDescent="0.2"/>
  <cols>
    <col min="3" max="3" width="40.28515625" customWidth="1"/>
    <col min="4" max="4" width="33.140625" bestFit="1" customWidth="1"/>
    <col min="5" max="5" width="35.42578125" bestFit="1" customWidth="1"/>
    <col min="6" max="9" width="21.28515625" customWidth="1"/>
    <col min="11" max="11" width="14.7109375" customWidth="1"/>
    <col min="13" max="13" width="11.42578125" bestFit="1" customWidth="1"/>
    <col min="15" max="15" width="13.140625" bestFit="1" customWidth="1"/>
  </cols>
  <sheetData>
    <row r="1" spans="2:15" x14ac:dyDescent="0.2">
      <c r="B1" s="38" t="s">
        <v>499</v>
      </c>
      <c r="C1" s="38"/>
    </row>
    <row r="2" spans="2:15" x14ac:dyDescent="0.2">
      <c r="B2" s="32" t="s">
        <v>498</v>
      </c>
      <c r="C2" s="32" t="s">
        <v>1</v>
      </c>
      <c r="D2" s="32" t="s">
        <v>82</v>
      </c>
      <c r="E2" s="32" t="s">
        <v>707</v>
      </c>
      <c r="F2" s="32" t="s">
        <v>497</v>
      </c>
      <c r="G2" s="32" t="s">
        <v>86</v>
      </c>
      <c r="H2" s="32" t="s">
        <v>706</v>
      </c>
      <c r="I2" s="32" t="s">
        <v>706</v>
      </c>
    </row>
    <row r="3" spans="2:15" x14ac:dyDescent="0.2">
      <c r="B3" s="33">
        <v>45292</v>
      </c>
      <c r="C3" s="180">
        <v>0</v>
      </c>
      <c r="D3" s="171">
        <v>195205976</v>
      </c>
      <c r="E3" s="171">
        <f>D3-C3</f>
        <v>195205976</v>
      </c>
      <c r="F3" s="171">
        <v>140358288</v>
      </c>
      <c r="G3" s="181">
        <v>4600000</v>
      </c>
      <c r="H3" s="181">
        <f>E3-F3-G3</f>
        <v>50247688</v>
      </c>
      <c r="I3" s="181">
        <f t="shared" ref="I3:I13" si="0">D3-F3</f>
        <v>54847688</v>
      </c>
      <c r="M3" s="2"/>
      <c r="O3" s="181">
        <v>4000000</v>
      </c>
    </row>
    <row r="4" spans="2:15" x14ac:dyDescent="0.2">
      <c r="B4" s="34">
        <v>45323</v>
      </c>
      <c r="C4" s="137">
        <v>54847688</v>
      </c>
      <c r="D4" s="171">
        <v>151745188</v>
      </c>
      <c r="E4" s="171">
        <f t="shared" ref="E4:E14" si="1">D4-C4</f>
        <v>96897500</v>
      </c>
      <c r="F4" s="171">
        <v>92377514</v>
      </c>
      <c r="G4" s="181">
        <v>4280000</v>
      </c>
      <c r="H4" s="181">
        <f t="shared" ref="H4:H14" si="2">E4-F4-G4</f>
        <v>239986</v>
      </c>
      <c r="I4" s="181">
        <f t="shared" si="0"/>
        <v>59367674</v>
      </c>
      <c r="M4" s="2"/>
      <c r="O4" s="181">
        <v>4190000</v>
      </c>
    </row>
    <row r="5" spans="2:15" x14ac:dyDescent="0.2">
      <c r="B5" s="33">
        <v>45352</v>
      </c>
      <c r="C5" s="137">
        <v>59367674</v>
      </c>
      <c r="D5" s="171">
        <v>116080674</v>
      </c>
      <c r="E5" s="171">
        <f t="shared" si="1"/>
        <v>56713000</v>
      </c>
      <c r="F5" s="171">
        <v>52954367</v>
      </c>
      <c r="G5" s="181">
        <v>4740000</v>
      </c>
      <c r="H5" s="181">
        <f t="shared" si="2"/>
        <v>-981367</v>
      </c>
      <c r="I5" s="181">
        <f t="shared" si="0"/>
        <v>63126307</v>
      </c>
      <c r="M5" s="2"/>
      <c r="O5" s="181">
        <v>3940000</v>
      </c>
    </row>
    <row r="6" spans="2:15" x14ac:dyDescent="0.2">
      <c r="B6" s="34">
        <v>45383</v>
      </c>
      <c r="C6" s="137">
        <v>63126307</v>
      </c>
      <c r="D6" s="171">
        <v>120236807</v>
      </c>
      <c r="E6" s="171">
        <f t="shared" si="1"/>
        <v>57110500</v>
      </c>
      <c r="F6" s="171">
        <v>41554955</v>
      </c>
      <c r="G6" s="181">
        <v>7280000</v>
      </c>
      <c r="H6" s="181">
        <f t="shared" si="2"/>
        <v>8275545</v>
      </c>
      <c r="I6" s="181">
        <f t="shared" si="0"/>
        <v>78681852</v>
      </c>
      <c r="M6" s="2"/>
      <c r="O6" s="181">
        <v>2602000</v>
      </c>
    </row>
    <row r="7" spans="2:15" x14ac:dyDescent="0.2">
      <c r="B7" s="33">
        <v>45413</v>
      </c>
      <c r="C7" s="137">
        <v>78487352</v>
      </c>
      <c r="D7" s="171">
        <v>173229248</v>
      </c>
      <c r="E7" s="171">
        <f t="shared" si="1"/>
        <v>94741896</v>
      </c>
      <c r="F7" s="171">
        <v>95568626</v>
      </c>
      <c r="G7" s="181">
        <v>3760000</v>
      </c>
      <c r="H7" s="181">
        <f t="shared" si="2"/>
        <v>-4586730</v>
      </c>
      <c r="I7" s="181">
        <f t="shared" si="0"/>
        <v>77660622</v>
      </c>
      <c r="M7" s="2"/>
      <c r="O7" s="181">
        <v>4310000</v>
      </c>
    </row>
    <row r="8" spans="2:15" x14ac:dyDescent="0.2">
      <c r="B8" s="34">
        <v>45444</v>
      </c>
      <c r="C8" s="137">
        <v>77660622</v>
      </c>
      <c r="D8" s="171">
        <v>169112572</v>
      </c>
      <c r="E8" s="171">
        <f t="shared" si="1"/>
        <v>91451950</v>
      </c>
      <c r="F8" s="171">
        <v>78363961</v>
      </c>
      <c r="G8" s="171">
        <v>4000000</v>
      </c>
      <c r="H8" s="181">
        <f t="shared" si="2"/>
        <v>9087989</v>
      </c>
      <c r="I8" s="181">
        <f t="shared" si="0"/>
        <v>90748611</v>
      </c>
      <c r="K8" s="2"/>
      <c r="M8" s="2"/>
      <c r="O8" s="171">
        <v>3930000</v>
      </c>
    </row>
    <row r="9" spans="2:15" x14ac:dyDescent="0.2">
      <c r="B9" s="33">
        <v>45474</v>
      </c>
      <c r="C9" s="137">
        <v>90471611</v>
      </c>
      <c r="D9" s="171">
        <v>209405311</v>
      </c>
      <c r="E9" s="171">
        <f t="shared" si="1"/>
        <v>118933700</v>
      </c>
      <c r="F9" s="171">
        <v>93807107</v>
      </c>
      <c r="G9" s="171">
        <v>3920000</v>
      </c>
      <c r="H9" s="181">
        <f t="shared" si="2"/>
        <v>21206593</v>
      </c>
      <c r="I9" s="181">
        <f t="shared" si="0"/>
        <v>115598204</v>
      </c>
      <c r="K9" s="2">
        <f t="shared" ref="K9:K14" si="3">F9-G9</f>
        <v>89887107</v>
      </c>
      <c r="M9" s="2"/>
      <c r="O9" s="171">
        <v>4090000</v>
      </c>
    </row>
    <row r="10" spans="2:15" x14ac:dyDescent="0.2">
      <c r="B10" s="34">
        <v>45505</v>
      </c>
      <c r="C10" s="137">
        <v>115598204</v>
      </c>
      <c r="D10" s="171">
        <v>232615054</v>
      </c>
      <c r="E10" s="171">
        <f t="shared" si="1"/>
        <v>117016850</v>
      </c>
      <c r="F10" s="171">
        <v>102768760</v>
      </c>
      <c r="G10" s="182">
        <v>4710000</v>
      </c>
      <c r="H10" s="181">
        <f t="shared" si="2"/>
        <v>9538090</v>
      </c>
      <c r="I10" s="181">
        <f t="shared" si="0"/>
        <v>129846294</v>
      </c>
      <c r="K10" s="2">
        <f t="shared" si="3"/>
        <v>98058760</v>
      </c>
      <c r="M10" s="2"/>
      <c r="O10" s="182">
        <v>4260000</v>
      </c>
    </row>
    <row r="11" spans="2:15" x14ac:dyDescent="0.2">
      <c r="B11" s="33">
        <v>45536</v>
      </c>
      <c r="C11" s="137">
        <v>129846294</v>
      </c>
      <c r="D11" s="171">
        <v>234956894</v>
      </c>
      <c r="E11" s="171">
        <f t="shared" si="1"/>
        <v>105110600</v>
      </c>
      <c r="F11" s="171">
        <v>94028915</v>
      </c>
      <c r="G11" s="171">
        <v>4510000</v>
      </c>
      <c r="H11" s="181">
        <f t="shared" si="2"/>
        <v>6571685</v>
      </c>
      <c r="I11" s="181">
        <f t="shared" si="0"/>
        <v>140927979</v>
      </c>
      <c r="K11" s="2">
        <f t="shared" si="3"/>
        <v>89518915</v>
      </c>
      <c r="M11" s="2"/>
      <c r="O11" s="171">
        <v>4260000</v>
      </c>
    </row>
    <row r="12" spans="2:15" x14ac:dyDescent="0.2">
      <c r="B12" s="34">
        <v>45566</v>
      </c>
      <c r="C12" s="137">
        <v>140927979</v>
      </c>
      <c r="D12" s="171">
        <v>254238979</v>
      </c>
      <c r="E12" s="171">
        <f t="shared" si="1"/>
        <v>113311000</v>
      </c>
      <c r="F12" s="171">
        <v>110804577</v>
      </c>
      <c r="G12" s="171">
        <v>4940000</v>
      </c>
      <c r="H12" s="181">
        <f t="shared" si="2"/>
        <v>-2433577</v>
      </c>
      <c r="I12" s="181">
        <f t="shared" si="0"/>
        <v>143434402</v>
      </c>
      <c r="K12" s="2">
        <f t="shared" si="3"/>
        <v>105864577</v>
      </c>
      <c r="M12" s="2"/>
      <c r="O12" s="171">
        <v>4280000</v>
      </c>
    </row>
    <row r="13" spans="2:15" x14ac:dyDescent="0.2">
      <c r="B13" s="33">
        <v>45597</v>
      </c>
      <c r="C13" s="137">
        <v>143263402</v>
      </c>
      <c r="D13" s="171">
        <v>259712052</v>
      </c>
      <c r="E13" s="171">
        <f t="shared" si="1"/>
        <v>116448650</v>
      </c>
      <c r="F13" s="171">
        <v>111230205</v>
      </c>
      <c r="G13" s="171">
        <v>4780000</v>
      </c>
      <c r="H13" s="181">
        <f t="shared" si="2"/>
        <v>438445</v>
      </c>
      <c r="I13" s="181">
        <f t="shared" si="0"/>
        <v>148481847</v>
      </c>
      <c r="K13" s="2">
        <f t="shared" si="3"/>
        <v>106450205</v>
      </c>
      <c r="M13" s="2"/>
      <c r="O13" s="171">
        <v>4400000</v>
      </c>
    </row>
    <row r="14" spans="2:15" x14ac:dyDescent="0.2">
      <c r="B14" s="34">
        <v>45627</v>
      </c>
      <c r="C14" s="137">
        <v>148481847</v>
      </c>
      <c r="D14" s="171">
        <v>221206702</v>
      </c>
      <c r="E14" s="171">
        <f t="shared" si="1"/>
        <v>72724855</v>
      </c>
      <c r="F14" s="171">
        <v>86954397</v>
      </c>
      <c r="G14" s="171">
        <v>4860000</v>
      </c>
      <c r="H14" s="181">
        <f t="shared" si="2"/>
        <v>-19089542</v>
      </c>
      <c r="I14" s="181">
        <f>D14-F14</f>
        <v>134252305</v>
      </c>
      <c r="K14" s="2">
        <f t="shared" si="3"/>
        <v>82094397</v>
      </c>
      <c r="M14" s="2"/>
      <c r="O14" s="171">
        <v>4600000</v>
      </c>
    </row>
    <row r="15" spans="2:15" ht="13.5" thickBot="1" x14ac:dyDescent="0.25">
      <c r="B15" s="36" t="s">
        <v>0</v>
      </c>
      <c r="C15" s="36"/>
      <c r="D15" s="37">
        <f t="shared" ref="D15:I15" si="4">SUM(D3:D14)</f>
        <v>2337745457</v>
      </c>
      <c r="E15" s="37">
        <f>SUM(E3:E14)</f>
        <v>1235666477</v>
      </c>
      <c r="F15" s="37">
        <f>SUM(F3:F14)</f>
        <v>1100771672</v>
      </c>
      <c r="G15" s="37">
        <f>SUM(G3:G14)</f>
        <v>56380000</v>
      </c>
      <c r="H15" s="37">
        <f t="shared" si="4"/>
        <v>78514805</v>
      </c>
      <c r="I15" s="37">
        <f t="shared" si="4"/>
        <v>1236973785</v>
      </c>
    </row>
    <row r="16" spans="2:15" ht="13.5" thickTop="1" x14ac:dyDescent="0.2">
      <c r="H16" s="39"/>
    </row>
    <row r="19" spans="4:7" x14ac:dyDescent="0.2">
      <c r="D19" s="38" t="s">
        <v>502</v>
      </c>
      <c r="E19" s="38"/>
    </row>
    <row r="20" spans="4:7" x14ac:dyDescent="0.2">
      <c r="D20" s="13" t="s">
        <v>1</v>
      </c>
      <c r="E20" s="13"/>
      <c r="F20" s="180">
        <v>86368576</v>
      </c>
      <c r="G20" t="s">
        <v>860</v>
      </c>
    </row>
    <row r="21" spans="4:7" x14ac:dyDescent="0.2">
      <c r="D21" s="13" t="s">
        <v>500</v>
      </c>
      <c r="E21" s="13"/>
      <c r="F21" s="39">
        <f>F15+G15</f>
        <v>1157151672</v>
      </c>
    </row>
    <row r="22" spans="4:7" x14ac:dyDescent="0.2">
      <c r="D22" s="13" t="s">
        <v>61</v>
      </c>
      <c r="E22" s="13"/>
      <c r="F22" s="39">
        <f>E35</f>
        <v>100178439</v>
      </c>
    </row>
    <row r="23" spans="4:7" ht="13.5" thickBot="1" x14ac:dyDescent="0.25">
      <c r="D23" s="35" t="s">
        <v>501</v>
      </c>
      <c r="E23" s="35"/>
      <c r="F23" s="40">
        <f>F20+F21-F22</f>
        <v>1143341809</v>
      </c>
    </row>
    <row r="24" spans="4:7" ht="13.5" thickTop="1" x14ac:dyDescent="0.2"/>
    <row r="25" spans="4:7" x14ac:dyDescent="0.2">
      <c r="D25" t="s">
        <v>82</v>
      </c>
      <c r="F25" s="174">
        <f>E15-F21</f>
        <v>78514805</v>
      </c>
      <c r="G25" t="s">
        <v>67</v>
      </c>
    </row>
    <row r="26" spans="4:7" x14ac:dyDescent="0.2">
      <c r="D26" t="s">
        <v>713</v>
      </c>
      <c r="F26" s="174">
        <f>F15+G15</f>
        <v>1157151672</v>
      </c>
    </row>
    <row r="27" spans="4:7" x14ac:dyDescent="0.2">
      <c r="D27" t="s">
        <v>500</v>
      </c>
      <c r="F27" s="39">
        <f>F15</f>
        <v>1100771672</v>
      </c>
    </row>
    <row r="28" spans="4:7" x14ac:dyDescent="0.2">
      <c r="D28" t="s">
        <v>712</v>
      </c>
      <c r="F28" s="39">
        <v>0</v>
      </c>
    </row>
    <row r="29" spans="4:7" x14ac:dyDescent="0.2">
      <c r="D29" t="s">
        <v>861</v>
      </c>
    </row>
    <row r="31" spans="4:7" x14ac:dyDescent="0.2">
      <c r="D31" t="s">
        <v>710</v>
      </c>
      <c r="E31" s="174">
        <v>1223986</v>
      </c>
      <c r="F31" t="s">
        <v>871</v>
      </c>
    </row>
    <row r="32" spans="4:7" x14ac:dyDescent="0.2">
      <c r="D32" t="s">
        <v>868</v>
      </c>
      <c r="E32" s="174">
        <v>6720500</v>
      </c>
      <c r="F32" t="s">
        <v>870</v>
      </c>
    </row>
    <row r="33" spans="3:7" x14ac:dyDescent="0.2">
      <c r="D33" t="s">
        <v>869</v>
      </c>
      <c r="E33" s="174">
        <v>768000</v>
      </c>
      <c r="F33" t="s">
        <v>871</v>
      </c>
    </row>
    <row r="34" spans="3:7" x14ac:dyDescent="0.2">
      <c r="D34" t="s">
        <v>862</v>
      </c>
      <c r="E34" s="174">
        <v>91465953</v>
      </c>
      <c r="F34" t="s">
        <v>871</v>
      </c>
    </row>
    <row r="35" spans="3:7" x14ac:dyDescent="0.2">
      <c r="C35" s="139"/>
      <c r="D35" t="s">
        <v>863</v>
      </c>
      <c r="E35" s="174">
        <f>SUM(E31:E34)</f>
        <v>100178439</v>
      </c>
      <c r="F35" s="174"/>
    </row>
    <row r="36" spans="3:7" x14ac:dyDescent="0.2">
      <c r="D36" t="s">
        <v>864</v>
      </c>
      <c r="E36" s="174">
        <v>0</v>
      </c>
    </row>
    <row r="37" spans="3:7" x14ac:dyDescent="0.2">
      <c r="D37" t="s">
        <v>865</v>
      </c>
      <c r="E37" s="174">
        <f>E35-E36</f>
        <v>100178439</v>
      </c>
    </row>
    <row r="38" spans="3:7" x14ac:dyDescent="0.2">
      <c r="E38" s="2"/>
      <c r="F38" s="174"/>
      <c r="G38" s="2">
        <f>E35-F25</f>
        <v>21663634</v>
      </c>
    </row>
    <row r="43" spans="3:7" x14ac:dyDescent="0.2">
      <c r="E43" s="2"/>
    </row>
  </sheetData>
  <pageMargins left="0.7" right="0.7" top="0.75" bottom="0.75" header="0.3" footer="0.3"/>
  <pageSetup orientation="portrait" horizontalDpi="90" verticalDpi="9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D2475-30A2-45C8-8AC7-A800CC0648A1}">
  <sheetPr codeName="Sheet7" filterMode="1"/>
  <dimension ref="B1:O1665"/>
  <sheetViews>
    <sheetView topLeftCell="B1" zoomScale="115" zoomScaleNormal="115" workbookViewId="0">
      <pane ySplit="5" topLeftCell="A1196" activePane="bottomLeft" state="frozen"/>
      <selection activeCell="I25" sqref="I25"/>
      <selection pane="bottomLeft" activeCell="H1546" sqref="H1546"/>
    </sheetView>
  </sheetViews>
  <sheetFormatPr defaultColWidth="9.140625" defaultRowHeight="12" x14ac:dyDescent="0.2"/>
  <cols>
    <col min="1" max="1" width="1.7109375" style="221" bestFit="1" customWidth="1"/>
    <col min="2" max="2" width="9.42578125" style="221" bestFit="1" customWidth="1"/>
    <col min="3" max="3" width="11.42578125" style="221" bestFit="1" customWidth="1"/>
    <col min="4" max="4" width="23.28515625" style="221" bestFit="1" customWidth="1"/>
    <col min="5" max="5" width="61.28515625" style="221" bestFit="1" customWidth="1"/>
    <col min="6" max="6" width="9.140625" style="221" bestFit="1" customWidth="1"/>
    <col min="7" max="7" width="14.7109375" style="221" customWidth="1"/>
    <col min="8" max="8" width="14.5703125" style="223" bestFit="1" customWidth="1"/>
    <col min="9" max="9" width="15.28515625" style="223" bestFit="1" customWidth="1"/>
    <col min="10" max="10" width="11.7109375" style="221" bestFit="1" customWidth="1"/>
    <col min="11" max="11" width="9" style="221" bestFit="1" customWidth="1"/>
    <col min="12" max="12" width="10.28515625" style="221" bestFit="1" customWidth="1"/>
    <col min="13" max="16384" width="9.140625" style="221"/>
  </cols>
  <sheetData>
    <row r="1" spans="2:15" x14ac:dyDescent="0.2">
      <c r="G1" s="222"/>
      <c r="H1" s="223" t="s">
        <v>883</v>
      </c>
      <c r="J1" s="224"/>
      <c r="K1" s="221" t="s">
        <v>893</v>
      </c>
      <c r="M1" s="221" t="s">
        <v>1205</v>
      </c>
      <c r="N1" s="221" t="s">
        <v>1206</v>
      </c>
      <c r="O1" s="221" t="s">
        <v>1207</v>
      </c>
    </row>
    <row r="2" spans="2:15" x14ac:dyDescent="0.2">
      <c r="G2" s="225"/>
      <c r="H2" s="223" t="s">
        <v>884</v>
      </c>
      <c r="J2" s="226"/>
      <c r="K2" s="221" t="s">
        <v>894</v>
      </c>
      <c r="N2" s="221" t="s">
        <v>1207</v>
      </c>
      <c r="O2" s="221" t="s">
        <v>1206</v>
      </c>
    </row>
    <row r="4" spans="2:15" x14ac:dyDescent="0.2">
      <c r="B4" s="221">
        <v>2025</v>
      </c>
    </row>
    <row r="5" spans="2:15" x14ac:dyDescent="0.2">
      <c r="B5" s="227" t="s">
        <v>38</v>
      </c>
      <c r="C5" s="227" t="s">
        <v>1041</v>
      </c>
      <c r="D5" s="227" t="s">
        <v>40</v>
      </c>
      <c r="E5" s="228" t="s">
        <v>873</v>
      </c>
      <c r="F5" s="229" t="s">
        <v>874</v>
      </c>
      <c r="G5" s="227" t="s">
        <v>49</v>
      </c>
      <c r="H5" s="230" t="s">
        <v>50</v>
      </c>
      <c r="I5" s="230" t="s">
        <v>51</v>
      </c>
    </row>
    <row r="6" spans="2:15" hidden="1" x14ac:dyDescent="0.2">
      <c r="B6" s="231">
        <v>45658</v>
      </c>
      <c r="C6" s="232">
        <v>514</v>
      </c>
      <c r="D6" s="232" t="str">
        <f>IFERROR(VLOOKUP(C6,'Neraca Saldo'!$B$6:$C$56,2,0),"")</f>
        <v>Beban Lain-lain</v>
      </c>
      <c r="E6" s="233" t="s">
        <v>1223</v>
      </c>
      <c r="F6" s="234" t="s">
        <v>77</v>
      </c>
      <c r="G6" s="232"/>
      <c r="H6" s="235">
        <v>76113</v>
      </c>
      <c r="I6" s="235">
        <v>0</v>
      </c>
    </row>
    <row r="7" spans="2:15" hidden="1" x14ac:dyDescent="0.2">
      <c r="B7" s="231">
        <v>45658</v>
      </c>
      <c r="C7" s="194">
        <v>112</v>
      </c>
      <c r="D7" s="232" t="str">
        <f>IFERROR(VLOOKUP(C7,'Neraca Saldo'!$B$6:$C$56,2,0),"")</f>
        <v>Kas</v>
      </c>
      <c r="E7" s="233" t="s">
        <v>1223</v>
      </c>
      <c r="F7" s="234" t="s">
        <v>77</v>
      </c>
      <c r="G7" s="232"/>
      <c r="H7" s="235">
        <v>0</v>
      </c>
      <c r="I7" s="235">
        <f>H6</f>
        <v>76113</v>
      </c>
    </row>
    <row r="8" spans="2:15" x14ac:dyDescent="0.2">
      <c r="B8" s="231">
        <v>45659</v>
      </c>
      <c r="C8" s="232">
        <v>513</v>
      </c>
      <c r="D8" s="232" t="str">
        <f>IFERROR(VLOOKUP(C8,'Neraca Saldo'!$B$6:$C$56,2,0),"")</f>
        <v>Beban Pengurus dan Anggota</v>
      </c>
      <c r="E8" s="233" t="s">
        <v>876</v>
      </c>
      <c r="F8" s="234" t="s">
        <v>77</v>
      </c>
      <c r="G8" s="232"/>
      <c r="H8" s="235">
        <v>9924000</v>
      </c>
      <c r="I8" s="235">
        <v>0</v>
      </c>
    </row>
    <row r="9" spans="2:15" hidden="1" x14ac:dyDescent="0.2">
      <c r="B9" s="231">
        <v>45659</v>
      </c>
      <c r="C9" s="194">
        <v>111</v>
      </c>
      <c r="D9" s="232" t="str">
        <f>IFERROR(VLOOKUP(C9,'Neraca Saldo'!$B$6:$C$56,2,0),"")</f>
        <v>Bank</v>
      </c>
      <c r="E9" s="233" t="s">
        <v>876</v>
      </c>
      <c r="F9" s="234" t="s">
        <v>77</v>
      </c>
      <c r="G9" s="232"/>
      <c r="H9" s="235">
        <v>0</v>
      </c>
      <c r="I9" s="235">
        <v>9924000</v>
      </c>
    </row>
    <row r="10" spans="2:15" x14ac:dyDescent="0.2">
      <c r="B10" s="231">
        <v>45659</v>
      </c>
      <c r="C10" s="194">
        <v>513</v>
      </c>
      <c r="D10" s="232" t="str">
        <f>IFERROR(VLOOKUP(C10,'Neraca Saldo'!$B$6:$C$56,2,0),"")</f>
        <v>Beban Pengurus dan Anggota</v>
      </c>
      <c r="E10" s="233" t="s">
        <v>877</v>
      </c>
      <c r="F10" s="234" t="s">
        <v>77</v>
      </c>
      <c r="G10" s="232"/>
      <c r="H10" s="235">
        <v>3152000</v>
      </c>
      <c r="I10" s="235">
        <v>0</v>
      </c>
    </row>
    <row r="11" spans="2:15" hidden="1" x14ac:dyDescent="0.2">
      <c r="B11" s="231">
        <v>45659</v>
      </c>
      <c r="C11" s="194">
        <v>111</v>
      </c>
      <c r="D11" s="232" t="str">
        <f>IFERROR(VLOOKUP(C11,'Neraca Saldo'!$B$6:$C$56,2,0),"")</f>
        <v>Bank</v>
      </c>
      <c r="E11" s="233" t="s">
        <v>877</v>
      </c>
      <c r="F11" s="234" t="s">
        <v>77</v>
      </c>
      <c r="G11" s="232"/>
      <c r="H11" s="236">
        <v>0</v>
      </c>
      <c r="I11" s="235">
        <v>3152000</v>
      </c>
    </row>
    <row r="12" spans="2:15" hidden="1" x14ac:dyDescent="0.2">
      <c r="B12" s="231">
        <v>45659</v>
      </c>
      <c r="C12" s="232">
        <v>515</v>
      </c>
      <c r="D12" s="232" t="str">
        <f>IFERROR(VLOOKUP(C12,'Neraca Saldo'!$B$6:$C$56,2,0),"")</f>
        <v>Beban Gaji</v>
      </c>
      <c r="E12" s="194" t="s">
        <v>878</v>
      </c>
      <c r="F12" s="232" t="s">
        <v>838</v>
      </c>
      <c r="G12" s="232"/>
      <c r="H12" s="236">
        <v>700000</v>
      </c>
      <c r="I12" s="236">
        <v>0</v>
      </c>
    </row>
    <row r="13" spans="2:15" hidden="1" x14ac:dyDescent="0.2">
      <c r="B13" s="231">
        <v>45659</v>
      </c>
      <c r="C13" s="232">
        <v>112</v>
      </c>
      <c r="D13" s="232" t="str">
        <f>IFERROR(VLOOKUP(C13,'Neraca Saldo'!$B$6:$C$56,2,0),"")</f>
        <v>Kas</v>
      </c>
      <c r="E13" s="194" t="s">
        <v>878</v>
      </c>
      <c r="F13" s="232" t="s">
        <v>838</v>
      </c>
      <c r="G13" s="232"/>
      <c r="H13" s="236">
        <v>0</v>
      </c>
      <c r="I13" s="236">
        <v>700000</v>
      </c>
    </row>
    <row r="14" spans="2:15" hidden="1" x14ac:dyDescent="0.2">
      <c r="B14" s="231">
        <v>45659</v>
      </c>
      <c r="C14" s="232">
        <v>512</v>
      </c>
      <c r="D14" s="232" t="str">
        <f>IFERROR(VLOOKUP(C14,'Neraca Saldo'!$B$6:$C$56,2,0),"")</f>
        <v>Beban Jasa</v>
      </c>
      <c r="E14" s="194" t="s">
        <v>879</v>
      </c>
      <c r="F14" s="232" t="s">
        <v>838</v>
      </c>
      <c r="G14" s="232"/>
      <c r="H14" s="237">
        <v>2712757</v>
      </c>
      <c r="I14" s="236">
        <v>0</v>
      </c>
    </row>
    <row r="15" spans="2:15" hidden="1" x14ac:dyDescent="0.2">
      <c r="B15" s="231">
        <v>45659</v>
      </c>
      <c r="C15" s="232">
        <v>112</v>
      </c>
      <c r="D15" s="232" t="str">
        <f>IFERROR(VLOOKUP(C15,'Neraca Saldo'!$B$6:$C$56,2,0),"")</f>
        <v>Kas</v>
      </c>
      <c r="E15" s="194" t="s">
        <v>879</v>
      </c>
      <c r="F15" s="232" t="s">
        <v>838</v>
      </c>
      <c r="G15" s="232"/>
      <c r="H15" s="236">
        <v>0</v>
      </c>
      <c r="I15" s="237">
        <v>2712757</v>
      </c>
    </row>
    <row r="16" spans="2:15" x14ac:dyDescent="0.2">
      <c r="B16" s="231">
        <v>45659</v>
      </c>
      <c r="C16" s="232">
        <v>513</v>
      </c>
      <c r="D16" s="232" t="str">
        <f>IFERROR(VLOOKUP(C16,'Neraca Saldo'!$B$6:$C$56,2,0),"")</f>
        <v>Beban Pengurus dan Anggota</v>
      </c>
      <c r="E16" s="194" t="s">
        <v>881</v>
      </c>
      <c r="F16" s="232" t="s">
        <v>838</v>
      </c>
      <c r="G16" s="232"/>
      <c r="H16" s="236">
        <v>285300</v>
      </c>
      <c r="I16" s="236">
        <v>0</v>
      </c>
    </row>
    <row r="17" spans="2:9" hidden="1" x14ac:dyDescent="0.2">
      <c r="B17" s="231">
        <v>45659</v>
      </c>
      <c r="C17" s="232">
        <v>112</v>
      </c>
      <c r="D17" s="232" t="str">
        <f>IFERROR(VLOOKUP(C17,'Neraca Saldo'!$B$6:$C$56,2,0),"")</f>
        <v>Kas</v>
      </c>
      <c r="E17" s="194" t="s">
        <v>881</v>
      </c>
      <c r="F17" s="232" t="s">
        <v>838</v>
      </c>
      <c r="G17" s="232"/>
      <c r="H17" s="236">
        <v>0</v>
      </c>
      <c r="I17" s="236">
        <v>285300</v>
      </c>
    </row>
    <row r="18" spans="2:9" hidden="1" x14ac:dyDescent="0.2">
      <c r="B18" s="238">
        <v>45662</v>
      </c>
      <c r="C18" s="239">
        <v>111</v>
      </c>
      <c r="D18" s="239" t="str">
        <f>IFERROR(VLOOKUP(C18,'Neraca Saldo'!$B$6:$C$56,2,0),"")</f>
        <v>Bank</v>
      </c>
      <c r="E18" s="198" t="s">
        <v>880</v>
      </c>
      <c r="F18" s="239" t="s">
        <v>77</v>
      </c>
      <c r="G18" s="239"/>
      <c r="H18" s="240">
        <v>800000</v>
      </c>
      <c r="I18" s="240">
        <v>0</v>
      </c>
    </row>
    <row r="19" spans="2:9" hidden="1" x14ac:dyDescent="0.2">
      <c r="B19" s="238">
        <v>45662</v>
      </c>
      <c r="C19" s="239">
        <v>212</v>
      </c>
      <c r="D19" s="239" t="str">
        <f>IFERROR(VLOOKUP(C19,'Neraca Saldo'!$B$6:$C$56,2,0),"")</f>
        <v>Simpanan Karyawan</v>
      </c>
      <c r="E19" s="198" t="s">
        <v>880</v>
      </c>
      <c r="F19" s="239" t="s">
        <v>77</v>
      </c>
      <c r="G19" s="239"/>
      <c r="H19" s="240">
        <v>0</v>
      </c>
      <c r="I19" s="240">
        <v>800000</v>
      </c>
    </row>
    <row r="20" spans="2:9" hidden="1" x14ac:dyDescent="0.2">
      <c r="B20" s="231">
        <v>45665</v>
      </c>
      <c r="C20" s="232">
        <v>112</v>
      </c>
      <c r="D20" s="232" t="str">
        <f>IFERROR(VLOOKUP(C20,'Neraca Saldo'!$B$6:$C$56,2,0),"")</f>
        <v>Kas</v>
      </c>
      <c r="E20" s="241" t="s">
        <v>838</v>
      </c>
      <c r="F20" s="232" t="s">
        <v>77</v>
      </c>
      <c r="G20" s="232"/>
      <c r="H20" s="236">
        <v>10000000</v>
      </c>
      <c r="I20" s="236">
        <v>0</v>
      </c>
    </row>
    <row r="21" spans="2:9" hidden="1" x14ac:dyDescent="0.2">
      <c r="B21" s="231">
        <v>45665</v>
      </c>
      <c r="C21" s="232">
        <v>111</v>
      </c>
      <c r="D21" s="232" t="str">
        <f>IFERROR(VLOOKUP(C21,'Neraca Saldo'!$B$6:$C$56,2,0),"")</f>
        <v>Bank</v>
      </c>
      <c r="E21" s="241" t="s">
        <v>838</v>
      </c>
      <c r="F21" s="232" t="s">
        <v>77</v>
      </c>
      <c r="G21" s="232"/>
      <c r="H21" s="236">
        <v>0</v>
      </c>
      <c r="I21" s="236">
        <v>10000000</v>
      </c>
    </row>
    <row r="22" spans="2:9" hidden="1" x14ac:dyDescent="0.2">
      <c r="B22" s="231">
        <v>45665</v>
      </c>
      <c r="C22" s="232">
        <v>516</v>
      </c>
      <c r="D22" s="232" t="str">
        <f>IFERROR(VLOOKUP(C22,'Neraca Saldo'!$B$6:$C$56,2,0),"")</f>
        <v>Beban ATK</v>
      </c>
      <c r="E22" s="242" t="s">
        <v>840</v>
      </c>
      <c r="F22" s="232" t="s">
        <v>838</v>
      </c>
      <c r="G22" s="232"/>
      <c r="H22" s="236">
        <v>120000</v>
      </c>
      <c r="I22" s="236">
        <v>0</v>
      </c>
    </row>
    <row r="23" spans="2:9" hidden="1" x14ac:dyDescent="0.2">
      <c r="B23" s="231">
        <v>45665</v>
      </c>
      <c r="C23" s="232">
        <v>112</v>
      </c>
      <c r="D23" s="232" t="str">
        <f>IFERROR(VLOOKUP(C23,'Neraca Saldo'!$B$6:$C$56,2,0),"")</f>
        <v>Kas</v>
      </c>
      <c r="E23" s="242" t="s">
        <v>840</v>
      </c>
      <c r="F23" s="232" t="s">
        <v>838</v>
      </c>
      <c r="G23" s="232"/>
      <c r="H23" s="236">
        <v>0</v>
      </c>
      <c r="I23" s="236">
        <v>120000</v>
      </c>
    </row>
    <row r="24" spans="2:9" x14ac:dyDescent="0.2">
      <c r="B24" s="231">
        <v>45665</v>
      </c>
      <c r="C24" s="232">
        <v>513</v>
      </c>
      <c r="D24" s="232" t="str">
        <f>IFERROR(VLOOKUP(C24,'Neraca Saldo'!$B$6:$C$56,2,0),"")</f>
        <v>Beban Pengurus dan Anggota</v>
      </c>
      <c r="E24" s="194" t="s">
        <v>881</v>
      </c>
      <c r="F24" s="232" t="s">
        <v>838</v>
      </c>
      <c r="G24" s="232"/>
      <c r="H24" s="236">
        <v>170000</v>
      </c>
      <c r="I24" s="236">
        <v>0</v>
      </c>
    </row>
    <row r="25" spans="2:9" hidden="1" x14ac:dyDescent="0.2">
      <c r="B25" s="231">
        <v>45665</v>
      </c>
      <c r="C25" s="232">
        <v>112</v>
      </c>
      <c r="D25" s="232" t="str">
        <f>IFERROR(VLOOKUP(C25,'Neraca Saldo'!$B$6:$C$56,2,0),"")</f>
        <v>Kas</v>
      </c>
      <c r="E25" s="194" t="s">
        <v>881</v>
      </c>
      <c r="F25" s="232" t="s">
        <v>838</v>
      </c>
      <c r="G25" s="232"/>
      <c r="H25" s="236">
        <v>0</v>
      </c>
      <c r="I25" s="236">
        <v>170000</v>
      </c>
    </row>
    <row r="26" spans="2:9" x14ac:dyDescent="0.2">
      <c r="B26" s="231">
        <v>45665</v>
      </c>
      <c r="C26" s="232">
        <v>513</v>
      </c>
      <c r="D26" s="232" t="str">
        <f>IFERROR(VLOOKUP(C26,'Neraca Saldo'!$B$6:$C$56,2,0),"")</f>
        <v>Beban Pengurus dan Anggota</v>
      </c>
      <c r="E26" s="194" t="s">
        <v>881</v>
      </c>
      <c r="F26" s="232" t="s">
        <v>838</v>
      </c>
      <c r="G26" s="232"/>
      <c r="H26" s="236">
        <v>390200</v>
      </c>
      <c r="I26" s="236">
        <v>0</v>
      </c>
    </row>
    <row r="27" spans="2:9" hidden="1" x14ac:dyDescent="0.2">
      <c r="B27" s="231">
        <v>45665</v>
      </c>
      <c r="C27" s="232">
        <v>112</v>
      </c>
      <c r="D27" s="232" t="str">
        <f>IFERROR(VLOOKUP(C27,'Neraca Saldo'!$B$6:$C$56,2,0),"")</f>
        <v>Kas</v>
      </c>
      <c r="E27" s="194" t="s">
        <v>881</v>
      </c>
      <c r="F27" s="232" t="s">
        <v>838</v>
      </c>
      <c r="G27" s="232"/>
      <c r="H27" s="236">
        <v>0</v>
      </c>
      <c r="I27" s="236">
        <v>390200</v>
      </c>
    </row>
    <row r="28" spans="2:9" x14ac:dyDescent="0.2">
      <c r="B28" s="231">
        <v>45665</v>
      </c>
      <c r="C28" s="232">
        <v>513</v>
      </c>
      <c r="D28" s="232" t="str">
        <f>IFERROR(VLOOKUP(C28,'Neraca Saldo'!$B$6:$C$56,2,0),"")</f>
        <v>Beban Pengurus dan Anggota</v>
      </c>
      <c r="E28" s="194" t="s">
        <v>881</v>
      </c>
      <c r="F28" s="232" t="s">
        <v>838</v>
      </c>
      <c r="G28" s="232"/>
      <c r="H28" s="236">
        <v>1056000</v>
      </c>
      <c r="I28" s="236">
        <v>0</v>
      </c>
    </row>
    <row r="29" spans="2:9" hidden="1" x14ac:dyDescent="0.2">
      <c r="B29" s="231">
        <v>45665</v>
      </c>
      <c r="C29" s="232">
        <v>112</v>
      </c>
      <c r="D29" s="232" t="str">
        <f>IFERROR(VLOOKUP(C29,'Neraca Saldo'!$B$6:$C$56,2,0),"")</f>
        <v>Kas</v>
      </c>
      <c r="E29" s="194" t="s">
        <v>881</v>
      </c>
      <c r="F29" s="232" t="s">
        <v>838</v>
      </c>
      <c r="G29" s="232"/>
      <c r="H29" s="236">
        <v>0</v>
      </c>
      <c r="I29" s="236">
        <v>1056000</v>
      </c>
    </row>
    <row r="30" spans="2:9" x14ac:dyDescent="0.2">
      <c r="B30" s="231">
        <v>45673</v>
      </c>
      <c r="C30" s="232">
        <v>513</v>
      </c>
      <c r="D30" s="232" t="str">
        <f>IFERROR(VLOOKUP(C30,'Neraca Saldo'!$B$6:$C$56,2,0),"")</f>
        <v>Beban Pengurus dan Anggota</v>
      </c>
      <c r="E30" s="194" t="s">
        <v>881</v>
      </c>
      <c r="F30" s="232" t="s">
        <v>838</v>
      </c>
      <c r="G30" s="232"/>
      <c r="H30" s="236">
        <v>365000</v>
      </c>
      <c r="I30" s="236">
        <v>0</v>
      </c>
    </row>
    <row r="31" spans="2:9" hidden="1" x14ac:dyDescent="0.2">
      <c r="B31" s="231">
        <v>45673</v>
      </c>
      <c r="C31" s="232">
        <v>112</v>
      </c>
      <c r="D31" s="232" t="str">
        <f>IFERROR(VLOOKUP(C31,'Neraca Saldo'!$B$6:$C$56,2,0),"")</f>
        <v>Kas</v>
      </c>
      <c r="E31" s="194" t="s">
        <v>881</v>
      </c>
      <c r="F31" s="232" t="s">
        <v>838</v>
      </c>
      <c r="G31" s="232"/>
      <c r="H31" s="236">
        <v>0</v>
      </c>
      <c r="I31" s="236">
        <v>365000</v>
      </c>
    </row>
    <row r="32" spans="2:9" hidden="1" x14ac:dyDescent="0.2">
      <c r="B32" s="238">
        <v>45674</v>
      </c>
      <c r="C32" s="239">
        <v>111</v>
      </c>
      <c r="D32" s="239" t="str">
        <f>IFERROR(VLOOKUP(C32,'Neraca Saldo'!$B$6:$C$56,2,0),"")</f>
        <v>Bank</v>
      </c>
      <c r="E32" s="243" t="s">
        <v>882</v>
      </c>
      <c r="F32" s="239" t="s">
        <v>77</v>
      </c>
      <c r="G32" s="239"/>
      <c r="H32" s="240">
        <v>4646300</v>
      </c>
      <c r="I32" s="240">
        <v>0</v>
      </c>
    </row>
    <row r="33" spans="2:9" hidden="1" x14ac:dyDescent="0.2">
      <c r="B33" s="238">
        <v>45674</v>
      </c>
      <c r="C33" s="239">
        <v>411</v>
      </c>
      <c r="D33" s="239" t="str">
        <f>IFERROR(VLOOKUP(C33,'Neraca Saldo'!$B$6:$C$56,2,0),"")</f>
        <v>Pendapatan Toko</v>
      </c>
      <c r="E33" s="243" t="s">
        <v>882</v>
      </c>
      <c r="F33" s="239" t="s">
        <v>77</v>
      </c>
      <c r="G33" s="239"/>
      <c r="H33" s="240">
        <v>0</v>
      </c>
      <c r="I33" s="240">
        <v>4646300</v>
      </c>
    </row>
    <row r="34" spans="2:9" x14ac:dyDescent="0.2">
      <c r="B34" s="231">
        <v>45677</v>
      </c>
      <c r="C34" s="232">
        <v>513</v>
      </c>
      <c r="D34" s="232" t="str">
        <f>IFERROR(VLOOKUP(C34,'Neraca Saldo'!$B$6:$C$56,2,0),"")</f>
        <v>Beban Pengurus dan Anggota</v>
      </c>
      <c r="E34" s="194" t="s">
        <v>881</v>
      </c>
      <c r="F34" s="234" t="s">
        <v>838</v>
      </c>
      <c r="G34" s="232"/>
      <c r="H34" s="236">
        <v>578800</v>
      </c>
      <c r="I34" s="236">
        <v>0</v>
      </c>
    </row>
    <row r="35" spans="2:9" hidden="1" x14ac:dyDescent="0.2">
      <c r="B35" s="231">
        <v>45677</v>
      </c>
      <c r="C35" s="232">
        <v>112</v>
      </c>
      <c r="D35" s="232" t="str">
        <f>IFERROR(VLOOKUP(C35,'Neraca Saldo'!$B$6:$C$56,2,0),"")</f>
        <v>Kas</v>
      </c>
      <c r="E35" s="194" t="s">
        <v>881</v>
      </c>
      <c r="F35" s="234" t="s">
        <v>838</v>
      </c>
      <c r="G35" s="232"/>
      <c r="H35" s="236">
        <v>0</v>
      </c>
      <c r="I35" s="236">
        <v>578800</v>
      </c>
    </row>
    <row r="36" spans="2:9" x14ac:dyDescent="0.2">
      <c r="B36" s="231">
        <v>45678</v>
      </c>
      <c r="C36" s="232">
        <v>513</v>
      </c>
      <c r="D36" s="232" t="str">
        <f>IFERROR(VLOOKUP(C36,'Neraca Saldo'!$B$6:$C$56,2,0),"")</f>
        <v>Beban Pengurus dan Anggota</v>
      </c>
      <c r="E36" s="194" t="s">
        <v>881</v>
      </c>
      <c r="F36" s="234" t="s">
        <v>838</v>
      </c>
      <c r="G36" s="232"/>
      <c r="H36" s="236">
        <v>45000</v>
      </c>
      <c r="I36" s="236">
        <v>0</v>
      </c>
    </row>
    <row r="37" spans="2:9" hidden="1" x14ac:dyDescent="0.2">
      <c r="B37" s="231">
        <v>45678</v>
      </c>
      <c r="C37" s="232">
        <v>112</v>
      </c>
      <c r="D37" s="232" t="str">
        <f>IFERROR(VLOOKUP(C37,'Neraca Saldo'!$B$6:$C$56,2,0),"")</f>
        <v>Kas</v>
      </c>
      <c r="E37" s="194" t="s">
        <v>881</v>
      </c>
      <c r="F37" s="234" t="s">
        <v>838</v>
      </c>
      <c r="G37" s="232"/>
      <c r="H37" s="236">
        <f>I36</f>
        <v>0</v>
      </c>
      <c r="I37" s="236">
        <f>H36</f>
        <v>45000</v>
      </c>
    </row>
    <row r="38" spans="2:9" x14ac:dyDescent="0.2">
      <c r="B38" s="231">
        <v>45679</v>
      </c>
      <c r="C38" s="232">
        <v>513</v>
      </c>
      <c r="D38" s="232" t="str">
        <f>IFERROR(VLOOKUP(C38,'Neraca Saldo'!$B$6:$C$56,2,0),"")</f>
        <v>Beban Pengurus dan Anggota</v>
      </c>
      <c r="E38" s="194" t="s">
        <v>881</v>
      </c>
      <c r="F38" s="234" t="s">
        <v>838</v>
      </c>
      <c r="G38" s="232"/>
      <c r="H38" s="236">
        <v>738000</v>
      </c>
      <c r="I38" s="236">
        <v>0</v>
      </c>
    </row>
    <row r="39" spans="2:9" hidden="1" x14ac:dyDescent="0.2">
      <c r="B39" s="231">
        <v>45679</v>
      </c>
      <c r="C39" s="232">
        <v>112</v>
      </c>
      <c r="D39" s="232" t="str">
        <f>IFERROR(VLOOKUP(C39,'Neraca Saldo'!$B$6:$C$56,2,0),"")</f>
        <v>Kas</v>
      </c>
      <c r="E39" s="194" t="s">
        <v>881</v>
      </c>
      <c r="F39" s="234" t="s">
        <v>838</v>
      </c>
      <c r="G39" s="232"/>
      <c r="H39" s="236">
        <f>I38</f>
        <v>0</v>
      </c>
      <c r="I39" s="236">
        <f>H38</f>
        <v>738000</v>
      </c>
    </row>
    <row r="40" spans="2:9" x14ac:dyDescent="0.2">
      <c r="B40" s="231">
        <v>45679</v>
      </c>
      <c r="C40" s="232">
        <v>513</v>
      </c>
      <c r="D40" s="232" t="str">
        <f>IFERROR(VLOOKUP(C40,'Neraca Saldo'!$B$6:$C$56,2,0),"")</f>
        <v>Beban Pengurus dan Anggota</v>
      </c>
      <c r="E40" s="194" t="s">
        <v>881</v>
      </c>
      <c r="F40" s="234" t="s">
        <v>838</v>
      </c>
      <c r="G40" s="232"/>
      <c r="H40" s="236">
        <v>235000</v>
      </c>
      <c r="I40" s="236">
        <v>0</v>
      </c>
    </row>
    <row r="41" spans="2:9" hidden="1" x14ac:dyDescent="0.2">
      <c r="B41" s="231">
        <v>45679</v>
      </c>
      <c r="C41" s="232">
        <v>112</v>
      </c>
      <c r="D41" s="232" t="str">
        <f>IFERROR(VLOOKUP(C41,'Neraca Saldo'!$B$6:$C$56,2,0),"")</f>
        <v>Kas</v>
      </c>
      <c r="E41" s="194" t="s">
        <v>881</v>
      </c>
      <c r="F41" s="234" t="s">
        <v>838</v>
      </c>
      <c r="G41" s="232"/>
      <c r="H41" s="236">
        <f>I40</f>
        <v>0</v>
      </c>
      <c r="I41" s="236">
        <f>H40</f>
        <v>235000</v>
      </c>
    </row>
    <row r="42" spans="2:9" x14ac:dyDescent="0.2">
      <c r="B42" s="231">
        <v>45679</v>
      </c>
      <c r="C42" s="232">
        <v>513</v>
      </c>
      <c r="D42" s="232" t="str">
        <f>IFERROR(VLOOKUP(C42,'Neraca Saldo'!$B$6:$C$56,2,0),"")</f>
        <v>Beban Pengurus dan Anggota</v>
      </c>
      <c r="E42" s="194" t="s">
        <v>881</v>
      </c>
      <c r="F42" s="234" t="s">
        <v>838</v>
      </c>
      <c r="G42" s="232"/>
      <c r="H42" s="236">
        <v>10000</v>
      </c>
      <c r="I42" s="236">
        <v>0</v>
      </c>
    </row>
    <row r="43" spans="2:9" hidden="1" x14ac:dyDescent="0.2">
      <c r="B43" s="231">
        <v>45679</v>
      </c>
      <c r="C43" s="232">
        <v>112</v>
      </c>
      <c r="D43" s="232" t="str">
        <f>IFERROR(VLOOKUP(C43,'Neraca Saldo'!$B$6:$C$56,2,0),"")</f>
        <v>Kas</v>
      </c>
      <c r="E43" s="194" t="s">
        <v>881</v>
      </c>
      <c r="F43" s="234" t="s">
        <v>838</v>
      </c>
      <c r="G43" s="232"/>
      <c r="H43" s="236">
        <f>I42</f>
        <v>0</v>
      </c>
      <c r="I43" s="236">
        <f>H42</f>
        <v>10000</v>
      </c>
    </row>
    <row r="44" spans="2:9" hidden="1" x14ac:dyDescent="0.2">
      <c r="B44" s="238">
        <v>45680</v>
      </c>
      <c r="C44" s="239">
        <v>111</v>
      </c>
      <c r="D44" s="239" t="str">
        <f>IFERROR(VLOOKUP(C44,'Neraca Saldo'!$B$6:$C$56,2,0),"")</f>
        <v>Bank</v>
      </c>
      <c r="E44" s="198" t="s">
        <v>885</v>
      </c>
      <c r="F44" s="244" t="s">
        <v>77</v>
      </c>
      <c r="G44" s="239"/>
      <c r="H44" s="240">
        <v>60000000</v>
      </c>
      <c r="I44" s="240">
        <v>0</v>
      </c>
    </row>
    <row r="45" spans="2:9" hidden="1" x14ac:dyDescent="0.2">
      <c r="B45" s="238">
        <v>45680</v>
      </c>
      <c r="C45" s="239">
        <v>212</v>
      </c>
      <c r="D45" s="239" t="str">
        <f>IFERROR(VLOOKUP(C45,'Neraca Saldo'!$B$6:$C$56,2,0),"")</f>
        <v>Simpanan Karyawan</v>
      </c>
      <c r="E45" s="198" t="s">
        <v>885</v>
      </c>
      <c r="F45" s="244" t="s">
        <v>77</v>
      </c>
      <c r="G45" s="239"/>
      <c r="H45" s="240">
        <f>I44</f>
        <v>0</v>
      </c>
      <c r="I45" s="240">
        <f>H44</f>
        <v>60000000</v>
      </c>
    </row>
    <row r="46" spans="2:9" hidden="1" x14ac:dyDescent="0.2">
      <c r="B46" s="238">
        <v>45680</v>
      </c>
      <c r="C46" s="239">
        <v>111</v>
      </c>
      <c r="D46" s="239" t="str">
        <f>IFERROR(VLOOKUP(C46,'Neraca Saldo'!$B$6:$C$56,2,0),"")</f>
        <v>Bank</v>
      </c>
      <c r="E46" s="198" t="s">
        <v>886</v>
      </c>
      <c r="F46" s="244" t="s">
        <v>77</v>
      </c>
      <c r="G46" s="239"/>
      <c r="H46" s="240">
        <v>27805500</v>
      </c>
      <c r="I46" s="240">
        <v>0</v>
      </c>
    </row>
    <row r="47" spans="2:9" hidden="1" x14ac:dyDescent="0.2">
      <c r="B47" s="238">
        <v>45680</v>
      </c>
      <c r="C47" s="239">
        <v>212</v>
      </c>
      <c r="D47" s="239" t="str">
        <f>IFERROR(VLOOKUP(C47,'Neraca Saldo'!$B$6:$C$56,2,0),"")</f>
        <v>Simpanan Karyawan</v>
      </c>
      <c r="E47" s="198" t="s">
        <v>886</v>
      </c>
      <c r="F47" s="244" t="s">
        <v>77</v>
      </c>
      <c r="G47" s="239"/>
      <c r="H47" s="240">
        <f>I46</f>
        <v>0</v>
      </c>
      <c r="I47" s="240">
        <f>H46</f>
        <v>27805500</v>
      </c>
    </row>
    <row r="48" spans="2:9" hidden="1" x14ac:dyDescent="0.2">
      <c r="B48" s="238">
        <v>45680</v>
      </c>
      <c r="C48" s="239">
        <v>111</v>
      </c>
      <c r="D48" s="239" t="str">
        <f>IFERROR(VLOOKUP(C48,'Neraca Saldo'!$B$6:$C$56,2,0),"")</f>
        <v>Bank</v>
      </c>
      <c r="E48" s="198" t="s">
        <v>887</v>
      </c>
      <c r="F48" s="244" t="s">
        <v>77</v>
      </c>
      <c r="G48" s="239"/>
      <c r="H48" s="240">
        <v>5720000</v>
      </c>
      <c r="I48" s="240">
        <v>0</v>
      </c>
    </row>
    <row r="49" spans="2:9" hidden="1" x14ac:dyDescent="0.2">
      <c r="B49" s="238">
        <v>45680</v>
      </c>
      <c r="C49" s="239">
        <v>222</v>
      </c>
      <c r="D49" s="239" t="str">
        <f>IFERROR(VLOOKUP(C49,'Neraca Saldo'!$B$6:$C$56,2,0),"")</f>
        <v>Hutang SPN</v>
      </c>
      <c r="E49" s="198" t="s">
        <v>887</v>
      </c>
      <c r="F49" s="244" t="s">
        <v>77</v>
      </c>
      <c r="G49" s="239"/>
      <c r="H49" s="240">
        <f>I48</f>
        <v>0</v>
      </c>
      <c r="I49" s="240">
        <f>H48</f>
        <v>5720000</v>
      </c>
    </row>
    <row r="50" spans="2:9" hidden="1" x14ac:dyDescent="0.2">
      <c r="B50" s="238">
        <v>45680</v>
      </c>
      <c r="C50" s="239">
        <v>111</v>
      </c>
      <c r="D50" s="239" t="str">
        <f>IFERROR(VLOOKUP(C50,'Neraca Saldo'!$B$6:$C$56,2,0),"")</f>
        <v>Bank</v>
      </c>
      <c r="E50" s="198" t="s">
        <v>888</v>
      </c>
      <c r="F50" s="244" t="s">
        <v>77</v>
      </c>
      <c r="G50" s="239"/>
      <c r="H50" s="245">
        <v>59202965</v>
      </c>
      <c r="I50" s="240">
        <v>0</v>
      </c>
    </row>
    <row r="51" spans="2:9" hidden="1" x14ac:dyDescent="0.2">
      <c r="B51" s="238">
        <v>45680</v>
      </c>
      <c r="C51" s="239">
        <v>121</v>
      </c>
      <c r="D51" s="239" t="str">
        <f>IFERROR(VLOOKUP(C51,'Neraca Saldo'!$B$6:$C$56,2,0),"")</f>
        <v>Piutang Anggota</v>
      </c>
      <c r="E51" s="198" t="s">
        <v>888</v>
      </c>
      <c r="F51" s="244" t="s">
        <v>77</v>
      </c>
      <c r="G51" s="239"/>
      <c r="H51" s="240">
        <f>I50</f>
        <v>0</v>
      </c>
      <c r="I51" s="240">
        <f>H50</f>
        <v>59202965</v>
      </c>
    </row>
    <row r="52" spans="2:9" hidden="1" x14ac:dyDescent="0.2">
      <c r="B52" s="238">
        <v>45680</v>
      </c>
      <c r="C52" s="239">
        <v>111</v>
      </c>
      <c r="D52" s="239" t="str">
        <f>IFERROR(VLOOKUP(C52,'Neraca Saldo'!$B$6:$C$56,2,0),"")</f>
        <v>Bank</v>
      </c>
      <c r="E52" s="198" t="s">
        <v>889</v>
      </c>
      <c r="F52" s="244" t="s">
        <v>77</v>
      </c>
      <c r="G52" s="239"/>
      <c r="H52" s="245">
        <v>137285167</v>
      </c>
      <c r="I52" s="240">
        <v>0</v>
      </c>
    </row>
    <row r="53" spans="2:9" hidden="1" x14ac:dyDescent="0.2">
      <c r="B53" s="238">
        <v>45680</v>
      </c>
      <c r="C53" s="239">
        <v>121</v>
      </c>
      <c r="D53" s="239" t="str">
        <f>IFERROR(VLOOKUP(C53,'Neraca Saldo'!$B$6:$C$56,2,0),"")</f>
        <v>Piutang Anggota</v>
      </c>
      <c r="E53" s="198" t="s">
        <v>889</v>
      </c>
      <c r="F53" s="244" t="s">
        <v>77</v>
      </c>
      <c r="G53" s="239"/>
      <c r="H53" s="240">
        <f>I52</f>
        <v>0</v>
      </c>
      <c r="I53" s="240">
        <f>H52</f>
        <v>137285167</v>
      </c>
    </row>
    <row r="54" spans="2:9" hidden="1" x14ac:dyDescent="0.2">
      <c r="B54" s="231">
        <v>45681</v>
      </c>
      <c r="C54" s="232">
        <v>411</v>
      </c>
      <c r="D54" s="232" t="str">
        <f>IFERROR(VLOOKUP(C54,'Neraca Saldo'!$B$6:$C$56,2,0),"")</f>
        <v>Pendapatan Toko</v>
      </c>
      <c r="E54" s="233" t="s">
        <v>882</v>
      </c>
      <c r="F54" s="234" t="s">
        <v>77</v>
      </c>
      <c r="G54" s="232"/>
      <c r="H54" s="246">
        <v>4646300</v>
      </c>
      <c r="I54" s="236">
        <v>0</v>
      </c>
    </row>
    <row r="55" spans="2:9" hidden="1" x14ac:dyDescent="0.2">
      <c r="B55" s="231">
        <v>45681</v>
      </c>
      <c r="C55" s="232">
        <v>111</v>
      </c>
      <c r="D55" s="232" t="str">
        <f>IFERROR(VLOOKUP(C55,'Neraca Saldo'!$B$6:$C$56,2,0),"")</f>
        <v>Bank</v>
      </c>
      <c r="E55" s="233" t="s">
        <v>882</v>
      </c>
      <c r="F55" s="234" t="s">
        <v>77</v>
      </c>
      <c r="G55" s="232"/>
      <c r="H55" s="236">
        <f>I54</f>
        <v>0</v>
      </c>
      <c r="I55" s="236">
        <f>H54</f>
        <v>4646300</v>
      </c>
    </row>
    <row r="56" spans="2:9" hidden="1" x14ac:dyDescent="0.2">
      <c r="B56" s="231">
        <v>45681</v>
      </c>
      <c r="C56" s="232">
        <v>124</v>
      </c>
      <c r="D56" s="232" t="str">
        <f>IFERROR(VLOOKUP(C56,'Neraca Saldo'!$B$6:$C$56,2,0),"")</f>
        <v>Piutang USP</v>
      </c>
      <c r="E56" s="194" t="s">
        <v>886</v>
      </c>
      <c r="F56" s="234" t="s">
        <v>77</v>
      </c>
      <c r="G56" s="232"/>
      <c r="H56" s="236">
        <v>27805500</v>
      </c>
      <c r="I56" s="236">
        <v>0</v>
      </c>
    </row>
    <row r="57" spans="2:9" hidden="1" x14ac:dyDescent="0.2">
      <c r="B57" s="231">
        <v>45681</v>
      </c>
      <c r="C57" s="232">
        <v>111</v>
      </c>
      <c r="D57" s="232" t="str">
        <f>IFERROR(VLOOKUP(C57,'Neraca Saldo'!$B$6:$C$56,2,0),"")</f>
        <v>Bank</v>
      </c>
      <c r="E57" s="194" t="s">
        <v>886</v>
      </c>
      <c r="F57" s="234" t="s">
        <v>77</v>
      </c>
      <c r="G57" s="232"/>
      <c r="H57" s="236">
        <f>I56</f>
        <v>0</v>
      </c>
      <c r="I57" s="236">
        <f>H56</f>
        <v>27805500</v>
      </c>
    </row>
    <row r="58" spans="2:9" hidden="1" x14ac:dyDescent="0.2">
      <c r="B58" s="231">
        <v>45681</v>
      </c>
      <c r="C58" s="232">
        <v>222</v>
      </c>
      <c r="D58" s="232" t="str">
        <f>IFERROR(VLOOKUP(C58,'Neraca Saldo'!$B$6:$C$56,2,0),"")</f>
        <v>Hutang SPN</v>
      </c>
      <c r="E58" s="194" t="s">
        <v>887</v>
      </c>
      <c r="F58" s="234" t="s">
        <v>77</v>
      </c>
      <c r="G58" s="232"/>
      <c r="H58" s="236">
        <v>5720000</v>
      </c>
      <c r="I58" s="236">
        <v>0</v>
      </c>
    </row>
    <row r="59" spans="2:9" hidden="1" x14ac:dyDescent="0.2">
      <c r="B59" s="231">
        <v>45681</v>
      </c>
      <c r="C59" s="232">
        <v>111</v>
      </c>
      <c r="D59" s="232" t="str">
        <f>IFERROR(VLOOKUP(C59,'Neraca Saldo'!$B$6:$C$56,2,0),"")</f>
        <v>Bank</v>
      </c>
      <c r="E59" s="194" t="s">
        <v>887</v>
      </c>
      <c r="F59" s="234" t="s">
        <v>77</v>
      </c>
      <c r="G59" s="232"/>
      <c r="H59" s="236">
        <f>I58</f>
        <v>0</v>
      </c>
      <c r="I59" s="236">
        <f>H58</f>
        <v>5720000</v>
      </c>
    </row>
    <row r="60" spans="2:9" hidden="1" x14ac:dyDescent="0.2">
      <c r="B60" s="231">
        <v>45681</v>
      </c>
      <c r="C60" s="232">
        <v>126</v>
      </c>
      <c r="D60" s="232" t="str">
        <f>IFERROR(VLOOKUP(C60,'Neraca Saldo'!$B$6:$C$56,2,0),"")</f>
        <v>Piutang Pengadaan</v>
      </c>
      <c r="E60" s="194" t="s">
        <v>888</v>
      </c>
      <c r="F60" s="234" t="s">
        <v>77</v>
      </c>
      <c r="G60" s="232"/>
      <c r="H60" s="246">
        <v>59202965</v>
      </c>
      <c r="I60" s="236">
        <v>0</v>
      </c>
    </row>
    <row r="61" spans="2:9" hidden="1" x14ac:dyDescent="0.2">
      <c r="B61" s="231">
        <v>45681</v>
      </c>
      <c r="C61" s="232">
        <v>111</v>
      </c>
      <c r="D61" s="232" t="str">
        <f>IFERROR(VLOOKUP(C61,'Neraca Saldo'!$B$6:$C$56,2,0),"")</f>
        <v>Bank</v>
      </c>
      <c r="E61" s="194" t="s">
        <v>888</v>
      </c>
      <c r="F61" s="234" t="s">
        <v>77</v>
      </c>
      <c r="G61" s="232"/>
      <c r="H61" s="236">
        <f>I60</f>
        <v>0</v>
      </c>
      <c r="I61" s="236">
        <f>H60</f>
        <v>59202965</v>
      </c>
    </row>
    <row r="62" spans="2:9" hidden="1" x14ac:dyDescent="0.2">
      <c r="B62" s="231">
        <v>45681</v>
      </c>
      <c r="C62" s="232">
        <v>124</v>
      </c>
      <c r="D62" s="232" t="str">
        <f>IFERROR(VLOOKUP(C62,'Neraca Saldo'!$B$6:$C$56,2,0),"")</f>
        <v>Piutang USP</v>
      </c>
      <c r="E62" s="194" t="s">
        <v>889</v>
      </c>
      <c r="F62" s="234" t="s">
        <v>77</v>
      </c>
      <c r="G62" s="232"/>
      <c r="H62" s="246">
        <v>137285167</v>
      </c>
      <c r="I62" s="236">
        <v>0</v>
      </c>
    </row>
    <row r="63" spans="2:9" hidden="1" x14ac:dyDescent="0.2">
      <c r="B63" s="231">
        <v>45681</v>
      </c>
      <c r="C63" s="232">
        <v>111</v>
      </c>
      <c r="D63" s="232" t="str">
        <f>IFERROR(VLOOKUP(C63,'Neraca Saldo'!$B$6:$C$56,2,0),"")</f>
        <v>Bank</v>
      </c>
      <c r="E63" s="194" t="s">
        <v>889</v>
      </c>
      <c r="F63" s="234" t="s">
        <v>77</v>
      </c>
      <c r="G63" s="232"/>
      <c r="H63" s="236">
        <f>I62</f>
        <v>0</v>
      </c>
      <c r="I63" s="236">
        <f>H62</f>
        <v>137285167</v>
      </c>
    </row>
    <row r="64" spans="2:9" hidden="1" x14ac:dyDescent="0.2">
      <c r="B64" s="231">
        <v>45681</v>
      </c>
      <c r="C64" s="232">
        <v>212</v>
      </c>
      <c r="D64" s="232" t="str">
        <f>IFERROR(VLOOKUP(C64,'Neraca Saldo'!$B$6:$C$56,2,0),"")</f>
        <v>Simpanan Karyawan</v>
      </c>
      <c r="E64" s="233" t="s">
        <v>890</v>
      </c>
      <c r="F64" s="234" t="s">
        <v>77</v>
      </c>
      <c r="G64" s="232"/>
      <c r="H64" s="196">
        <v>5850000</v>
      </c>
      <c r="I64" s="236">
        <v>0</v>
      </c>
    </row>
    <row r="65" spans="2:9" hidden="1" x14ac:dyDescent="0.2">
      <c r="B65" s="231">
        <v>45681</v>
      </c>
      <c r="C65" s="232">
        <v>111</v>
      </c>
      <c r="D65" s="232" t="str">
        <f>IFERROR(VLOOKUP(C65,'Neraca Saldo'!$B$6:$C$56,2,0),"")</f>
        <v>Bank</v>
      </c>
      <c r="E65" s="233" t="s">
        <v>890</v>
      </c>
      <c r="F65" s="234" t="s">
        <v>77</v>
      </c>
      <c r="G65" s="232"/>
      <c r="H65" s="236">
        <v>0</v>
      </c>
      <c r="I65" s="196">
        <v>5850000</v>
      </c>
    </row>
    <row r="66" spans="2:9" hidden="1" x14ac:dyDescent="0.2">
      <c r="B66" s="231">
        <v>45681</v>
      </c>
      <c r="C66" s="232">
        <v>212</v>
      </c>
      <c r="D66" s="232" t="str">
        <f>IFERROR(VLOOKUP(C66,'Neraca Saldo'!$B$6:$C$56,2,0),"")</f>
        <v>Simpanan Karyawan</v>
      </c>
      <c r="E66" s="233" t="s">
        <v>891</v>
      </c>
      <c r="F66" s="234" t="s">
        <v>77</v>
      </c>
      <c r="G66" s="232"/>
      <c r="H66" s="196">
        <v>1350000</v>
      </c>
      <c r="I66" s="236">
        <v>0</v>
      </c>
    </row>
    <row r="67" spans="2:9" hidden="1" x14ac:dyDescent="0.2">
      <c r="B67" s="231">
        <v>45681</v>
      </c>
      <c r="C67" s="232">
        <v>111</v>
      </c>
      <c r="D67" s="232" t="str">
        <f>IFERROR(VLOOKUP(C67,'Neraca Saldo'!$B$6:$C$56,2,0),"")</f>
        <v>Bank</v>
      </c>
      <c r="E67" s="233" t="s">
        <v>891</v>
      </c>
      <c r="F67" s="234" t="s">
        <v>77</v>
      </c>
      <c r="G67" s="232"/>
      <c r="H67" s="236">
        <v>0</v>
      </c>
      <c r="I67" s="196">
        <v>1350000</v>
      </c>
    </row>
    <row r="68" spans="2:9" hidden="1" x14ac:dyDescent="0.2">
      <c r="B68" s="231">
        <v>45681</v>
      </c>
      <c r="C68" s="232">
        <v>126</v>
      </c>
      <c r="D68" s="232" t="str">
        <f>IFERROR(VLOOKUP(C68,'Neraca Saldo'!$B$6:$C$56,2,0),"")</f>
        <v>Piutang Pengadaan</v>
      </c>
      <c r="E68" s="233" t="s">
        <v>836</v>
      </c>
      <c r="F68" s="234" t="s">
        <v>77</v>
      </c>
      <c r="G68" s="232"/>
      <c r="H68" s="196">
        <v>50000000</v>
      </c>
      <c r="I68" s="236">
        <v>0</v>
      </c>
    </row>
    <row r="69" spans="2:9" hidden="1" x14ac:dyDescent="0.2">
      <c r="B69" s="231">
        <v>45681</v>
      </c>
      <c r="C69" s="232">
        <v>111</v>
      </c>
      <c r="D69" s="232" t="str">
        <f>IFERROR(VLOOKUP(C69,'Neraca Saldo'!$B$6:$C$56,2,0),"")</f>
        <v>Bank</v>
      </c>
      <c r="E69" s="233" t="s">
        <v>836</v>
      </c>
      <c r="F69" s="234" t="s">
        <v>77</v>
      </c>
      <c r="G69" s="232"/>
      <c r="H69" s="236">
        <v>0</v>
      </c>
      <c r="I69" s="196">
        <v>50000000</v>
      </c>
    </row>
    <row r="70" spans="2:9" hidden="1" x14ac:dyDescent="0.2">
      <c r="B70" s="231">
        <v>45681</v>
      </c>
      <c r="C70" s="232">
        <v>112</v>
      </c>
      <c r="D70" s="232" t="str">
        <f>IFERROR(VLOOKUP(C70,'Neraca Saldo'!$B$6:$C$56,2,0),"")</f>
        <v>Kas</v>
      </c>
      <c r="E70" s="232" t="s">
        <v>838</v>
      </c>
      <c r="F70" s="234" t="s">
        <v>77</v>
      </c>
      <c r="G70" s="232"/>
      <c r="H70" s="196">
        <v>998149</v>
      </c>
      <c r="I70" s="236">
        <v>0</v>
      </c>
    </row>
    <row r="71" spans="2:9" hidden="1" x14ac:dyDescent="0.2">
      <c r="B71" s="231">
        <v>45681</v>
      </c>
      <c r="C71" s="232">
        <v>111</v>
      </c>
      <c r="D71" s="232" t="str">
        <f>IFERROR(VLOOKUP(C71,'Neraca Saldo'!$B$6:$C$56,2,0),"")</f>
        <v>Bank</v>
      </c>
      <c r="E71" s="232" t="s">
        <v>838</v>
      </c>
      <c r="F71" s="234" t="s">
        <v>77</v>
      </c>
      <c r="G71" s="232"/>
      <c r="H71" s="236">
        <v>0</v>
      </c>
      <c r="I71" s="196">
        <v>998149</v>
      </c>
    </row>
    <row r="72" spans="2:9" hidden="1" x14ac:dyDescent="0.2">
      <c r="B72" s="247">
        <v>45681</v>
      </c>
      <c r="C72" s="248">
        <v>111</v>
      </c>
      <c r="D72" s="248" t="str">
        <f>IFERROR(VLOOKUP(C72,'Neraca Saldo'!$B$6:$C$56,2,0),"")</f>
        <v>Bank</v>
      </c>
      <c r="E72" s="249" t="s">
        <v>892</v>
      </c>
      <c r="F72" s="250" t="s">
        <v>77</v>
      </c>
      <c r="G72" s="248"/>
      <c r="H72" s="251">
        <v>715500</v>
      </c>
      <c r="I72" s="252">
        <v>0</v>
      </c>
    </row>
    <row r="73" spans="2:9" x14ac:dyDescent="0.2">
      <c r="B73" s="247">
        <v>45681</v>
      </c>
      <c r="C73" s="248">
        <v>513</v>
      </c>
      <c r="D73" s="248" t="str">
        <f>IFERROR(VLOOKUP(C73,'Neraca Saldo'!$B$6:$C$56,2,0),"")</f>
        <v>Beban Pengurus dan Anggota</v>
      </c>
      <c r="E73" s="249" t="s">
        <v>892</v>
      </c>
      <c r="F73" s="250" t="s">
        <v>77</v>
      </c>
      <c r="G73" s="248"/>
      <c r="H73" s="253">
        <v>0</v>
      </c>
      <c r="I73" s="251">
        <v>715500</v>
      </c>
    </row>
    <row r="74" spans="2:9" x14ac:dyDescent="0.2">
      <c r="B74" s="231">
        <v>45682</v>
      </c>
      <c r="C74" s="232">
        <v>513</v>
      </c>
      <c r="D74" s="232" t="str">
        <f>IFERROR(VLOOKUP(C74,'Neraca Saldo'!$B$6:$C$56,2,0),"")</f>
        <v>Beban Pengurus dan Anggota</v>
      </c>
      <c r="E74" s="194" t="s">
        <v>895</v>
      </c>
      <c r="F74" s="234" t="s">
        <v>838</v>
      </c>
      <c r="G74" s="232"/>
      <c r="H74" s="188">
        <v>863800</v>
      </c>
      <c r="I74" s="236">
        <v>0</v>
      </c>
    </row>
    <row r="75" spans="2:9" hidden="1" x14ac:dyDescent="0.2">
      <c r="B75" s="231">
        <v>45682</v>
      </c>
      <c r="C75" s="232">
        <v>112</v>
      </c>
      <c r="D75" s="232" t="str">
        <f>IFERROR(VLOOKUP(C75,'Neraca Saldo'!$B$6:$C$56,2,0),"")</f>
        <v>Kas</v>
      </c>
      <c r="E75" s="194" t="s">
        <v>895</v>
      </c>
      <c r="F75" s="234" t="s">
        <v>838</v>
      </c>
      <c r="G75" s="232"/>
      <c r="H75" s="236">
        <v>0</v>
      </c>
      <c r="I75" s="188">
        <v>863800</v>
      </c>
    </row>
    <row r="76" spans="2:9" x14ac:dyDescent="0.2">
      <c r="B76" s="231">
        <v>45682</v>
      </c>
      <c r="C76" s="232">
        <v>513</v>
      </c>
      <c r="D76" s="232" t="str">
        <f>IFERROR(VLOOKUP(C76,'Neraca Saldo'!$B$6:$C$56,2,0),"")</f>
        <v>Beban Pengurus dan Anggota</v>
      </c>
      <c r="E76" s="194" t="s">
        <v>895</v>
      </c>
      <c r="F76" s="234" t="s">
        <v>838</v>
      </c>
      <c r="G76" s="232"/>
      <c r="H76" s="188">
        <v>341200</v>
      </c>
      <c r="I76" s="236">
        <v>0</v>
      </c>
    </row>
    <row r="77" spans="2:9" hidden="1" x14ac:dyDescent="0.2">
      <c r="B77" s="231">
        <v>45682</v>
      </c>
      <c r="C77" s="232">
        <v>112</v>
      </c>
      <c r="D77" s="232" t="str">
        <f>IFERROR(VLOOKUP(C77,'Neraca Saldo'!$B$6:$C$56,2,0),"")</f>
        <v>Kas</v>
      </c>
      <c r="E77" s="194" t="s">
        <v>895</v>
      </c>
      <c r="F77" s="234" t="s">
        <v>838</v>
      </c>
      <c r="G77" s="232"/>
      <c r="H77" s="236">
        <v>0</v>
      </c>
      <c r="I77" s="236">
        <f>H76</f>
        <v>341200</v>
      </c>
    </row>
    <row r="78" spans="2:9" x14ac:dyDescent="0.2">
      <c r="B78" s="231">
        <v>45682</v>
      </c>
      <c r="C78" s="232">
        <v>513</v>
      </c>
      <c r="D78" s="232" t="str">
        <f>IFERROR(VLOOKUP(C78,'Neraca Saldo'!$B$6:$C$56,2,0),"")</f>
        <v>Beban Pengurus dan Anggota</v>
      </c>
      <c r="E78" s="194" t="s">
        <v>895</v>
      </c>
      <c r="F78" s="234" t="s">
        <v>838</v>
      </c>
      <c r="G78" s="232"/>
      <c r="H78" s="188">
        <v>422200</v>
      </c>
      <c r="I78" s="236">
        <v>0</v>
      </c>
    </row>
    <row r="79" spans="2:9" hidden="1" x14ac:dyDescent="0.2">
      <c r="B79" s="231">
        <v>45682</v>
      </c>
      <c r="C79" s="232">
        <v>112</v>
      </c>
      <c r="D79" s="232" t="str">
        <f>IFERROR(VLOOKUP(C79,'Neraca Saldo'!$B$6:$C$56,2,0),"")</f>
        <v>Kas</v>
      </c>
      <c r="E79" s="194" t="s">
        <v>895</v>
      </c>
      <c r="F79" s="234" t="s">
        <v>838</v>
      </c>
      <c r="G79" s="232"/>
      <c r="H79" s="236">
        <v>0</v>
      </c>
      <c r="I79" s="236">
        <f>H78</f>
        <v>422200</v>
      </c>
    </row>
    <row r="80" spans="2:9" x14ac:dyDescent="0.2">
      <c r="B80" s="231">
        <v>45682</v>
      </c>
      <c r="C80" s="232">
        <v>513</v>
      </c>
      <c r="D80" s="232" t="str">
        <f>IFERROR(VLOOKUP(C80,'Neraca Saldo'!$B$6:$C$56,2,0),"")</f>
        <v>Beban Pengurus dan Anggota</v>
      </c>
      <c r="E80" s="194" t="s">
        <v>895</v>
      </c>
      <c r="F80" s="234" t="s">
        <v>838</v>
      </c>
      <c r="G80" s="232"/>
      <c r="H80" s="188">
        <v>467900</v>
      </c>
      <c r="I80" s="236">
        <v>0</v>
      </c>
    </row>
    <row r="81" spans="2:9" hidden="1" x14ac:dyDescent="0.2">
      <c r="B81" s="231">
        <v>45682</v>
      </c>
      <c r="C81" s="232">
        <v>112</v>
      </c>
      <c r="D81" s="232" t="str">
        <f>IFERROR(VLOOKUP(C81,'Neraca Saldo'!$B$6:$C$56,2,0),"")</f>
        <v>Kas</v>
      </c>
      <c r="E81" s="194" t="s">
        <v>895</v>
      </c>
      <c r="F81" s="234" t="s">
        <v>838</v>
      </c>
      <c r="G81" s="232"/>
      <c r="H81" s="236">
        <v>0</v>
      </c>
      <c r="I81" s="236">
        <f>H80</f>
        <v>467900</v>
      </c>
    </row>
    <row r="82" spans="2:9" x14ac:dyDescent="0.2">
      <c r="B82" s="231">
        <v>45682</v>
      </c>
      <c r="C82" s="232">
        <v>513</v>
      </c>
      <c r="D82" s="232" t="str">
        <f>IFERROR(VLOOKUP(C82,'Neraca Saldo'!$B$6:$C$56,2,0),"")</f>
        <v>Beban Pengurus dan Anggota</v>
      </c>
      <c r="E82" s="194" t="s">
        <v>896</v>
      </c>
      <c r="F82" s="234" t="s">
        <v>838</v>
      </c>
      <c r="G82" s="232"/>
      <c r="H82" s="188">
        <v>5125000</v>
      </c>
      <c r="I82" s="236">
        <v>0</v>
      </c>
    </row>
    <row r="83" spans="2:9" hidden="1" x14ac:dyDescent="0.2">
      <c r="B83" s="231">
        <v>45682</v>
      </c>
      <c r="C83" s="232">
        <v>112</v>
      </c>
      <c r="D83" s="232" t="str">
        <f>IFERROR(VLOOKUP(C83,'Neraca Saldo'!$B$6:$C$56,2,0),"")</f>
        <v>Kas</v>
      </c>
      <c r="E83" s="194" t="s">
        <v>896</v>
      </c>
      <c r="F83" s="234" t="s">
        <v>838</v>
      </c>
      <c r="G83" s="232"/>
      <c r="H83" s="236">
        <v>0</v>
      </c>
      <c r="I83" s="236">
        <f>H82</f>
        <v>5125000</v>
      </c>
    </row>
    <row r="84" spans="2:9" x14ac:dyDescent="0.2">
      <c r="B84" s="231">
        <v>45682</v>
      </c>
      <c r="C84" s="232">
        <v>513</v>
      </c>
      <c r="D84" s="232" t="str">
        <f>IFERROR(VLOOKUP(C84,'Neraca Saldo'!$B$6:$C$56,2,0),"")</f>
        <v>Beban Pengurus dan Anggota</v>
      </c>
      <c r="E84" s="194" t="s">
        <v>897</v>
      </c>
      <c r="F84" s="234" t="s">
        <v>838</v>
      </c>
      <c r="G84" s="232"/>
      <c r="H84" s="188">
        <v>204000</v>
      </c>
      <c r="I84" s="236">
        <v>0</v>
      </c>
    </row>
    <row r="85" spans="2:9" hidden="1" x14ac:dyDescent="0.2">
      <c r="B85" s="231">
        <v>45682</v>
      </c>
      <c r="C85" s="232">
        <v>112</v>
      </c>
      <c r="D85" s="232" t="str">
        <f>IFERROR(VLOOKUP(C85,'Neraca Saldo'!$B$6:$C$56,2,0),"")</f>
        <v>Kas</v>
      </c>
      <c r="E85" s="194" t="s">
        <v>897</v>
      </c>
      <c r="F85" s="234" t="s">
        <v>838</v>
      </c>
      <c r="G85" s="232"/>
      <c r="H85" s="236">
        <v>0</v>
      </c>
      <c r="I85" s="236">
        <f>H84</f>
        <v>204000</v>
      </c>
    </row>
    <row r="86" spans="2:9" x14ac:dyDescent="0.2">
      <c r="B86" s="231">
        <v>45682</v>
      </c>
      <c r="C86" s="232">
        <v>513</v>
      </c>
      <c r="D86" s="232" t="str">
        <f>IFERROR(VLOOKUP(C86,'Neraca Saldo'!$B$6:$C$56,2,0),"")</f>
        <v>Beban Pengurus dan Anggota</v>
      </c>
      <c r="E86" s="194" t="s">
        <v>898</v>
      </c>
      <c r="F86" s="234" t="s">
        <v>838</v>
      </c>
      <c r="G86" s="232"/>
      <c r="H86" s="236">
        <v>200000</v>
      </c>
      <c r="I86" s="236">
        <v>0</v>
      </c>
    </row>
    <row r="87" spans="2:9" hidden="1" x14ac:dyDescent="0.2">
      <c r="B87" s="231">
        <v>45682</v>
      </c>
      <c r="C87" s="232">
        <v>112</v>
      </c>
      <c r="D87" s="232" t="str">
        <f>IFERROR(VLOOKUP(C87,'Neraca Saldo'!$B$6:$C$56,2,0),"")</f>
        <v>Kas</v>
      </c>
      <c r="E87" s="194" t="s">
        <v>898</v>
      </c>
      <c r="F87" s="234" t="s">
        <v>838</v>
      </c>
      <c r="G87" s="232"/>
      <c r="H87" s="236">
        <v>0</v>
      </c>
      <c r="I87" s="236">
        <v>200000</v>
      </c>
    </row>
    <row r="88" spans="2:9" hidden="1" x14ac:dyDescent="0.2">
      <c r="B88" s="254">
        <v>45683</v>
      </c>
      <c r="C88" s="195">
        <v>112</v>
      </c>
      <c r="D88" s="195" t="str">
        <f>IFERROR(VLOOKUP(C88,'Neraca Saldo'!$B$6:$C$56,2,0),"")</f>
        <v>Kas</v>
      </c>
      <c r="E88" s="195" t="s">
        <v>899</v>
      </c>
      <c r="F88" s="255" t="s">
        <v>838</v>
      </c>
      <c r="G88" s="195"/>
      <c r="H88" s="189">
        <v>550000</v>
      </c>
      <c r="I88" s="256">
        <v>0</v>
      </c>
    </row>
    <row r="89" spans="2:9" x14ac:dyDescent="0.2">
      <c r="B89" s="254">
        <v>45683</v>
      </c>
      <c r="C89" s="195">
        <v>513</v>
      </c>
      <c r="D89" s="195" t="str">
        <f>IFERROR(VLOOKUP(C89,'Neraca Saldo'!$B$6:$C$56,2,0),"")</f>
        <v>Beban Pengurus dan Anggota</v>
      </c>
      <c r="E89" s="195" t="s">
        <v>899</v>
      </c>
      <c r="F89" s="255" t="s">
        <v>838</v>
      </c>
      <c r="G89" s="195"/>
      <c r="H89" s="256">
        <v>0</v>
      </c>
      <c r="I89" s="189">
        <v>550000</v>
      </c>
    </row>
    <row r="90" spans="2:9" hidden="1" x14ac:dyDescent="0.2">
      <c r="B90" s="231">
        <v>45685</v>
      </c>
      <c r="C90" s="232">
        <v>112</v>
      </c>
      <c r="D90" s="232" t="str">
        <f>IFERROR(VLOOKUP(C90,'Neraca Saldo'!$B$6:$C$56,2,0),"")</f>
        <v>Kas</v>
      </c>
      <c r="E90" s="232" t="s">
        <v>838</v>
      </c>
      <c r="F90" s="234" t="s">
        <v>77</v>
      </c>
      <c r="G90" s="232"/>
      <c r="H90" s="236">
        <v>13000000</v>
      </c>
      <c r="I90" s="236">
        <v>0</v>
      </c>
    </row>
    <row r="91" spans="2:9" hidden="1" x14ac:dyDescent="0.2">
      <c r="B91" s="231">
        <v>45685</v>
      </c>
      <c r="C91" s="232">
        <v>111</v>
      </c>
      <c r="D91" s="232" t="str">
        <f>IFERROR(VLOOKUP(C91,'Neraca Saldo'!$B$6:$C$56,2,0),"")</f>
        <v>Bank</v>
      </c>
      <c r="E91" s="232" t="s">
        <v>838</v>
      </c>
      <c r="F91" s="234" t="s">
        <v>77</v>
      </c>
      <c r="G91" s="232"/>
      <c r="H91" s="236">
        <v>0</v>
      </c>
      <c r="I91" s="236">
        <v>13000000</v>
      </c>
    </row>
    <row r="92" spans="2:9" hidden="1" x14ac:dyDescent="0.2">
      <c r="B92" s="231">
        <v>45685</v>
      </c>
      <c r="C92" s="232">
        <v>523</v>
      </c>
      <c r="D92" s="232" t="str">
        <f>IFERROR(VLOOKUP(C92,'Neraca Saldo'!$B$6:$C$56,2,0),"")</f>
        <v>Beban RAT</v>
      </c>
      <c r="E92" s="194" t="s">
        <v>900</v>
      </c>
      <c r="F92" s="234" t="s">
        <v>838</v>
      </c>
      <c r="G92" s="232"/>
      <c r="H92" s="236">
        <v>3000000</v>
      </c>
      <c r="I92" s="236">
        <v>0</v>
      </c>
    </row>
    <row r="93" spans="2:9" hidden="1" x14ac:dyDescent="0.2">
      <c r="B93" s="231">
        <v>45685</v>
      </c>
      <c r="C93" s="232">
        <v>112</v>
      </c>
      <c r="D93" s="232" t="str">
        <f>IFERROR(VLOOKUP(C93,'Neraca Saldo'!$B$6:$C$56,2,0),"")</f>
        <v>Kas</v>
      </c>
      <c r="E93" s="194" t="s">
        <v>900</v>
      </c>
      <c r="F93" s="234" t="s">
        <v>838</v>
      </c>
      <c r="G93" s="232"/>
      <c r="H93" s="236">
        <v>0</v>
      </c>
      <c r="I93" s="236">
        <v>3000000</v>
      </c>
    </row>
    <row r="94" spans="2:9" hidden="1" x14ac:dyDescent="0.2">
      <c r="B94" s="231">
        <v>45686</v>
      </c>
      <c r="C94" s="232">
        <v>520</v>
      </c>
      <c r="D94" s="232" t="str">
        <f>IFERROR(VLOOKUP(C94,'Neraca Saldo'!$B$6:$C$56,2,0),"")</f>
        <v>Beban Perlengkapan</v>
      </c>
      <c r="E94" s="194" t="s">
        <v>901</v>
      </c>
      <c r="F94" s="234" t="s">
        <v>838</v>
      </c>
      <c r="G94" s="232"/>
      <c r="H94" s="188">
        <v>250000</v>
      </c>
      <c r="I94" s="236">
        <v>0</v>
      </c>
    </row>
    <row r="95" spans="2:9" hidden="1" x14ac:dyDescent="0.2">
      <c r="B95" s="231">
        <v>45686</v>
      </c>
      <c r="C95" s="232">
        <v>112</v>
      </c>
      <c r="D95" s="232" t="str">
        <f>IFERROR(VLOOKUP(C95,'Neraca Saldo'!$B$6:$C$56,2,0),"")</f>
        <v>Kas</v>
      </c>
      <c r="E95" s="194" t="s">
        <v>901</v>
      </c>
      <c r="F95" s="234" t="s">
        <v>838</v>
      </c>
      <c r="G95" s="232"/>
      <c r="H95" s="236">
        <v>0</v>
      </c>
      <c r="I95" s="236">
        <f>H94</f>
        <v>250000</v>
      </c>
    </row>
    <row r="96" spans="2:9" x14ac:dyDescent="0.2">
      <c r="B96" s="231">
        <v>45686</v>
      </c>
      <c r="C96" s="232">
        <v>513</v>
      </c>
      <c r="D96" s="232" t="str">
        <f>IFERROR(VLOOKUP(C96,'Neraca Saldo'!$B$6:$C$56,2,0),"")</f>
        <v>Beban Pengurus dan Anggota</v>
      </c>
      <c r="E96" s="194" t="s">
        <v>902</v>
      </c>
      <c r="F96" s="234" t="s">
        <v>838</v>
      </c>
      <c r="G96" s="232"/>
      <c r="H96" s="188">
        <v>608302</v>
      </c>
      <c r="I96" s="236">
        <v>0</v>
      </c>
    </row>
    <row r="97" spans="2:9" hidden="1" x14ac:dyDescent="0.2">
      <c r="B97" s="231">
        <v>45686</v>
      </c>
      <c r="C97" s="232">
        <v>112</v>
      </c>
      <c r="D97" s="232" t="str">
        <f>IFERROR(VLOOKUP(C97,'Neraca Saldo'!$B$6:$C$56,2,0),"")</f>
        <v>Kas</v>
      </c>
      <c r="E97" s="194" t="s">
        <v>902</v>
      </c>
      <c r="F97" s="234" t="s">
        <v>838</v>
      </c>
      <c r="G97" s="232"/>
      <c r="H97" s="236">
        <v>0</v>
      </c>
      <c r="I97" s="188">
        <v>608302</v>
      </c>
    </row>
    <row r="98" spans="2:9" hidden="1" x14ac:dyDescent="0.2">
      <c r="B98" s="231">
        <v>45687</v>
      </c>
      <c r="C98" s="232">
        <v>523</v>
      </c>
      <c r="D98" s="232" t="str">
        <f>IFERROR(VLOOKUP(C98,'Neraca Saldo'!$B$6:$C$56,2,0),"")</f>
        <v>Beban RAT</v>
      </c>
      <c r="E98" s="194" t="s">
        <v>903</v>
      </c>
      <c r="F98" s="234" t="s">
        <v>838</v>
      </c>
      <c r="G98" s="232"/>
      <c r="H98" s="188">
        <v>4734145</v>
      </c>
      <c r="I98" s="236">
        <v>0</v>
      </c>
    </row>
    <row r="99" spans="2:9" hidden="1" x14ac:dyDescent="0.2">
      <c r="B99" s="231">
        <v>45687</v>
      </c>
      <c r="C99" s="232">
        <v>112</v>
      </c>
      <c r="D99" s="232" t="str">
        <f>IFERROR(VLOOKUP(C99,'Neraca Saldo'!$B$6:$C$56,2,0),"")</f>
        <v>Kas</v>
      </c>
      <c r="E99" s="194" t="s">
        <v>903</v>
      </c>
      <c r="F99" s="234" t="s">
        <v>838</v>
      </c>
      <c r="G99" s="232"/>
      <c r="H99" s="236">
        <v>0</v>
      </c>
      <c r="I99" s="188">
        <v>4734145</v>
      </c>
    </row>
    <row r="100" spans="2:9" hidden="1" x14ac:dyDescent="0.2">
      <c r="B100" s="231">
        <v>45687</v>
      </c>
      <c r="C100" s="232">
        <v>523</v>
      </c>
      <c r="D100" s="232" t="str">
        <f>IFERROR(VLOOKUP(C100,'Neraca Saldo'!$B$6:$C$56,2,0),"")</f>
        <v>Beban RAT</v>
      </c>
      <c r="E100" s="194" t="s">
        <v>904</v>
      </c>
      <c r="F100" s="234" t="s">
        <v>838</v>
      </c>
      <c r="G100" s="232"/>
      <c r="H100" s="188">
        <v>4281922</v>
      </c>
      <c r="I100" s="236">
        <v>0</v>
      </c>
    </row>
    <row r="101" spans="2:9" hidden="1" x14ac:dyDescent="0.2">
      <c r="B101" s="231">
        <v>45687</v>
      </c>
      <c r="C101" s="232">
        <v>112</v>
      </c>
      <c r="D101" s="232" t="str">
        <f>IFERROR(VLOOKUP(C101,'Neraca Saldo'!$B$6:$C$56,2,0),"")</f>
        <v>Kas</v>
      </c>
      <c r="E101" s="194" t="s">
        <v>904</v>
      </c>
      <c r="F101" s="234" t="s">
        <v>838</v>
      </c>
      <c r="G101" s="232"/>
      <c r="H101" s="236">
        <v>0</v>
      </c>
      <c r="I101" s="188">
        <v>4281922</v>
      </c>
    </row>
    <row r="102" spans="2:9" hidden="1" x14ac:dyDescent="0.2">
      <c r="B102" s="231">
        <v>45687</v>
      </c>
      <c r="C102" s="232">
        <v>523</v>
      </c>
      <c r="D102" s="232" t="str">
        <f>IFERROR(VLOOKUP(C102,'Neraca Saldo'!$B$6:$C$56,2,0),"")</f>
        <v>Beban RAT</v>
      </c>
      <c r="E102" s="194" t="s">
        <v>905</v>
      </c>
      <c r="F102" s="234" t="s">
        <v>838</v>
      </c>
      <c r="G102" s="232"/>
      <c r="H102" s="188">
        <v>959500</v>
      </c>
      <c r="I102" s="236">
        <v>0</v>
      </c>
    </row>
    <row r="103" spans="2:9" hidden="1" x14ac:dyDescent="0.2">
      <c r="B103" s="231">
        <v>45687</v>
      </c>
      <c r="C103" s="232">
        <v>112</v>
      </c>
      <c r="D103" s="232" t="str">
        <f>IFERROR(VLOOKUP(C103,'Neraca Saldo'!$B$6:$C$56,2,0),"")</f>
        <v>Kas</v>
      </c>
      <c r="E103" s="194" t="s">
        <v>905</v>
      </c>
      <c r="F103" s="234" t="s">
        <v>838</v>
      </c>
      <c r="G103" s="232"/>
      <c r="H103" s="236">
        <v>0</v>
      </c>
      <c r="I103" s="188">
        <v>959500</v>
      </c>
    </row>
    <row r="104" spans="2:9" hidden="1" x14ac:dyDescent="0.2">
      <c r="B104" s="238">
        <v>45688</v>
      </c>
      <c r="C104" s="239">
        <v>111</v>
      </c>
      <c r="D104" s="239" t="str">
        <f>IFERROR(VLOOKUP(C104,'Neraca Saldo'!$B$6:$C$56,2,0),"")</f>
        <v>Bank</v>
      </c>
      <c r="E104" s="257" t="s">
        <v>56</v>
      </c>
      <c r="F104" s="244" t="s">
        <v>77</v>
      </c>
      <c r="G104" s="239"/>
      <c r="H104" s="245">
        <v>17479</v>
      </c>
      <c r="I104" s="240">
        <v>0</v>
      </c>
    </row>
    <row r="105" spans="2:9" hidden="1" x14ac:dyDescent="0.2">
      <c r="B105" s="238">
        <v>45688</v>
      </c>
      <c r="C105" s="239">
        <v>413</v>
      </c>
      <c r="D105" s="239" t="str">
        <f>IFERROR(VLOOKUP(C105,'Neraca Saldo'!$B$6:$C$56,2,0),"")</f>
        <v>Pendapatan Jasa Bank</v>
      </c>
      <c r="E105" s="257" t="s">
        <v>56</v>
      </c>
      <c r="F105" s="244" t="s">
        <v>77</v>
      </c>
      <c r="G105" s="239"/>
      <c r="H105" s="240">
        <v>0</v>
      </c>
      <c r="I105" s="245">
        <v>17479</v>
      </c>
    </row>
    <row r="106" spans="2:9" hidden="1" x14ac:dyDescent="0.2">
      <c r="B106" s="231">
        <v>45688</v>
      </c>
      <c r="C106" s="232">
        <v>521</v>
      </c>
      <c r="D106" s="232" t="str">
        <f>IFERROR(VLOOKUP(C106,'Neraca Saldo'!$B$6:$C$56,2,0),"")</f>
        <v>Beban Biaya Bank</v>
      </c>
      <c r="E106" s="242" t="s">
        <v>94</v>
      </c>
      <c r="F106" s="234" t="s">
        <v>77</v>
      </c>
      <c r="G106" s="232"/>
      <c r="H106" s="196">
        <v>3496</v>
      </c>
      <c r="I106" s="236">
        <v>0</v>
      </c>
    </row>
    <row r="107" spans="2:9" hidden="1" x14ac:dyDescent="0.2">
      <c r="B107" s="231">
        <v>45688</v>
      </c>
      <c r="C107" s="232">
        <v>111</v>
      </c>
      <c r="D107" s="232" t="str">
        <f>IFERROR(VLOOKUP(C107,'Neraca Saldo'!$B$6:$C$56,2,0),"")</f>
        <v>Bank</v>
      </c>
      <c r="E107" s="242" t="s">
        <v>94</v>
      </c>
      <c r="F107" s="234" t="s">
        <v>77</v>
      </c>
      <c r="G107" s="232"/>
      <c r="H107" s="236">
        <v>0</v>
      </c>
      <c r="I107" s="196">
        <v>3496</v>
      </c>
    </row>
    <row r="108" spans="2:9" hidden="1" x14ac:dyDescent="0.2">
      <c r="B108" s="231">
        <v>45688</v>
      </c>
      <c r="C108" s="232">
        <v>521</v>
      </c>
      <c r="D108" s="232" t="str">
        <f>IFERROR(VLOOKUP(C108,'Neraca Saldo'!$B$6:$C$56,2,0),"")</f>
        <v>Beban Biaya Bank</v>
      </c>
      <c r="E108" s="242" t="s">
        <v>95</v>
      </c>
      <c r="F108" s="234" t="s">
        <v>77</v>
      </c>
      <c r="G108" s="232"/>
      <c r="H108" s="196">
        <v>10000</v>
      </c>
      <c r="I108" s="236">
        <v>0</v>
      </c>
    </row>
    <row r="109" spans="2:9" hidden="1" x14ac:dyDescent="0.2">
      <c r="B109" s="231">
        <v>45688</v>
      </c>
      <c r="C109" s="232">
        <v>111</v>
      </c>
      <c r="D109" s="232" t="str">
        <f>IFERROR(VLOOKUP(C109,'Neraca Saldo'!$B$6:$C$56,2,0),"")</f>
        <v>Bank</v>
      </c>
      <c r="E109" s="242" t="s">
        <v>95</v>
      </c>
      <c r="F109" s="234" t="s">
        <v>77</v>
      </c>
      <c r="G109" s="232"/>
      <c r="H109" s="236">
        <v>0</v>
      </c>
      <c r="I109" s="196">
        <v>10000</v>
      </c>
    </row>
    <row r="110" spans="2:9" hidden="1" x14ac:dyDescent="0.2">
      <c r="B110" s="231">
        <v>45689</v>
      </c>
      <c r="C110" s="232">
        <v>520</v>
      </c>
      <c r="D110" s="232" t="str">
        <f>IFERROR(VLOOKUP(C110,'Neraca Saldo'!$B$6:$C$56,2,0),"")</f>
        <v>Beban Perlengkapan</v>
      </c>
      <c r="E110" s="194" t="s">
        <v>906</v>
      </c>
      <c r="F110" s="234" t="s">
        <v>838</v>
      </c>
      <c r="G110" s="232"/>
      <c r="H110" s="188">
        <v>201000</v>
      </c>
      <c r="I110" s="236">
        <v>0</v>
      </c>
    </row>
    <row r="111" spans="2:9" hidden="1" x14ac:dyDescent="0.2">
      <c r="B111" s="231">
        <v>45689</v>
      </c>
      <c r="C111" s="232">
        <v>112</v>
      </c>
      <c r="D111" s="232" t="str">
        <f>IFERROR(VLOOKUP(C111,'Neraca Saldo'!$B$6:$C$56,2,0),"")</f>
        <v>Kas</v>
      </c>
      <c r="E111" s="194" t="s">
        <v>906</v>
      </c>
      <c r="F111" s="234" t="s">
        <v>838</v>
      </c>
      <c r="G111" s="232"/>
      <c r="H111" s="236">
        <v>0</v>
      </c>
      <c r="I111" s="188">
        <v>201000</v>
      </c>
    </row>
    <row r="112" spans="2:9" hidden="1" x14ac:dyDescent="0.2">
      <c r="B112" s="231">
        <v>45690</v>
      </c>
      <c r="C112" s="232">
        <v>112</v>
      </c>
      <c r="D112" s="232" t="str">
        <f>IFERROR(VLOOKUP(C112,'Neraca Saldo'!$B$6:$C$56,2,0),"")</f>
        <v>Kas</v>
      </c>
      <c r="E112" s="232" t="s">
        <v>838</v>
      </c>
      <c r="F112" s="234" t="s">
        <v>77</v>
      </c>
      <c r="G112" s="232"/>
      <c r="H112" s="246">
        <v>5719483</v>
      </c>
      <c r="I112" s="236">
        <v>0</v>
      </c>
    </row>
    <row r="113" spans="2:9" hidden="1" x14ac:dyDescent="0.2">
      <c r="B113" s="231">
        <v>45690</v>
      </c>
      <c r="C113" s="232">
        <v>111</v>
      </c>
      <c r="D113" s="232" t="str">
        <f>IFERROR(VLOOKUP(C113,'Neraca Saldo'!$B$6:$C$56,2,0),"")</f>
        <v>Bank</v>
      </c>
      <c r="E113" s="232" t="s">
        <v>838</v>
      </c>
      <c r="F113" s="234" t="s">
        <v>77</v>
      </c>
      <c r="G113" s="232"/>
      <c r="H113" s="236">
        <v>0</v>
      </c>
      <c r="I113" s="246">
        <v>5719483</v>
      </c>
    </row>
    <row r="114" spans="2:9" hidden="1" x14ac:dyDescent="0.2">
      <c r="B114" s="231">
        <v>45690</v>
      </c>
      <c r="C114" s="232">
        <v>515</v>
      </c>
      <c r="D114" s="232" t="str">
        <f>IFERROR(VLOOKUP(C114,'Neraca Saldo'!$B$6:$C$56,2,0),"")</f>
        <v>Beban Gaji</v>
      </c>
      <c r="E114" s="194" t="s">
        <v>878</v>
      </c>
      <c r="F114" s="234" t="s">
        <v>838</v>
      </c>
      <c r="G114" s="232"/>
      <c r="H114" s="188">
        <v>700000</v>
      </c>
      <c r="I114" s="236">
        <v>0</v>
      </c>
    </row>
    <row r="115" spans="2:9" hidden="1" x14ac:dyDescent="0.2">
      <c r="B115" s="231">
        <v>45690</v>
      </c>
      <c r="C115" s="232">
        <v>112</v>
      </c>
      <c r="D115" s="232" t="str">
        <f>IFERROR(VLOOKUP(C115,'Neraca Saldo'!$B$6:$C$56,2,0),"")</f>
        <v>Kas</v>
      </c>
      <c r="E115" s="194" t="s">
        <v>878</v>
      </c>
      <c r="F115" s="234" t="s">
        <v>838</v>
      </c>
      <c r="G115" s="232"/>
      <c r="H115" s="236">
        <v>0</v>
      </c>
      <c r="I115" s="236">
        <v>700000</v>
      </c>
    </row>
    <row r="116" spans="2:9" hidden="1" x14ac:dyDescent="0.2">
      <c r="B116" s="231">
        <v>45690</v>
      </c>
      <c r="C116" s="232">
        <v>520</v>
      </c>
      <c r="D116" s="232" t="str">
        <f>IFERROR(VLOOKUP(C116,'Neraca Saldo'!$B$6:$C$56,2,0),"")</f>
        <v>Beban Perlengkapan</v>
      </c>
      <c r="E116" s="194" t="s">
        <v>907</v>
      </c>
      <c r="F116" s="234" t="s">
        <v>838</v>
      </c>
      <c r="G116" s="232"/>
      <c r="H116" s="188">
        <v>1579140</v>
      </c>
      <c r="I116" s="236">
        <v>0</v>
      </c>
    </row>
    <row r="117" spans="2:9" hidden="1" x14ac:dyDescent="0.2">
      <c r="B117" s="231">
        <v>45690</v>
      </c>
      <c r="C117" s="232">
        <v>112</v>
      </c>
      <c r="D117" s="232" t="str">
        <f>IFERROR(VLOOKUP(C117,'Neraca Saldo'!$B$6:$C$56,2,0),"")</f>
        <v>Kas</v>
      </c>
      <c r="E117" s="194" t="s">
        <v>907</v>
      </c>
      <c r="F117" s="234" t="s">
        <v>838</v>
      </c>
      <c r="G117" s="232"/>
      <c r="H117" s="236">
        <v>0</v>
      </c>
      <c r="I117" s="188">
        <v>1579140</v>
      </c>
    </row>
    <row r="118" spans="2:9" hidden="1" x14ac:dyDescent="0.2">
      <c r="B118" s="231">
        <v>45690</v>
      </c>
      <c r="C118" s="232">
        <v>523</v>
      </c>
      <c r="D118" s="232" t="str">
        <f>IFERROR(VLOOKUP(C118,'Neraca Saldo'!$B$6:$C$56,2,0),"")</f>
        <v>Beban RAT</v>
      </c>
      <c r="E118" s="194" t="s">
        <v>908</v>
      </c>
      <c r="F118" s="234" t="s">
        <v>838</v>
      </c>
      <c r="G118" s="232"/>
      <c r="H118" s="188">
        <v>18880</v>
      </c>
      <c r="I118" s="236">
        <v>0</v>
      </c>
    </row>
    <row r="119" spans="2:9" hidden="1" x14ac:dyDescent="0.2">
      <c r="B119" s="231">
        <v>45690</v>
      </c>
      <c r="C119" s="232">
        <v>112</v>
      </c>
      <c r="D119" s="232" t="str">
        <f>IFERROR(VLOOKUP(C119,'Neraca Saldo'!$B$6:$C$56,2,0),"")</f>
        <v>Kas</v>
      </c>
      <c r="E119" s="194" t="s">
        <v>908</v>
      </c>
      <c r="F119" s="234" t="s">
        <v>838</v>
      </c>
      <c r="G119" s="232"/>
      <c r="H119" s="236">
        <v>0</v>
      </c>
      <c r="I119" s="188">
        <v>18880</v>
      </c>
    </row>
    <row r="120" spans="2:9" x14ac:dyDescent="0.2">
      <c r="B120" s="231">
        <v>45692</v>
      </c>
      <c r="C120" s="232">
        <v>513</v>
      </c>
      <c r="D120" s="232" t="str">
        <f>IFERROR(VLOOKUP(C120,'Neraca Saldo'!$B$6:$C$56,2,0),"")</f>
        <v>Beban Pengurus dan Anggota</v>
      </c>
      <c r="E120" s="194" t="s">
        <v>841</v>
      </c>
      <c r="F120" s="234" t="s">
        <v>838</v>
      </c>
      <c r="G120" s="232"/>
      <c r="H120" s="188">
        <v>821600</v>
      </c>
      <c r="I120" s="188">
        <v>0</v>
      </c>
    </row>
    <row r="121" spans="2:9" hidden="1" x14ac:dyDescent="0.2">
      <c r="B121" s="231">
        <v>45692</v>
      </c>
      <c r="C121" s="232">
        <v>112</v>
      </c>
      <c r="D121" s="232" t="str">
        <f>IFERROR(VLOOKUP(C121,'Neraca Saldo'!$B$6:$C$56,2,0),"")</f>
        <v>Kas</v>
      </c>
      <c r="E121" s="194" t="s">
        <v>841</v>
      </c>
      <c r="F121" s="234" t="s">
        <v>838</v>
      </c>
      <c r="G121" s="232"/>
      <c r="H121" s="236">
        <v>0</v>
      </c>
      <c r="I121" s="188">
        <v>821600</v>
      </c>
    </row>
    <row r="122" spans="2:9" x14ac:dyDescent="0.2">
      <c r="B122" s="231">
        <v>45692</v>
      </c>
      <c r="C122" s="232">
        <v>513</v>
      </c>
      <c r="D122" s="232" t="str">
        <f>IFERROR(VLOOKUP(C122,'Neraca Saldo'!$B$6:$C$56,2,0),"")</f>
        <v>Beban Pengurus dan Anggota</v>
      </c>
      <c r="E122" s="194" t="s">
        <v>841</v>
      </c>
      <c r="F122" s="234" t="s">
        <v>838</v>
      </c>
      <c r="G122" s="232"/>
      <c r="H122" s="188">
        <v>501600</v>
      </c>
      <c r="I122" s="188">
        <v>0</v>
      </c>
    </row>
    <row r="123" spans="2:9" hidden="1" x14ac:dyDescent="0.2">
      <c r="B123" s="231">
        <v>45692</v>
      </c>
      <c r="C123" s="232">
        <v>112</v>
      </c>
      <c r="D123" s="232" t="str">
        <f>IFERROR(VLOOKUP(C123,'Neraca Saldo'!$B$6:$C$56,2,0),"")</f>
        <v>Kas</v>
      </c>
      <c r="E123" s="194" t="s">
        <v>841</v>
      </c>
      <c r="F123" s="234" t="s">
        <v>838</v>
      </c>
      <c r="G123" s="232"/>
      <c r="H123" s="236">
        <v>0</v>
      </c>
      <c r="I123" s="188">
        <v>501600</v>
      </c>
    </row>
    <row r="124" spans="2:9" hidden="1" x14ac:dyDescent="0.2">
      <c r="B124" s="231">
        <v>45693</v>
      </c>
      <c r="C124" s="232">
        <v>512</v>
      </c>
      <c r="D124" s="232" t="str">
        <f>IFERROR(VLOOKUP(C124,'Neraca Saldo'!$B$6:$C$56,2,0),"")</f>
        <v>Beban Jasa</v>
      </c>
      <c r="E124" s="194" t="s">
        <v>909</v>
      </c>
      <c r="F124" s="234" t="s">
        <v>838</v>
      </c>
      <c r="G124" s="232"/>
      <c r="H124" s="188">
        <v>28000</v>
      </c>
      <c r="I124" s="188">
        <v>0</v>
      </c>
    </row>
    <row r="125" spans="2:9" hidden="1" x14ac:dyDescent="0.2">
      <c r="B125" s="231">
        <v>45693</v>
      </c>
      <c r="C125" s="232">
        <v>112</v>
      </c>
      <c r="D125" s="232" t="str">
        <f>IFERROR(VLOOKUP(C125,'Neraca Saldo'!$B$6:$C$56,2,0),"")</f>
        <v>Kas</v>
      </c>
      <c r="E125" s="194" t="s">
        <v>909</v>
      </c>
      <c r="F125" s="234" t="s">
        <v>838</v>
      </c>
      <c r="G125" s="232"/>
      <c r="H125" s="236">
        <v>0</v>
      </c>
      <c r="I125" s="188">
        <v>28000</v>
      </c>
    </row>
    <row r="126" spans="2:9" hidden="1" x14ac:dyDescent="0.2">
      <c r="B126" s="238">
        <v>45693</v>
      </c>
      <c r="C126" s="239">
        <v>111</v>
      </c>
      <c r="D126" s="239" t="str">
        <f>IFERROR(VLOOKUP(C126,'Neraca Saldo'!$B$6:$C$56,2,0),"")</f>
        <v>Bank</v>
      </c>
      <c r="E126" s="243" t="s">
        <v>910</v>
      </c>
      <c r="F126" s="244" t="s">
        <v>77</v>
      </c>
      <c r="G126" s="239"/>
      <c r="H126" s="240">
        <v>70000000</v>
      </c>
      <c r="I126" s="190">
        <v>0</v>
      </c>
    </row>
    <row r="127" spans="2:9" hidden="1" x14ac:dyDescent="0.2">
      <c r="B127" s="238">
        <v>45693</v>
      </c>
      <c r="C127" s="239">
        <v>123</v>
      </c>
      <c r="D127" s="239" t="str">
        <f>IFERROR(VLOOKUP(C127,'Neraca Saldo'!$B$6:$C$56,2,0),"")</f>
        <v>Piutang Toko</v>
      </c>
      <c r="E127" s="243" t="s">
        <v>910</v>
      </c>
      <c r="F127" s="244" t="s">
        <v>77</v>
      </c>
      <c r="G127" s="239"/>
      <c r="H127" s="240">
        <v>0</v>
      </c>
      <c r="I127" s="240">
        <v>70000000</v>
      </c>
    </row>
    <row r="128" spans="2:9" x14ac:dyDescent="0.2">
      <c r="B128" s="231">
        <v>45695</v>
      </c>
      <c r="C128" s="232">
        <v>513</v>
      </c>
      <c r="D128" s="232" t="str">
        <f>IFERROR(VLOOKUP(C128,'Neraca Saldo'!$B$6:$C$56,2,0),"")</f>
        <v>Beban Pengurus dan Anggota</v>
      </c>
      <c r="E128" s="194" t="s">
        <v>841</v>
      </c>
      <c r="F128" s="234" t="s">
        <v>838</v>
      </c>
      <c r="G128" s="232"/>
      <c r="H128" s="188">
        <v>75000</v>
      </c>
      <c r="I128" s="188">
        <v>0</v>
      </c>
    </row>
    <row r="129" spans="2:9" hidden="1" x14ac:dyDescent="0.2">
      <c r="B129" s="231">
        <v>45695</v>
      </c>
      <c r="C129" s="232">
        <v>112</v>
      </c>
      <c r="D129" s="232" t="str">
        <f>IFERROR(VLOOKUP(C129,'Neraca Saldo'!$B$6:$C$56,2,0),"")</f>
        <v>Kas</v>
      </c>
      <c r="E129" s="194" t="s">
        <v>841</v>
      </c>
      <c r="F129" s="234" t="s">
        <v>838</v>
      </c>
      <c r="G129" s="232"/>
      <c r="H129" s="236">
        <v>0</v>
      </c>
      <c r="I129" s="188">
        <v>75000</v>
      </c>
    </row>
    <row r="130" spans="2:9" x14ac:dyDescent="0.2">
      <c r="B130" s="231">
        <v>45695</v>
      </c>
      <c r="C130" s="232">
        <v>513</v>
      </c>
      <c r="D130" s="232" t="str">
        <f>IFERROR(VLOOKUP(C130,'Neraca Saldo'!$B$6:$C$56,2,0),"")</f>
        <v>Beban Pengurus dan Anggota</v>
      </c>
      <c r="E130" s="194" t="s">
        <v>841</v>
      </c>
      <c r="F130" s="234" t="s">
        <v>838</v>
      </c>
      <c r="G130" s="232"/>
      <c r="H130" s="188">
        <v>271600</v>
      </c>
      <c r="I130" s="188">
        <v>0</v>
      </c>
    </row>
    <row r="131" spans="2:9" hidden="1" x14ac:dyDescent="0.2">
      <c r="B131" s="231">
        <v>45695</v>
      </c>
      <c r="C131" s="232">
        <v>112</v>
      </c>
      <c r="D131" s="232" t="str">
        <f>IFERROR(VLOOKUP(C131,'Neraca Saldo'!$B$6:$C$56,2,0),"")</f>
        <v>Kas</v>
      </c>
      <c r="E131" s="194" t="s">
        <v>841</v>
      </c>
      <c r="F131" s="234" t="s">
        <v>838</v>
      </c>
      <c r="G131" s="232"/>
      <c r="H131" s="236">
        <v>0</v>
      </c>
      <c r="I131" s="188">
        <v>271600</v>
      </c>
    </row>
    <row r="132" spans="2:9" hidden="1" x14ac:dyDescent="0.2">
      <c r="B132" s="231">
        <v>45696</v>
      </c>
      <c r="C132" s="232">
        <v>112</v>
      </c>
      <c r="D132" s="232" t="str">
        <f>IFERROR(VLOOKUP(C132,'Neraca Saldo'!$B$6:$C$56,2,0),"")</f>
        <v>Kas</v>
      </c>
      <c r="E132" s="232" t="s">
        <v>838</v>
      </c>
      <c r="F132" s="234" t="s">
        <v>77</v>
      </c>
      <c r="G132" s="232"/>
      <c r="H132" s="236">
        <v>22000000</v>
      </c>
      <c r="I132" s="188">
        <v>0</v>
      </c>
    </row>
    <row r="133" spans="2:9" hidden="1" x14ac:dyDescent="0.2">
      <c r="B133" s="231">
        <v>45696</v>
      </c>
      <c r="C133" s="232">
        <v>111</v>
      </c>
      <c r="D133" s="232" t="str">
        <f>IFERROR(VLOOKUP(C133,'Neraca Saldo'!$B$6:$C$56,2,0),"")</f>
        <v>Bank</v>
      </c>
      <c r="E133" s="232" t="s">
        <v>838</v>
      </c>
      <c r="F133" s="234" t="s">
        <v>77</v>
      </c>
      <c r="G133" s="232"/>
      <c r="H133" s="236">
        <v>0</v>
      </c>
      <c r="I133" s="236">
        <v>22000000</v>
      </c>
    </row>
    <row r="134" spans="2:9" hidden="1" x14ac:dyDescent="0.2">
      <c r="B134" s="231">
        <v>45696</v>
      </c>
      <c r="C134" s="232">
        <v>212</v>
      </c>
      <c r="D134" s="232" t="str">
        <f>IFERROR(VLOOKUP(C134,'Neraca Saldo'!$B$6:$C$56,2,0),"")</f>
        <v>Simpanan Karyawan</v>
      </c>
      <c r="E134" s="194" t="s">
        <v>911</v>
      </c>
      <c r="F134" s="234" t="s">
        <v>838</v>
      </c>
      <c r="G134" s="232"/>
      <c r="H134" s="188">
        <v>5500000</v>
      </c>
      <c r="I134" s="188">
        <v>0</v>
      </c>
    </row>
    <row r="135" spans="2:9" hidden="1" x14ac:dyDescent="0.2">
      <c r="B135" s="231">
        <v>45696</v>
      </c>
      <c r="C135" s="232">
        <v>112</v>
      </c>
      <c r="D135" s="232" t="str">
        <f>IFERROR(VLOOKUP(C135,'Neraca Saldo'!$B$6:$C$56,2,0),"")</f>
        <v>Kas</v>
      </c>
      <c r="E135" s="194" t="s">
        <v>911</v>
      </c>
      <c r="F135" s="234" t="s">
        <v>838</v>
      </c>
      <c r="G135" s="232"/>
      <c r="H135" s="236">
        <v>0</v>
      </c>
      <c r="I135" s="188">
        <v>5500000</v>
      </c>
    </row>
    <row r="136" spans="2:9" hidden="1" x14ac:dyDescent="0.2">
      <c r="B136" s="231">
        <v>45696</v>
      </c>
      <c r="C136" s="232">
        <v>523</v>
      </c>
      <c r="D136" s="232" t="str">
        <f>IFERROR(VLOOKUP(C136,'Neraca Saldo'!$B$6:$C$56,2,0),"")</f>
        <v>Beban RAT</v>
      </c>
      <c r="E136" s="194" t="s">
        <v>912</v>
      </c>
      <c r="F136" s="234" t="s">
        <v>838</v>
      </c>
      <c r="G136" s="232"/>
      <c r="H136" s="188">
        <v>15300000</v>
      </c>
      <c r="I136" s="188">
        <v>0</v>
      </c>
    </row>
    <row r="137" spans="2:9" hidden="1" x14ac:dyDescent="0.2">
      <c r="B137" s="231">
        <v>45696</v>
      </c>
      <c r="C137" s="232">
        <v>112</v>
      </c>
      <c r="D137" s="232" t="str">
        <f>IFERROR(VLOOKUP(C137,'Neraca Saldo'!$B$6:$C$56,2,0),"")</f>
        <v>Kas</v>
      </c>
      <c r="E137" s="194" t="s">
        <v>912</v>
      </c>
      <c r="F137" s="234" t="s">
        <v>838</v>
      </c>
      <c r="G137" s="232"/>
      <c r="H137" s="236">
        <v>0</v>
      </c>
      <c r="I137" s="188">
        <v>15300000</v>
      </c>
    </row>
    <row r="138" spans="2:9" hidden="1" x14ac:dyDescent="0.2">
      <c r="B138" s="231">
        <v>45696</v>
      </c>
      <c r="C138" s="232">
        <v>523</v>
      </c>
      <c r="D138" s="232" t="str">
        <f>IFERROR(VLOOKUP(C138,'Neraca Saldo'!$B$6:$C$56,2,0),"")</f>
        <v>Beban RAT</v>
      </c>
      <c r="E138" s="194" t="s">
        <v>913</v>
      </c>
      <c r="F138" s="234" t="s">
        <v>838</v>
      </c>
      <c r="G138" s="232"/>
      <c r="H138" s="188">
        <v>1698780</v>
      </c>
      <c r="I138" s="188">
        <v>0</v>
      </c>
    </row>
    <row r="139" spans="2:9" hidden="1" x14ac:dyDescent="0.2">
      <c r="B139" s="231">
        <v>45696</v>
      </c>
      <c r="C139" s="232">
        <v>112</v>
      </c>
      <c r="D139" s="232" t="str">
        <f>IFERROR(VLOOKUP(C139,'Neraca Saldo'!$B$6:$C$56,2,0),"")</f>
        <v>Kas</v>
      </c>
      <c r="E139" s="194" t="s">
        <v>913</v>
      </c>
      <c r="F139" s="234" t="s">
        <v>838</v>
      </c>
      <c r="G139" s="232"/>
      <c r="H139" s="236">
        <v>0</v>
      </c>
      <c r="I139" s="188">
        <v>1698780</v>
      </c>
    </row>
    <row r="140" spans="2:9" hidden="1" x14ac:dyDescent="0.2">
      <c r="B140" s="238">
        <v>45698</v>
      </c>
      <c r="C140" s="239">
        <v>111</v>
      </c>
      <c r="D140" s="239" t="str">
        <f>IFERROR(VLOOKUP(C140,'Neraca Saldo'!$B$6:$C$56,2,0),"")</f>
        <v>Bank</v>
      </c>
      <c r="E140" s="243" t="s">
        <v>910</v>
      </c>
      <c r="F140" s="244" t="s">
        <v>77</v>
      </c>
      <c r="G140" s="239"/>
      <c r="H140" s="191">
        <v>17167305</v>
      </c>
      <c r="I140" s="190">
        <v>0</v>
      </c>
    </row>
    <row r="141" spans="2:9" hidden="1" x14ac:dyDescent="0.2">
      <c r="B141" s="238">
        <v>45698</v>
      </c>
      <c r="C141" s="239">
        <v>123</v>
      </c>
      <c r="D141" s="239" t="str">
        <f>IFERROR(VLOOKUP(C141,'Neraca Saldo'!$B$6:$C$56,2,0),"")</f>
        <v>Piutang Toko</v>
      </c>
      <c r="E141" s="243" t="s">
        <v>910</v>
      </c>
      <c r="F141" s="244" t="s">
        <v>77</v>
      </c>
      <c r="G141" s="239"/>
      <c r="H141" s="240">
        <v>0</v>
      </c>
      <c r="I141" s="191">
        <v>17167305</v>
      </c>
    </row>
    <row r="142" spans="2:9" hidden="1" x14ac:dyDescent="0.2">
      <c r="B142" s="231">
        <v>45700</v>
      </c>
      <c r="C142" s="232">
        <v>523</v>
      </c>
      <c r="D142" s="232" t="str">
        <f>IFERROR(VLOOKUP(C142,'Neraca Saldo'!$B$6:$C$56,2,0),"")</f>
        <v>Beban RAT</v>
      </c>
      <c r="E142" s="194" t="s">
        <v>914</v>
      </c>
      <c r="F142" s="234" t="s">
        <v>838</v>
      </c>
      <c r="G142" s="232"/>
      <c r="H142" s="188">
        <v>50000</v>
      </c>
      <c r="I142" s="188">
        <v>0</v>
      </c>
    </row>
    <row r="143" spans="2:9" hidden="1" x14ac:dyDescent="0.2">
      <c r="B143" s="231">
        <v>45700</v>
      </c>
      <c r="C143" s="232">
        <v>112</v>
      </c>
      <c r="D143" s="232" t="str">
        <f>IFERROR(VLOOKUP(C143,'Neraca Saldo'!$B$6:$C$56,2,0),"")</f>
        <v>Kas</v>
      </c>
      <c r="E143" s="194" t="s">
        <v>914</v>
      </c>
      <c r="F143" s="234" t="s">
        <v>838</v>
      </c>
      <c r="G143" s="232"/>
      <c r="H143" s="236">
        <v>0</v>
      </c>
      <c r="I143" s="188">
        <v>50000</v>
      </c>
    </row>
    <row r="144" spans="2:9" hidden="1" x14ac:dyDescent="0.2">
      <c r="B144" s="231">
        <v>45701</v>
      </c>
      <c r="C144" s="232">
        <v>112</v>
      </c>
      <c r="D144" s="232" t="str">
        <f>IFERROR(VLOOKUP(C144,'Neraca Saldo'!$B$6:$C$56,2,0),"")</f>
        <v>Kas</v>
      </c>
      <c r="E144" s="232" t="s">
        <v>838</v>
      </c>
      <c r="F144" s="234" t="s">
        <v>77</v>
      </c>
      <c r="G144" s="232"/>
      <c r="H144" s="196">
        <v>7167305</v>
      </c>
      <c r="I144" s="188">
        <v>0</v>
      </c>
    </row>
    <row r="145" spans="2:9" hidden="1" x14ac:dyDescent="0.2">
      <c r="B145" s="231">
        <v>45701</v>
      </c>
      <c r="C145" s="232">
        <v>111</v>
      </c>
      <c r="D145" s="232" t="str">
        <f>IFERROR(VLOOKUP(C145,'Neraca Saldo'!$B$6:$C$56,2,0),"")</f>
        <v>Bank</v>
      </c>
      <c r="E145" s="232" t="s">
        <v>838</v>
      </c>
      <c r="F145" s="234" t="s">
        <v>77</v>
      </c>
      <c r="G145" s="232"/>
      <c r="H145" s="236">
        <v>0</v>
      </c>
      <c r="I145" s="196">
        <v>7167305</v>
      </c>
    </row>
    <row r="146" spans="2:9" hidden="1" x14ac:dyDescent="0.2">
      <c r="B146" s="231">
        <v>45701</v>
      </c>
      <c r="C146" s="232">
        <v>523</v>
      </c>
      <c r="D146" s="232" t="str">
        <f>IFERROR(VLOOKUP(C146,'Neraca Saldo'!$B$6:$C$56,2,0),"")</f>
        <v>Beban RAT</v>
      </c>
      <c r="E146" s="194" t="s">
        <v>915</v>
      </c>
      <c r="F146" s="234" t="s">
        <v>838</v>
      </c>
      <c r="G146" s="232"/>
      <c r="H146" s="188">
        <f>119512+57000</f>
        <v>176512</v>
      </c>
      <c r="I146" s="188">
        <v>0</v>
      </c>
    </row>
    <row r="147" spans="2:9" hidden="1" x14ac:dyDescent="0.2">
      <c r="B147" s="231">
        <v>45701</v>
      </c>
      <c r="C147" s="232">
        <v>112</v>
      </c>
      <c r="D147" s="232" t="str">
        <f>IFERROR(VLOOKUP(C147,'Neraca Saldo'!$B$6:$C$56,2,0),"")</f>
        <v>Kas</v>
      </c>
      <c r="E147" s="194" t="s">
        <v>915</v>
      </c>
      <c r="F147" s="234" t="s">
        <v>838</v>
      </c>
      <c r="G147" s="232"/>
      <c r="H147" s="236">
        <v>0</v>
      </c>
      <c r="I147" s="188">
        <f>119512+57000</f>
        <v>176512</v>
      </c>
    </row>
    <row r="148" spans="2:9" hidden="1" x14ac:dyDescent="0.2">
      <c r="B148" s="231">
        <v>45701</v>
      </c>
      <c r="C148" s="232">
        <v>523</v>
      </c>
      <c r="D148" s="232" t="str">
        <f>IFERROR(VLOOKUP(C148,'Neraca Saldo'!$B$6:$C$56,2,0),"")</f>
        <v>Beban RAT</v>
      </c>
      <c r="E148" s="194" t="s">
        <v>916</v>
      </c>
      <c r="F148" s="234" t="s">
        <v>838</v>
      </c>
      <c r="G148" s="232"/>
      <c r="H148" s="188">
        <v>3000000</v>
      </c>
      <c r="I148" s="188">
        <v>0</v>
      </c>
    </row>
    <row r="149" spans="2:9" hidden="1" x14ac:dyDescent="0.2">
      <c r="B149" s="231">
        <v>45701</v>
      </c>
      <c r="C149" s="232">
        <v>112</v>
      </c>
      <c r="D149" s="232" t="str">
        <f>IFERROR(VLOOKUP(C149,'Neraca Saldo'!$B$6:$C$56,2,0),"")</f>
        <v>Kas</v>
      </c>
      <c r="E149" s="194" t="s">
        <v>916</v>
      </c>
      <c r="F149" s="234" t="s">
        <v>838</v>
      </c>
      <c r="G149" s="232"/>
      <c r="H149" s="236">
        <v>0</v>
      </c>
      <c r="I149" s="188">
        <v>3000000</v>
      </c>
    </row>
    <row r="150" spans="2:9" hidden="1" x14ac:dyDescent="0.2">
      <c r="B150" s="231">
        <v>45701</v>
      </c>
      <c r="C150" s="232">
        <v>517</v>
      </c>
      <c r="D150" s="232" t="str">
        <f>IFERROR(VLOOKUP(C150,'Neraca Saldo'!$B$6:$C$56,2,0),"")</f>
        <v>Beban Transport</v>
      </c>
      <c r="E150" s="194" t="s">
        <v>917</v>
      </c>
      <c r="F150" s="234" t="s">
        <v>838</v>
      </c>
      <c r="G150" s="232"/>
      <c r="H150" s="188">
        <v>200000</v>
      </c>
      <c r="I150" s="188">
        <v>0</v>
      </c>
    </row>
    <row r="151" spans="2:9" hidden="1" x14ac:dyDescent="0.2">
      <c r="B151" s="231">
        <v>45701</v>
      </c>
      <c r="C151" s="232">
        <v>112</v>
      </c>
      <c r="D151" s="232" t="str">
        <f>IFERROR(VLOOKUP(C151,'Neraca Saldo'!$B$6:$C$56,2,0),"")</f>
        <v>Kas</v>
      </c>
      <c r="E151" s="194" t="s">
        <v>917</v>
      </c>
      <c r="F151" s="234" t="s">
        <v>838</v>
      </c>
      <c r="G151" s="232"/>
      <c r="H151" s="236">
        <v>0</v>
      </c>
      <c r="I151" s="188">
        <v>200000</v>
      </c>
    </row>
    <row r="152" spans="2:9" hidden="1" x14ac:dyDescent="0.2">
      <c r="B152" s="231">
        <v>45701</v>
      </c>
      <c r="C152" s="232">
        <v>523</v>
      </c>
      <c r="D152" s="232" t="str">
        <f>IFERROR(VLOOKUP(C152,'Neraca Saldo'!$B$6:$C$56,2,0),"")</f>
        <v>Beban RAT</v>
      </c>
      <c r="E152" s="194" t="s">
        <v>918</v>
      </c>
      <c r="F152" s="234" t="s">
        <v>838</v>
      </c>
      <c r="G152" s="232"/>
      <c r="H152" s="188">
        <v>21000</v>
      </c>
      <c r="I152" s="188">
        <v>0</v>
      </c>
    </row>
    <row r="153" spans="2:9" hidden="1" x14ac:dyDescent="0.2">
      <c r="B153" s="231">
        <v>45701</v>
      </c>
      <c r="C153" s="232">
        <v>112</v>
      </c>
      <c r="D153" s="232" t="str">
        <f>IFERROR(VLOOKUP(C153,'Neraca Saldo'!$B$6:$C$56,2,0),"")</f>
        <v>Kas</v>
      </c>
      <c r="E153" s="194" t="s">
        <v>918</v>
      </c>
      <c r="F153" s="234" t="s">
        <v>838</v>
      </c>
      <c r="G153" s="232"/>
      <c r="H153" s="236">
        <v>0</v>
      </c>
      <c r="I153" s="188">
        <v>21000</v>
      </c>
    </row>
    <row r="154" spans="2:9" hidden="1" x14ac:dyDescent="0.2">
      <c r="B154" s="231">
        <v>45702</v>
      </c>
      <c r="C154" s="232">
        <v>523</v>
      </c>
      <c r="D154" s="232" t="str">
        <f>IFERROR(VLOOKUP(C154,'Neraca Saldo'!$B$6:$C$56,2,0),"")</f>
        <v>Beban RAT</v>
      </c>
      <c r="E154" s="194" t="s">
        <v>919</v>
      </c>
      <c r="F154" s="234" t="s">
        <v>838</v>
      </c>
      <c r="G154" s="232"/>
      <c r="H154" s="188">
        <v>282800</v>
      </c>
      <c r="I154" s="188">
        <v>0</v>
      </c>
    </row>
    <row r="155" spans="2:9" hidden="1" x14ac:dyDescent="0.2">
      <c r="B155" s="231">
        <v>45702</v>
      </c>
      <c r="C155" s="232">
        <v>112</v>
      </c>
      <c r="D155" s="232" t="str">
        <f>IFERROR(VLOOKUP(C155,'Neraca Saldo'!$B$6:$C$56,2,0),"")</f>
        <v>Kas</v>
      </c>
      <c r="E155" s="194" t="s">
        <v>919</v>
      </c>
      <c r="F155" s="234" t="s">
        <v>838</v>
      </c>
      <c r="G155" s="232"/>
      <c r="H155" s="236">
        <v>0</v>
      </c>
      <c r="I155" s="188">
        <v>282800</v>
      </c>
    </row>
    <row r="156" spans="2:9" hidden="1" x14ac:dyDescent="0.2">
      <c r="B156" s="231">
        <v>45702</v>
      </c>
      <c r="C156" s="232">
        <v>523</v>
      </c>
      <c r="D156" s="232" t="str">
        <f>IFERROR(VLOOKUP(C156,'Neraca Saldo'!$B$6:$C$56,2,0),"")</f>
        <v>Beban RAT</v>
      </c>
      <c r="E156" s="194" t="s">
        <v>908</v>
      </c>
      <c r="F156" s="234" t="s">
        <v>838</v>
      </c>
      <c r="G156" s="232"/>
      <c r="H156" s="188">
        <v>70000</v>
      </c>
      <c r="I156" s="188">
        <v>0</v>
      </c>
    </row>
    <row r="157" spans="2:9" hidden="1" x14ac:dyDescent="0.2">
      <c r="B157" s="231">
        <v>45702</v>
      </c>
      <c r="C157" s="232">
        <v>112</v>
      </c>
      <c r="D157" s="232" t="str">
        <f>IFERROR(VLOOKUP(C157,'Neraca Saldo'!$B$6:$C$56,2,0),"")</f>
        <v>Kas</v>
      </c>
      <c r="E157" s="194" t="s">
        <v>908</v>
      </c>
      <c r="F157" s="234" t="s">
        <v>838</v>
      </c>
      <c r="G157" s="232"/>
      <c r="H157" s="236">
        <v>0</v>
      </c>
      <c r="I157" s="188">
        <v>70000</v>
      </c>
    </row>
    <row r="158" spans="2:9" hidden="1" x14ac:dyDescent="0.2">
      <c r="B158" s="231">
        <v>45702</v>
      </c>
      <c r="C158" s="232">
        <v>523</v>
      </c>
      <c r="D158" s="232" t="str">
        <f>IFERROR(VLOOKUP(C158,'Neraca Saldo'!$B$6:$C$56,2,0),"")</f>
        <v>Beban RAT</v>
      </c>
      <c r="E158" s="194" t="s">
        <v>920</v>
      </c>
      <c r="F158" s="234" t="s">
        <v>838</v>
      </c>
      <c r="G158" s="232"/>
      <c r="H158" s="188">
        <v>315363</v>
      </c>
      <c r="I158" s="188">
        <v>0</v>
      </c>
    </row>
    <row r="159" spans="2:9" hidden="1" x14ac:dyDescent="0.2">
      <c r="B159" s="231">
        <v>45702</v>
      </c>
      <c r="C159" s="232">
        <v>112</v>
      </c>
      <c r="D159" s="232" t="str">
        <f>IFERROR(VLOOKUP(C159,'Neraca Saldo'!$B$6:$C$56,2,0),"")</f>
        <v>Kas</v>
      </c>
      <c r="E159" s="194" t="s">
        <v>920</v>
      </c>
      <c r="F159" s="234" t="s">
        <v>838</v>
      </c>
      <c r="G159" s="232"/>
      <c r="H159" s="236">
        <v>0</v>
      </c>
      <c r="I159" s="188">
        <v>315363</v>
      </c>
    </row>
    <row r="160" spans="2:9" hidden="1" x14ac:dyDescent="0.2">
      <c r="B160" s="231">
        <v>45702</v>
      </c>
      <c r="C160" s="232">
        <v>523</v>
      </c>
      <c r="D160" s="232" t="str">
        <f>IFERROR(VLOOKUP(C160,'Neraca Saldo'!$B$6:$C$56,2,0),"")</f>
        <v>Beban RAT</v>
      </c>
      <c r="E160" s="194" t="s">
        <v>921</v>
      </c>
      <c r="F160" s="234" t="s">
        <v>838</v>
      </c>
      <c r="G160" s="232"/>
      <c r="H160" s="188">
        <v>15000</v>
      </c>
      <c r="I160" s="188">
        <v>0</v>
      </c>
    </row>
    <row r="161" spans="2:9" hidden="1" x14ac:dyDescent="0.2">
      <c r="B161" s="231">
        <v>45702</v>
      </c>
      <c r="C161" s="232">
        <v>112</v>
      </c>
      <c r="D161" s="232" t="str">
        <f>IFERROR(VLOOKUP(C161,'Neraca Saldo'!$B$6:$C$56,2,0),"")</f>
        <v>Kas</v>
      </c>
      <c r="E161" s="194" t="s">
        <v>921</v>
      </c>
      <c r="F161" s="234" t="s">
        <v>838</v>
      </c>
      <c r="G161" s="232"/>
      <c r="H161" s="236">
        <v>0</v>
      </c>
      <c r="I161" s="188">
        <v>15000</v>
      </c>
    </row>
    <row r="162" spans="2:9" hidden="1" x14ac:dyDescent="0.2">
      <c r="B162" s="231">
        <v>45702</v>
      </c>
      <c r="C162" s="232">
        <v>523</v>
      </c>
      <c r="D162" s="232" t="str">
        <f>IFERROR(VLOOKUP(C162,'Neraca Saldo'!$B$6:$C$56,2,0),"")</f>
        <v>Beban RAT</v>
      </c>
      <c r="E162" s="194" t="s">
        <v>922</v>
      </c>
      <c r="F162" s="234" t="s">
        <v>838</v>
      </c>
      <c r="G162" s="232"/>
      <c r="H162" s="188">
        <v>200000</v>
      </c>
      <c r="I162" s="188">
        <v>0</v>
      </c>
    </row>
    <row r="163" spans="2:9" hidden="1" x14ac:dyDescent="0.2">
      <c r="B163" s="231">
        <v>45702</v>
      </c>
      <c r="C163" s="232">
        <v>112</v>
      </c>
      <c r="D163" s="232" t="str">
        <f>IFERROR(VLOOKUP(C163,'Neraca Saldo'!$B$6:$C$56,2,0),"")</f>
        <v>Kas</v>
      </c>
      <c r="E163" s="194" t="s">
        <v>922</v>
      </c>
      <c r="F163" s="234" t="s">
        <v>838</v>
      </c>
      <c r="G163" s="232"/>
      <c r="H163" s="236">
        <v>0</v>
      </c>
      <c r="I163" s="188">
        <v>200000</v>
      </c>
    </row>
    <row r="164" spans="2:9" hidden="1" x14ac:dyDescent="0.2">
      <c r="B164" s="231">
        <v>45702</v>
      </c>
      <c r="C164" s="232">
        <v>523</v>
      </c>
      <c r="D164" s="232" t="str">
        <f>IFERROR(VLOOKUP(C164,'Neraca Saldo'!$B$6:$C$56,2,0),"")</f>
        <v>Beban RAT</v>
      </c>
      <c r="E164" s="194" t="s">
        <v>923</v>
      </c>
      <c r="F164" s="234" t="s">
        <v>838</v>
      </c>
      <c r="G164" s="232"/>
      <c r="H164" s="188">
        <v>200000</v>
      </c>
      <c r="I164" s="188">
        <v>0</v>
      </c>
    </row>
    <row r="165" spans="2:9" hidden="1" x14ac:dyDescent="0.2">
      <c r="B165" s="231">
        <v>45702</v>
      </c>
      <c r="C165" s="232">
        <v>112</v>
      </c>
      <c r="D165" s="232" t="str">
        <f>IFERROR(VLOOKUP(C165,'Neraca Saldo'!$B$6:$C$56,2,0),"")</f>
        <v>Kas</v>
      </c>
      <c r="E165" s="194" t="s">
        <v>923</v>
      </c>
      <c r="F165" s="234" t="s">
        <v>838</v>
      </c>
      <c r="G165" s="232"/>
      <c r="H165" s="236">
        <v>0</v>
      </c>
      <c r="I165" s="188">
        <v>200000</v>
      </c>
    </row>
    <row r="166" spans="2:9" hidden="1" x14ac:dyDescent="0.2">
      <c r="B166" s="231">
        <v>45702</v>
      </c>
      <c r="C166" s="232">
        <v>523</v>
      </c>
      <c r="D166" s="232" t="str">
        <f>IFERROR(VLOOKUP(C166,'Neraca Saldo'!$B$6:$C$56,2,0),"")</f>
        <v>Beban RAT</v>
      </c>
      <c r="E166" s="194" t="s">
        <v>924</v>
      </c>
      <c r="F166" s="234" t="s">
        <v>838</v>
      </c>
      <c r="G166" s="232"/>
      <c r="H166" s="188">
        <v>150000</v>
      </c>
      <c r="I166" s="188">
        <v>0</v>
      </c>
    </row>
    <row r="167" spans="2:9" hidden="1" x14ac:dyDescent="0.2">
      <c r="B167" s="231">
        <v>45702</v>
      </c>
      <c r="C167" s="232">
        <v>112</v>
      </c>
      <c r="D167" s="232" t="str">
        <f>IFERROR(VLOOKUP(C167,'Neraca Saldo'!$B$6:$C$56,2,0),"")</f>
        <v>Kas</v>
      </c>
      <c r="E167" s="194" t="s">
        <v>924</v>
      </c>
      <c r="F167" s="234" t="s">
        <v>838</v>
      </c>
      <c r="G167" s="232"/>
      <c r="H167" s="236">
        <v>0</v>
      </c>
      <c r="I167" s="188">
        <v>150000</v>
      </c>
    </row>
    <row r="168" spans="2:9" hidden="1" x14ac:dyDescent="0.2">
      <c r="B168" s="231">
        <v>45702</v>
      </c>
      <c r="C168" s="232">
        <v>523</v>
      </c>
      <c r="D168" s="232" t="str">
        <f>IFERROR(VLOOKUP(C168,'Neraca Saldo'!$B$6:$C$56,2,0),"")</f>
        <v>Beban RAT</v>
      </c>
      <c r="E168" s="194" t="s">
        <v>925</v>
      </c>
      <c r="F168" s="234" t="s">
        <v>838</v>
      </c>
      <c r="G168" s="232"/>
      <c r="H168" s="188">
        <v>1010000</v>
      </c>
      <c r="I168" s="188">
        <v>0</v>
      </c>
    </row>
    <row r="169" spans="2:9" hidden="1" x14ac:dyDescent="0.2">
      <c r="B169" s="231">
        <v>45702</v>
      </c>
      <c r="C169" s="232">
        <v>112</v>
      </c>
      <c r="D169" s="232" t="str">
        <f>IFERROR(VLOOKUP(C169,'Neraca Saldo'!$B$6:$C$56,2,0),"")</f>
        <v>Kas</v>
      </c>
      <c r="E169" s="194" t="s">
        <v>925</v>
      </c>
      <c r="F169" s="234" t="s">
        <v>838</v>
      </c>
      <c r="G169" s="232"/>
      <c r="H169" s="236">
        <v>0</v>
      </c>
      <c r="I169" s="188">
        <v>1010000</v>
      </c>
    </row>
    <row r="170" spans="2:9" hidden="1" x14ac:dyDescent="0.2">
      <c r="B170" s="231">
        <v>45702</v>
      </c>
      <c r="C170" s="232">
        <v>523</v>
      </c>
      <c r="D170" s="232" t="str">
        <f>IFERROR(VLOOKUP(C170,'Neraca Saldo'!$B$6:$C$56,2,0),"")</f>
        <v>Beban RAT</v>
      </c>
      <c r="E170" s="194" t="s">
        <v>925</v>
      </c>
      <c r="F170" s="234" t="s">
        <v>838</v>
      </c>
      <c r="G170" s="232"/>
      <c r="H170" s="188">
        <v>168240</v>
      </c>
      <c r="I170" s="188">
        <v>0</v>
      </c>
    </row>
    <row r="171" spans="2:9" hidden="1" x14ac:dyDescent="0.2">
      <c r="B171" s="231">
        <v>45702</v>
      </c>
      <c r="C171" s="232">
        <v>112</v>
      </c>
      <c r="D171" s="232" t="str">
        <f>IFERROR(VLOOKUP(C171,'Neraca Saldo'!$B$6:$C$56,2,0),"")</f>
        <v>Kas</v>
      </c>
      <c r="E171" s="194" t="s">
        <v>925</v>
      </c>
      <c r="F171" s="234" t="s">
        <v>838</v>
      </c>
      <c r="G171" s="232"/>
      <c r="H171" s="236">
        <v>0</v>
      </c>
      <c r="I171" s="188">
        <v>168240</v>
      </c>
    </row>
    <row r="172" spans="2:9" hidden="1" x14ac:dyDescent="0.2">
      <c r="B172" s="231">
        <v>45705</v>
      </c>
      <c r="C172" s="232">
        <v>314</v>
      </c>
      <c r="D172" s="232" t="str">
        <f>IFERROR(VLOOKUP(C172,'Neraca Saldo'!$B$6:$C$56,2,0),"")</f>
        <v>SHU yang dibagikan</v>
      </c>
      <c r="E172" s="233" t="s">
        <v>926</v>
      </c>
      <c r="F172" s="234" t="s">
        <v>77</v>
      </c>
      <c r="G172" s="232"/>
      <c r="H172" s="196">
        <v>25700000</v>
      </c>
      <c r="I172" s="188">
        <v>0</v>
      </c>
    </row>
    <row r="173" spans="2:9" hidden="1" x14ac:dyDescent="0.2">
      <c r="B173" s="231">
        <v>45705</v>
      </c>
      <c r="C173" s="232">
        <v>111</v>
      </c>
      <c r="D173" s="232" t="str">
        <f>IFERROR(VLOOKUP(C173,'Neraca Saldo'!$B$6:$C$56,2,0),"")</f>
        <v>Bank</v>
      </c>
      <c r="E173" s="233" t="s">
        <v>926</v>
      </c>
      <c r="F173" s="234" t="s">
        <v>77</v>
      </c>
      <c r="G173" s="232"/>
      <c r="H173" s="236">
        <v>0</v>
      </c>
      <c r="I173" s="196">
        <v>25700000</v>
      </c>
    </row>
    <row r="174" spans="2:9" hidden="1" x14ac:dyDescent="0.2">
      <c r="B174" s="238">
        <v>45705</v>
      </c>
      <c r="C174" s="239">
        <v>111</v>
      </c>
      <c r="D174" s="239" t="str">
        <f>IFERROR(VLOOKUP(C174,'Neraca Saldo'!$B$6:$C$56,2,0),"")</f>
        <v>Bank</v>
      </c>
      <c r="E174" s="243" t="s">
        <v>927</v>
      </c>
      <c r="F174" s="244" t="s">
        <v>77</v>
      </c>
      <c r="G174" s="239"/>
      <c r="H174" s="240">
        <v>2000000</v>
      </c>
      <c r="I174" s="190">
        <v>0</v>
      </c>
    </row>
    <row r="175" spans="2:9" hidden="1" x14ac:dyDescent="0.2">
      <c r="B175" s="238">
        <v>45705</v>
      </c>
      <c r="C175" s="239">
        <v>212</v>
      </c>
      <c r="D175" s="239" t="str">
        <f>IFERROR(VLOOKUP(C175,'Neraca Saldo'!$B$6:$C$56,2,0),"")</f>
        <v>Simpanan Karyawan</v>
      </c>
      <c r="E175" s="243" t="s">
        <v>927</v>
      </c>
      <c r="F175" s="244" t="s">
        <v>77</v>
      </c>
      <c r="G175" s="239"/>
      <c r="H175" s="240">
        <v>0</v>
      </c>
      <c r="I175" s="240">
        <v>2000000</v>
      </c>
    </row>
    <row r="176" spans="2:9" hidden="1" x14ac:dyDescent="0.2">
      <c r="B176" s="231">
        <v>45706</v>
      </c>
      <c r="C176" s="232">
        <v>515</v>
      </c>
      <c r="D176" s="232" t="str">
        <f>IFERROR(VLOOKUP(C176,'Neraca Saldo'!$B$6:$C$56,2,0),"")</f>
        <v>Beban Gaji</v>
      </c>
      <c r="E176" s="233" t="s">
        <v>928</v>
      </c>
      <c r="F176" s="234" t="s">
        <v>77</v>
      </c>
      <c r="G176" s="232"/>
      <c r="H176" s="196">
        <v>10400000</v>
      </c>
      <c r="I176" s="188">
        <v>0</v>
      </c>
    </row>
    <row r="177" spans="2:9" hidden="1" x14ac:dyDescent="0.2">
      <c r="B177" s="231">
        <v>45706</v>
      </c>
      <c r="C177" s="232">
        <v>111</v>
      </c>
      <c r="D177" s="232" t="str">
        <f>IFERROR(VLOOKUP(C177,'Neraca Saldo'!$B$6:$C$56,2,0),"")</f>
        <v>Bank</v>
      </c>
      <c r="E177" s="233" t="s">
        <v>928</v>
      </c>
      <c r="F177" s="234" t="s">
        <v>77</v>
      </c>
      <c r="G177" s="232"/>
      <c r="H177" s="236">
        <v>0</v>
      </c>
      <c r="I177" s="196">
        <v>10400000</v>
      </c>
    </row>
    <row r="178" spans="2:9" hidden="1" x14ac:dyDescent="0.2">
      <c r="B178" s="238">
        <v>45707</v>
      </c>
      <c r="C178" s="239">
        <v>111</v>
      </c>
      <c r="D178" s="239" t="str">
        <f>IFERROR(VLOOKUP(C178,'Neraca Saldo'!$B$6:$C$56,2,0),"")</f>
        <v>Bank</v>
      </c>
      <c r="E178" s="243" t="s">
        <v>929</v>
      </c>
      <c r="F178" s="239" t="s">
        <v>77</v>
      </c>
      <c r="G178" s="239"/>
      <c r="H178" s="245">
        <v>4406800</v>
      </c>
      <c r="I178" s="190">
        <v>0</v>
      </c>
    </row>
    <row r="179" spans="2:9" hidden="1" x14ac:dyDescent="0.2">
      <c r="B179" s="238">
        <v>45707</v>
      </c>
      <c r="C179" s="239">
        <v>411</v>
      </c>
      <c r="D179" s="239" t="str">
        <f>IFERROR(VLOOKUP(C179,'Neraca Saldo'!$B$6:$C$56,2,0),"")</f>
        <v>Pendapatan Toko</v>
      </c>
      <c r="E179" s="243" t="s">
        <v>929</v>
      </c>
      <c r="F179" s="239" t="s">
        <v>77</v>
      </c>
      <c r="G179" s="239"/>
      <c r="H179" s="240">
        <v>0</v>
      </c>
      <c r="I179" s="245">
        <v>4406800</v>
      </c>
    </row>
    <row r="180" spans="2:9" x14ac:dyDescent="0.2">
      <c r="B180" s="231">
        <v>45707</v>
      </c>
      <c r="C180" s="232">
        <v>513</v>
      </c>
      <c r="D180" s="232" t="str">
        <f>IFERROR(VLOOKUP(C180,'Neraca Saldo'!$B$6:$C$56,2,0),"")</f>
        <v>Beban Pengurus dan Anggota</v>
      </c>
      <c r="E180" s="194" t="s">
        <v>841</v>
      </c>
      <c r="F180" s="234" t="s">
        <v>838</v>
      </c>
      <c r="G180" s="232"/>
      <c r="H180" s="188">
        <v>320000</v>
      </c>
      <c r="I180" s="188">
        <v>0</v>
      </c>
    </row>
    <row r="181" spans="2:9" hidden="1" x14ac:dyDescent="0.2">
      <c r="B181" s="231">
        <v>45707</v>
      </c>
      <c r="C181" s="232">
        <v>112</v>
      </c>
      <c r="D181" s="232" t="str">
        <f>IFERROR(VLOOKUP(C181,'Neraca Saldo'!$B$6:$C$56,2,0),"")</f>
        <v>Kas</v>
      </c>
      <c r="E181" s="194" t="s">
        <v>841</v>
      </c>
      <c r="F181" s="234" t="s">
        <v>838</v>
      </c>
      <c r="G181" s="232"/>
      <c r="H181" s="236">
        <v>0</v>
      </c>
      <c r="I181" s="188">
        <v>320000</v>
      </c>
    </row>
    <row r="182" spans="2:9" x14ac:dyDescent="0.2">
      <c r="B182" s="231">
        <v>45707</v>
      </c>
      <c r="C182" s="232">
        <v>513</v>
      </c>
      <c r="D182" s="232" t="str">
        <f>IFERROR(VLOOKUP(C182,'Neraca Saldo'!$B$6:$C$56,2,0),"")</f>
        <v>Beban Pengurus dan Anggota</v>
      </c>
      <c r="E182" s="194" t="s">
        <v>841</v>
      </c>
      <c r="F182" s="234" t="s">
        <v>838</v>
      </c>
      <c r="G182" s="232"/>
      <c r="H182" s="188">
        <v>165000</v>
      </c>
      <c r="I182" s="188">
        <v>0</v>
      </c>
    </row>
    <row r="183" spans="2:9" hidden="1" x14ac:dyDescent="0.2">
      <c r="B183" s="231">
        <v>45707</v>
      </c>
      <c r="C183" s="232">
        <v>112</v>
      </c>
      <c r="D183" s="232" t="str">
        <f>IFERROR(VLOOKUP(C183,'Neraca Saldo'!$B$6:$C$56,2,0),"")</f>
        <v>Kas</v>
      </c>
      <c r="E183" s="194" t="s">
        <v>841</v>
      </c>
      <c r="F183" s="234" t="s">
        <v>838</v>
      </c>
      <c r="G183" s="232"/>
      <c r="H183" s="236">
        <v>0</v>
      </c>
      <c r="I183" s="188">
        <v>165000</v>
      </c>
    </row>
    <row r="184" spans="2:9" hidden="1" x14ac:dyDescent="0.2">
      <c r="B184" s="231">
        <v>45707</v>
      </c>
      <c r="C184" s="232">
        <v>516</v>
      </c>
      <c r="D184" s="232" t="str">
        <f>IFERROR(VLOOKUP(C184,'Neraca Saldo'!$B$6:$C$56,2,0),"")</f>
        <v>Beban ATK</v>
      </c>
      <c r="E184" s="194" t="s">
        <v>930</v>
      </c>
      <c r="F184" s="234" t="s">
        <v>838</v>
      </c>
      <c r="G184" s="232"/>
      <c r="H184" s="188">
        <v>152500</v>
      </c>
      <c r="I184" s="188">
        <v>0</v>
      </c>
    </row>
    <row r="185" spans="2:9" hidden="1" x14ac:dyDescent="0.2">
      <c r="B185" s="231">
        <v>45707</v>
      </c>
      <c r="C185" s="232">
        <v>112</v>
      </c>
      <c r="D185" s="232" t="str">
        <f>IFERROR(VLOOKUP(C185,'Neraca Saldo'!$B$6:$C$56,2,0),"")</f>
        <v>Kas</v>
      </c>
      <c r="E185" s="194" t="s">
        <v>930</v>
      </c>
      <c r="F185" s="234" t="s">
        <v>838</v>
      </c>
      <c r="G185" s="232"/>
      <c r="H185" s="236">
        <v>0</v>
      </c>
      <c r="I185" s="188">
        <v>152500</v>
      </c>
    </row>
    <row r="186" spans="2:9" hidden="1" x14ac:dyDescent="0.2">
      <c r="B186" s="231">
        <v>45709</v>
      </c>
      <c r="C186" s="232">
        <v>516</v>
      </c>
      <c r="D186" s="232" t="str">
        <f>IFERROR(VLOOKUP(C186,'Neraca Saldo'!$B$6:$C$56,2,0),"")</f>
        <v>Beban ATK</v>
      </c>
      <c r="E186" s="194" t="s">
        <v>931</v>
      </c>
      <c r="F186" s="234" t="s">
        <v>838</v>
      </c>
      <c r="G186" s="232"/>
      <c r="H186" s="188">
        <v>410000</v>
      </c>
      <c r="I186" s="188">
        <v>0</v>
      </c>
    </row>
    <row r="187" spans="2:9" hidden="1" x14ac:dyDescent="0.2">
      <c r="B187" s="231">
        <v>45709</v>
      </c>
      <c r="C187" s="232">
        <v>112</v>
      </c>
      <c r="D187" s="232" t="str">
        <f>IFERROR(VLOOKUP(C187,'Neraca Saldo'!$B$6:$C$56,2,0),"")</f>
        <v>Kas</v>
      </c>
      <c r="E187" s="194" t="s">
        <v>931</v>
      </c>
      <c r="F187" s="234" t="s">
        <v>838</v>
      </c>
      <c r="G187" s="232"/>
      <c r="H187" s="236">
        <v>0</v>
      </c>
      <c r="I187" s="188">
        <v>410000</v>
      </c>
    </row>
    <row r="188" spans="2:9" x14ac:dyDescent="0.2">
      <c r="B188" s="231">
        <v>45709</v>
      </c>
      <c r="C188" s="232">
        <v>513</v>
      </c>
      <c r="D188" s="232" t="str">
        <f>IFERROR(VLOOKUP(C188,'Neraca Saldo'!$B$6:$C$56,2,0),"")</f>
        <v>Beban Pengurus dan Anggota</v>
      </c>
      <c r="E188" s="194" t="s">
        <v>932</v>
      </c>
      <c r="F188" s="234" t="s">
        <v>838</v>
      </c>
      <c r="G188" s="232"/>
      <c r="H188" s="188">
        <v>9500</v>
      </c>
      <c r="I188" s="188">
        <v>0</v>
      </c>
    </row>
    <row r="189" spans="2:9" hidden="1" x14ac:dyDescent="0.2">
      <c r="B189" s="231">
        <v>45709</v>
      </c>
      <c r="C189" s="232">
        <v>112</v>
      </c>
      <c r="D189" s="232" t="str">
        <f>IFERROR(VLOOKUP(C189,'Neraca Saldo'!$B$6:$C$56,2,0),"")</f>
        <v>Kas</v>
      </c>
      <c r="E189" s="194" t="s">
        <v>932</v>
      </c>
      <c r="F189" s="234" t="s">
        <v>838</v>
      </c>
      <c r="G189" s="232"/>
      <c r="H189" s="236">
        <v>0</v>
      </c>
      <c r="I189" s="188">
        <v>9500</v>
      </c>
    </row>
    <row r="190" spans="2:9" x14ac:dyDescent="0.2">
      <c r="B190" s="231">
        <v>45709</v>
      </c>
      <c r="C190" s="232">
        <v>513</v>
      </c>
      <c r="D190" s="232" t="str">
        <f>IFERROR(VLOOKUP(C190,'Neraca Saldo'!$B$6:$C$56,2,0),"")</f>
        <v>Beban Pengurus dan Anggota</v>
      </c>
      <c r="E190" s="194" t="s">
        <v>932</v>
      </c>
      <c r="F190" s="234" t="s">
        <v>838</v>
      </c>
      <c r="G190" s="232"/>
      <c r="H190" s="188">
        <v>39178</v>
      </c>
      <c r="I190" s="188">
        <v>0</v>
      </c>
    </row>
    <row r="191" spans="2:9" hidden="1" x14ac:dyDescent="0.2">
      <c r="B191" s="231">
        <v>45709</v>
      </c>
      <c r="C191" s="232">
        <v>112</v>
      </c>
      <c r="D191" s="232" t="str">
        <f>IFERROR(VLOOKUP(C191,'Neraca Saldo'!$B$6:$C$56,2,0),"")</f>
        <v>Kas</v>
      </c>
      <c r="E191" s="194" t="s">
        <v>932</v>
      </c>
      <c r="F191" s="234" t="s">
        <v>838</v>
      </c>
      <c r="G191" s="232"/>
      <c r="H191" s="236">
        <v>0</v>
      </c>
      <c r="I191" s="188">
        <v>39178</v>
      </c>
    </row>
    <row r="192" spans="2:9" x14ac:dyDescent="0.2">
      <c r="B192" s="231">
        <v>45709</v>
      </c>
      <c r="C192" s="232">
        <v>513</v>
      </c>
      <c r="D192" s="232" t="str">
        <f>IFERROR(VLOOKUP(C192,'Neraca Saldo'!$B$6:$C$56,2,0),"")</f>
        <v>Beban Pengurus dan Anggota</v>
      </c>
      <c r="E192" s="194" t="s">
        <v>933</v>
      </c>
      <c r="F192" s="234" t="s">
        <v>838</v>
      </c>
      <c r="G192" s="232"/>
      <c r="H192" s="236">
        <v>3000</v>
      </c>
      <c r="I192" s="188">
        <v>0</v>
      </c>
    </row>
    <row r="193" spans="2:9" hidden="1" x14ac:dyDescent="0.2">
      <c r="B193" s="231">
        <v>45709</v>
      </c>
      <c r="C193" s="232">
        <v>112</v>
      </c>
      <c r="D193" s="232" t="str">
        <f>IFERROR(VLOOKUP(C193,'Neraca Saldo'!$B$6:$C$56,2,0),"")</f>
        <v>Kas</v>
      </c>
      <c r="E193" s="194" t="s">
        <v>933</v>
      </c>
      <c r="F193" s="234" t="s">
        <v>838</v>
      </c>
      <c r="G193" s="232"/>
      <c r="H193" s="236">
        <v>0</v>
      </c>
      <c r="I193" s="188">
        <v>3000</v>
      </c>
    </row>
    <row r="194" spans="2:9" x14ac:dyDescent="0.2">
      <c r="B194" s="231">
        <v>45709</v>
      </c>
      <c r="C194" s="232">
        <v>513</v>
      </c>
      <c r="D194" s="232" t="str">
        <f>IFERROR(VLOOKUP(C194,'Neraca Saldo'!$B$6:$C$56,2,0),"")</f>
        <v>Beban Pengurus dan Anggota</v>
      </c>
      <c r="E194" s="194" t="s">
        <v>934</v>
      </c>
      <c r="F194" s="234" t="s">
        <v>838</v>
      </c>
      <c r="G194" s="232"/>
      <c r="H194" s="188">
        <v>203500</v>
      </c>
      <c r="I194" s="188">
        <v>0</v>
      </c>
    </row>
    <row r="195" spans="2:9" hidden="1" x14ac:dyDescent="0.2">
      <c r="B195" s="231">
        <v>45709</v>
      </c>
      <c r="C195" s="232">
        <v>112</v>
      </c>
      <c r="D195" s="232" t="str">
        <f>IFERROR(VLOOKUP(C195,'Neraca Saldo'!$B$6:$C$56,2,0),"")</f>
        <v>Kas</v>
      </c>
      <c r="E195" s="194" t="s">
        <v>934</v>
      </c>
      <c r="F195" s="234" t="s">
        <v>838</v>
      </c>
      <c r="G195" s="232"/>
      <c r="H195" s="236">
        <v>0</v>
      </c>
      <c r="I195" s="188">
        <v>203500</v>
      </c>
    </row>
    <row r="196" spans="2:9" x14ac:dyDescent="0.2">
      <c r="B196" s="231">
        <v>45709</v>
      </c>
      <c r="C196" s="232">
        <v>513</v>
      </c>
      <c r="D196" s="232" t="str">
        <f>IFERROR(VLOOKUP(C196,'Neraca Saldo'!$B$6:$C$56,2,0),"")</f>
        <v>Beban Pengurus dan Anggota</v>
      </c>
      <c r="E196" s="194" t="s">
        <v>935</v>
      </c>
      <c r="F196" s="234" t="s">
        <v>838</v>
      </c>
      <c r="G196" s="232"/>
      <c r="H196" s="188">
        <v>107700</v>
      </c>
      <c r="I196" s="188">
        <v>0</v>
      </c>
    </row>
    <row r="197" spans="2:9" hidden="1" x14ac:dyDescent="0.2">
      <c r="B197" s="231">
        <v>45709</v>
      </c>
      <c r="C197" s="232">
        <v>112</v>
      </c>
      <c r="D197" s="232" t="str">
        <f>IFERROR(VLOOKUP(C197,'Neraca Saldo'!$B$6:$C$56,2,0),"")</f>
        <v>Kas</v>
      </c>
      <c r="E197" s="194" t="s">
        <v>935</v>
      </c>
      <c r="F197" s="234" t="s">
        <v>838</v>
      </c>
      <c r="G197" s="232"/>
      <c r="H197" s="236">
        <v>0</v>
      </c>
      <c r="I197" s="188">
        <v>107700</v>
      </c>
    </row>
    <row r="198" spans="2:9" hidden="1" x14ac:dyDescent="0.2">
      <c r="B198" s="231">
        <v>45709</v>
      </c>
      <c r="C198" s="232">
        <v>523</v>
      </c>
      <c r="D198" s="232" t="str">
        <f>IFERROR(VLOOKUP(C198,'Neraca Saldo'!$B$6:$C$56,2,0),"")</f>
        <v>Beban RAT</v>
      </c>
      <c r="E198" s="194" t="s">
        <v>936</v>
      </c>
      <c r="F198" s="234" t="s">
        <v>838</v>
      </c>
      <c r="G198" s="232"/>
      <c r="H198" s="236">
        <v>20000</v>
      </c>
      <c r="I198" s="188">
        <v>0</v>
      </c>
    </row>
    <row r="199" spans="2:9" hidden="1" x14ac:dyDescent="0.2">
      <c r="B199" s="231">
        <v>45709</v>
      </c>
      <c r="C199" s="232">
        <v>112</v>
      </c>
      <c r="D199" s="232" t="str">
        <f>IFERROR(VLOOKUP(C199,'Neraca Saldo'!$B$6:$C$56,2,0),"")</f>
        <v>Kas</v>
      </c>
      <c r="E199" s="194" t="s">
        <v>936</v>
      </c>
      <c r="F199" s="234" t="s">
        <v>838</v>
      </c>
      <c r="G199" s="232"/>
      <c r="H199" s="236">
        <v>0</v>
      </c>
      <c r="I199" s="236">
        <v>20000</v>
      </c>
    </row>
    <row r="200" spans="2:9" hidden="1" x14ac:dyDescent="0.2">
      <c r="B200" s="231">
        <v>45709</v>
      </c>
      <c r="C200" s="232">
        <v>517</v>
      </c>
      <c r="D200" s="232" t="str">
        <f>IFERROR(VLOOKUP(C200,'Neraca Saldo'!$B$6:$C$56,2,0),"")</f>
        <v>Beban Transport</v>
      </c>
      <c r="E200" s="194" t="s">
        <v>937</v>
      </c>
      <c r="F200" s="234" t="s">
        <v>838</v>
      </c>
      <c r="G200" s="232"/>
      <c r="H200" s="188">
        <v>400000</v>
      </c>
      <c r="I200" s="188">
        <v>0</v>
      </c>
    </row>
    <row r="201" spans="2:9" hidden="1" x14ac:dyDescent="0.2">
      <c r="B201" s="231">
        <v>45709</v>
      </c>
      <c r="C201" s="232">
        <v>112</v>
      </c>
      <c r="D201" s="232" t="str">
        <f>IFERROR(VLOOKUP(C201,'Neraca Saldo'!$B$6:$C$56,2,0),"")</f>
        <v>Kas</v>
      </c>
      <c r="E201" s="194" t="s">
        <v>937</v>
      </c>
      <c r="F201" s="234" t="s">
        <v>838</v>
      </c>
      <c r="G201" s="232"/>
      <c r="H201" s="236">
        <v>0</v>
      </c>
      <c r="I201" s="188">
        <v>400000</v>
      </c>
    </row>
    <row r="202" spans="2:9" hidden="1" x14ac:dyDescent="0.2">
      <c r="B202" s="231">
        <v>45713</v>
      </c>
      <c r="C202" s="232">
        <v>112</v>
      </c>
      <c r="D202" s="232" t="str">
        <f>IFERROR(VLOOKUP(C202,'Neraca Saldo'!$B$6:$C$56,2,0),"")</f>
        <v>Kas</v>
      </c>
      <c r="E202" s="232" t="s">
        <v>838</v>
      </c>
      <c r="F202" s="234" t="s">
        <v>77</v>
      </c>
      <c r="G202" s="232"/>
      <c r="H202" s="188">
        <v>5306800</v>
      </c>
      <c r="I202" s="188">
        <v>0</v>
      </c>
    </row>
    <row r="203" spans="2:9" hidden="1" x14ac:dyDescent="0.2">
      <c r="B203" s="231">
        <v>45713</v>
      </c>
      <c r="C203" s="232">
        <v>111</v>
      </c>
      <c r="D203" s="232" t="str">
        <f>IFERROR(VLOOKUP(C203,'Neraca Saldo'!$B$6:$C$56,2,0),"")</f>
        <v>Bank</v>
      </c>
      <c r="E203" s="232" t="s">
        <v>838</v>
      </c>
      <c r="F203" s="234" t="s">
        <v>77</v>
      </c>
      <c r="G203" s="232"/>
      <c r="H203" s="236">
        <v>0</v>
      </c>
      <c r="I203" s="188">
        <v>5306800</v>
      </c>
    </row>
    <row r="204" spans="2:9" x14ac:dyDescent="0.2">
      <c r="B204" s="231">
        <v>45713</v>
      </c>
      <c r="C204" s="232">
        <v>513</v>
      </c>
      <c r="D204" s="232" t="str">
        <f>IFERROR(VLOOKUP(C204,'Neraca Saldo'!$B$6:$C$56,2,0),"")</f>
        <v>Beban Pengurus dan Anggota</v>
      </c>
      <c r="E204" s="194" t="s">
        <v>938</v>
      </c>
      <c r="F204" s="234" t="s">
        <v>838</v>
      </c>
      <c r="G204" s="232"/>
      <c r="H204" s="188">
        <v>984465</v>
      </c>
      <c r="I204" s="188">
        <v>0</v>
      </c>
    </row>
    <row r="205" spans="2:9" hidden="1" x14ac:dyDescent="0.2">
      <c r="B205" s="231">
        <v>45713</v>
      </c>
      <c r="C205" s="232">
        <v>112</v>
      </c>
      <c r="D205" s="232" t="str">
        <f>IFERROR(VLOOKUP(C205,'Neraca Saldo'!$B$6:$C$56,2,0),"")</f>
        <v>Kas</v>
      </c>
      <c r="E205" s="194" t="s">
        <v>938</v>
      </c>
      <c r="F205" s="234" t="s">
        <v>838</v>
      </c>
      <c r="G205" s="232"/>
      <c r="H205" s="236">
        <v>0</v>
      </c>
      <c r="I205" s="188">
        <v>984465</v>
      </c>
    </row>
    <row r="206" spans="2:9" hidden="1" x14ac:dyDescent="0.2">
      <c r="B206" s="238">
        <v>45713</v>
      </c>
      <c r="C206" s="239">
        <v>112</v>
      </c>
      <c r="D206" s="239" t="str">
        <f>IFERROR(VLOOKUP(C206,'Neraca Saldo'!$B$6:$C$56,2,0),"")</f>
        <v>Kas</v>
      </c>
      <c r="E206" s="198" t="s">
        <v>939</v>
      </c>
      <c r="F206" s="244" t="s">
        <v>838</v>
      </c>
      <c r="G206" s="239"/>
      <c r="H206" s="190">
        <v>40000000</v>
      </c>
      <c r="I206" s="190">
        <v>0</v>
      </c>
    </row>
    <row r="207" spans="2:9" hidden="1" x14ac:dyDescent="0.2">
      <c r="B207" s="238">
        <v>45713</v>
      </c>
      <c r="C207" s="239">
        <v>313</v>
      </c>
      <c r="D207" s="239" t="str">
        <f>IFERROR(VLOOKUP(C207,'Neraca Saldo'!$B$6:$C$56,2,0),"")</f>
        <v>(Laba)/Rugi ditahan</v>
      </c>
      <c r="E207" s="198" t="s">
        <v>939</v>
      </c>
      <c r="F207" s="244" t="s">
        <v>838</v>
      </c>
      <c r="G207" s="239"/>
      <c r="H207" s="240">
        <v>0</v>
      </c>
      <c r="I207" s="190">
        <v>40000000</v>
      </c>
    </row>
    <row r="208" spans="2:9" hidden="1" x14ac:dyDescent="0.2">
      <c r="B208" s="238">
        <v>45714</v>
      </c>
      <c r="C208" s="239">
        <v>111</v>
      </c>
      <c r="D208" s="239" t="str">
        <f>IFERROR(VLOOKUP(C208,'Neraca Saldo'!$B$6:$C$56,2,0),"")</f>
        <v>Bank</v>
      </c>
      <c r="E208" s="243" t="s">
        <v>940</v>
      </c>
      <c r="F208" s="244" t="s">
        <v>77</v>
      </c>
      <c r="G208" s="239"/>
      <c r="H208" s="245">
        <v>1000000</v>
      </c>
      <c r="I208" s="190">
        <v>0</v>
      </c>
    </row>
    <row r="209" spans="2:9" hidden="1" x14ac:dyDescent="0.2">
      <c r="B209" s="238">
        <v>45714</v>
      </c>
      <c r="C209" s="239">
        <v>212</v>
      </c>
      <c r="D209" s="239" t="str">
        <f>IFERROR(VLOOKUP(C209,'Neraca Saldo'!$B$6:$C$56,2,0),"")</f>
        <v>Simpanan Karyawan</v>
      </c>
      <c r="E209" s="243" t="s">
        <v>940</v>
      </c>
      <c r="F209" s="244" t="s">
        <v>77</v>
      </c>
      <c r="G209" s="239"/>
      <c r="H209" s="240">
        <v>0</v>
      </c>
      <c r="I209" s="245">
        <v>1000000</v>
      </c>
    </row>
    <row r="210" spans="2:9" hidden="1" x14ac:dyDescent="0.2">
      <c r="B210" s="238">
        <v>45714</v>
      </c>
      <c r="C210" s="239">
        <v>111</v>
      </c>
      <c r="D210" s="239" t="str">
        <f>IFERROR(VLOOKUP(C210,'Neraca Saldo'!$B$6:$C$56,2,0),"")</f>
        <v>Bank</v>
      </c>
      <c r="E210" s="198" t="s">
        <v>941</v>
      </c>
      <c r="F210" s="244" t="s">
        <v>77</v>
      </c>
      <c r="G210" s="239"/>
      <c r="H210" s="245">
        <v>300000</v>
      </c>
      <c r="I210" s="190">
        <v>0</v>
      </c>
    </row>
    <row r="211" spans="2:9" hidden="1" x14ac:dyDescent="0.2">
      <c r="B211" s="238">
        <v>45714</v>
      </c>
      <c r="C211" s="239">
        <v>212</v>
      </c>
      <c r="D211" s="239" t="str">
        <f>IFERROR(VLOOKUP(C211,'Neraca Saldo'!$B$6:$C$56,2,0),"")</f>
        <v>Simpanan Karyawan</v>
      </c>
      <c r="E211" s="198" t="s">
        <v>941</v>
      </c>
      <c r="F211" s="244" t="s">
        <v>77</v>
      </c>
      <c r="G211" s="239"/>
      <c r="H211" s="240">
        <v>0</v>
      </c>
      <c r="I211" s="245">
        <v>300000</v>
      </c>
    </row>
    <row r="212" spans="2:9" hidden="1" x14ac:dyDescent="0.2">
      <c r="B212" s="238">
        <v>45714</v>
      </c>
      <c r="C212" s="239">
        <v>111</v>
      </c>
      <c r="D212" s="239" t="str">
        <f>IFERROR(VLOOKUP(C212,'Neraca Saldo'!$B$6:$C$56,2,0),"")</f>
        <v>Bank</v>
      </c>
      <c r="E212" s="198" t="s">
        <v>942</v>
      </c>
      <c r="F212" s="244" t="s">
        <v>77</v>
      </c>
      <c r="G212" s="239"/>
      <c r="H212" s="245">
        <v>60000000</v>
      </c>
      <c r="I212" s="245">
        <v>0</v>
      </c>
    </row>
    <row r="213" spans="2:9" hidden="1" x14ac:dyDescent="0.2">
      <c r="B213" s="238">
        <v>45714</v>
      </c>
      <c r="C213" s="239">
        <v>212</v>
      </c>
      <c r="D213" s="239" t="str">
        <f>IFERROR(VLOOKUP(C213,'Neraca Saldo'!$B$6:$C$56,2,0),"")</f>
        <v>Simpanan Karyawan</v>
      </c>
      <c r="E213" s="198" t="s">
        <v>942</v>
      </c>
      <c r="F213" s="244" t="s">
        <v>77</v>
      </c>
      <c r="G213" s="239"/>
      <c r="H213" s="240">
        <v>0</v>
      </c>
      <c r="I213" s="245">
        <v>60000000</v>
      </c>
    </row>
    <row r="214" spans="2:9" hidden="1" x14ac:dyDescent="0.2">
      <c r="B214" s="238">
        <v>45714</v>
      </c>
      <c r="C214" s="239">
        <v>111</v>
      </c>
      <c r="D214" s="239" t="str">
        <f>IFERROR(VLOOKUP(C214,'Neraca Saldo'!$B$6:$C$56,2,0),"")</f>
        <v>Bank</v>
      </c>
      <c r="E214" s="198" t="s">
        <v>943</v>
      </c>
      <c r="F214" s="244" t="s">
        <v>77</v>
      </c>
      <c r="G214" s="239"/>
      <c r="H214" s="245">
        <v>25985500</v>
      </c>
      <c r="I214" s="190">
        <v>0</v>
      </c>
    </row>
    <row r="215" spans="2:9" hidden="1" x14ac:dyDescent="0.2">
      <c r="B215" s="238">
        <v>45714</v>
      </c>
      <c r="C215" s="239">
        <v>212</v>
      </c>
      <c r="D215" s="239" t="str">
        <f>IFERROR(VLOOKUP(C215,'Neraca Saldo'!$B$6:$C$56,2,0),"")</f>
        <v>Simpanan Karyawan</v>
      </c>
      <c r="E215" s="198" t="s">
        <v>943</v>
      </c>
      <c r="F215" s="244" t="s">
        <v>77</v>
      </c>
      <c r="G215" s="239"/>
      <c r="H215" s="240">
        <v>0</v>
      </c>
      <c r="I215" s="245">
        <v>25985500</v>
      </c>
    </row>
    <row r="216" spans="2:9" hidden="1" x14ac:dyDescent="0.2">
      <c r="B216" s="238">
        <v>45714</v>
      </c>
      <c r="C216" s="239">
        <v>111</v>
      </c>
      <c r="D216" s="239" t="str">
        <f>IFERROR(VLOOKUP(C216,'Neraca Saldo'!$B$6:$C$56,2,0),"")</f>
        <v>Bank</v>
      </c>
      <c r="E216" s="198" t="s">
        <v>944</v>
      </c>
      <c r="F216" s="244" t="s">
        <v>77</v>
      </c>
      <c r="G216" s="239"/>
      <c r="H216" s="245">
        <v>5720000</v>
      </c>
      <c r="I216" s="190">
        <v>0</v>
      </c>
    </row>
    <row r="217" spans="2:9" hidden="1" x14ac:dyDescent="0.2">
      <c r="B217" s="238">
        <v>45714</v>
      </c>
      <c r="C217" s="239">
        <v>222</v>
      </c>
      <c r="D217" s="239" t="str">
        <f>IFERROR(VLOOKUP(C217,'Neraca Saldo'!$B$6:$C$56,2,0),"")</f>
        <v>Hutang SPN</v>
      </c>
      <c r="E217" s="198" t="s">
        <v>944</v>
      </c>
      <c r="F217" s="244" t="s">
        <v>77</v>
      </c>
      <c r="G217" s="239"/>
      <c r="H217" s="240">
        <v>0</v>
      </c>
      <c r="I217" s="245">
        <v>5720000</v>
      </c>
    </row>
    <row r="218" spans="2:9" hidden="1" x14ac:dyDescent="0.2">
      <c r="B218" s="238">
        <v>45714</v>
      </c>
      <c r="C218" s="239">
        <v>111</v>
      </c>
      <c r="D218" s="239" t="str">
        <f>IFERROR(VLOOKUP(C218,'Neraca Saldo'!$B$6:$C$56,2,0),"")</f>
        <v>Bank</v>
      </c>
      <c r="E218" s="198" t="s">
        <v>945</v>
      </c>
      <c r="F218" s="244" t="s">
        <v>77</v>
      </c>
      <c r="G218" s="239"/>
      <c r="H218" s="245">
        <v>60572779</v>
      </c>
      <c r="I218" s="190">
        <v>0</v>
      </c>
    </row>
    <row r="219" spans="2:9" hidden="1" x14ac:dyDescent="0.2">
      <c r="B219" s="238">
        <v>45714</v>
      </c>
      <c r="C219" s="239">
        <v>121</v>
      </c>
      <c r="D219" s="239" t="str">
        <f>IFERROR(VLOOKUP(C219,'Neraca Saldo'!$B$6:$C$56,2,0),"")</f>
        <v>Piutang Anggota</v>
      </c>
      <c r="E219" s="198" t="s">
        <v>945</v>
      </c>
      <c r="F219" s="244" t="s">
        <v>77</v>
      </c>
      <c r="G219" s="239"/>
      <c r="H219" s="240">
        <v>0</v>
      </c>
      <c r="I219" s="245">
        <v>60572779</v>
      </c>
    </row>
    <row r="220" spans="2:9" hidden="1" x14ac:dyDescent="0.2">
      <c r="B220" s="238">
        <v>45714</v>
      </c>
      <c r="C220" s="239">
        <v>111</v>
      </c>
      <c r="D220" s="239" t="str">
        <f>IFERROR(VLOOKUP(C220,'Neraca Saldo'!$B$6:$C$56,2,0),"")</f>
        <v>Bank</v>
      </c>
      <c r="E220" s="198" t="s">
        <v>946</v>
      </c>
      <c r="F220" s="244" t="s">
        <v>77</v>
      </c>
      <c r="G220" s="239"/>
      <c r="H220" s="245">
        <v>140387167</v>
      </c>
      <c r="I220" s="190">
        <v>0</v>
      </c>
    </row>
    <row r="221" spans="2:9" hidden="1" x14ac:dyDescent="0.2">
      <c r="B221" s="238">
        <v>45714</v>
      </c>
      <c r="C221" s="239">
        <v>121</v>
      </c>
      <c r="D221" s="239" t="str">
        <f>IFERROR(VLOOKUP(C221,'Neraca Saldo'!$B$6:$C$56,2,0),"")</f>
        <v>Piutang Anggota</v>
      </c>
      <c r="E221" s="198" t="s">
        <v>946</v>
      </c>
      <c r="F221" s="244" t="s">
        <v>77</v>
      </c>
      <c r="G221" s="239"/>
      <c r="H221" s="240">
        <v>0</v>
      </c>
      <c r="I221" s="245">
        <v>140387167</v>
      </c>
    </row>
    <row r="222" spans="2:9" hidden="1" x14ac:dyDescent="0.2">
      <c r="B222" s="231">
        <v>45714</v>
      </c>
      <c r="C222" s="232">
        <v>411</v>
      </c>
      <c r="D222" s="232" t="str">
        <f>IFERROR(VLOOKUP(C222,'Neraca Saldo'!$B$6:$C$56,2,0),"")</f>
        <v>Pendapatan Toko</v>
      </c>
      <c r="E222" s="233" t="s">
        <v>929</v>
      </c>
      <c r="F222" s="234" t="s">
        <v>77</v>
      </c>
      <c r="G222" s="232"/>
      <c r="H222" s="246">
        <v>4406800</v>
      </c>
      <c r="I222" s="236">
        <v>0</v>
      </c>
    </row>
    <row r="223" spans="2:9" hidden="1" x14ac:dyDescent="0.2">
      <c r="B223" s="231">
        <v>45714</v>
      </c>
      <c r="C223" s="232">
        <v>111</v>
      </c>
      <c r="D223" s="232" t="str">
        <f>IFERROR(VLOOKUP(C223,'Neraca Saldo'!$B$6:$C$56,2,0),"")</f>
        <v>Bank</v>
      </c>
      <c r="E223" s="233" t="s">
        <v>929</v>
      </c>
      <c r="F223" s="234" t="s">
        <v>77</v>
      </c>
      <c r="G223" s="232"/>
      <c r="H223" s="236">
        <f>I222</f>
        <v>0</v>
      </c>
      <c r="I223" s="236">
        <f>H222</f>
        <v>4406800</v>
      </c>
    </row>
    <row r="224" spans="2:9" hidden="1" x14ac:dyDescent="0.2">
      <c r="B224" s="231">
        <v>45714</v>
      </c>
      <c r="C224" s="232">
        <v>124</v>
      </c>
      <c r="D224" s="232" t="str">
        <f>IFERROR(VLOOKUP(C224,'Neraca Saldo'!$B$6:$C$56,2,0),"")</f>
        <v>Piutang USP</v>
      </c>
      <c r="E224" s="194" t="s">
        <v>943</v>
      </c>
      <c r="F224" s="234" t="s">
        <v>77</v>
      </c>
      <c r="G224" s="232"/>
      <c r="H224" s="246">
        <v>25985500</v>
      </c>
      <c r="I224" s="236">
        <v>0</v>
      </c>
    </row>
    <row r="225" spans="2:9" hidden="1" x14ac:dyDescent="0.2">
      <c r="B225" s="231">
        <v>45714</v>
      </c>
      <c r="C225" s="232">
        <v>111</v>
      </c>
      <c r="D225" s="232" t="str">
        <f>IFERROR(VLOOKUP(C225,'Neraca Saldo'!$B$6:$C$56,2,0),"")</f>
        <v>Bank</v>
      </c>
      <c r="E225" s="194" t="s">
        <v>943</v>
      </c>
      <c r="F225" s="234" t="s">
        <v>77</v>
      </c>
      <c r="G225" s="232"/>
      <c r="H225" s="236">
        <f>I224</f>
        <v>0</v>
      </c>
      <c r="I225" s="236">
        <f>H224</f>
        <v>25985500</v>
      </c>
    </row>
    <row r="226" spans="2:9" hidden="1" x14ac:dyDescent="0.2">
      <c r="B226" s="231">
        <v>45714</v>
      </c>
      <c r="C226" s="232">
        <v>222</v>
      </c>
      <c r="D226" s="232" t="str">
        <f>IFERROR(VLOOKUP(C226,'Neraca Saldo'!$B$6:$C$56,2,0),"")</f>
        <v>Hutang SPN</v>
      </c>
      <c r="E226" s="194" t="s">
        <v>944</v>
      </c>
      <c r="F226" s="234" t="s">
        <v>77</v>
      </c>
      <c r="G226" s="232"/>
      <c r="H226" s="246">
        <v>5720000</v>
      </c>
      <c r="I226" s="236">
        <v>0</v>
      </c>
    </row>
    <row r="227" spans="2:9" hidden="1" x14ac:dyDescent="0.2">
      <c r="B227" s="231">
        <v>45714</v>
      </c>
      <c r="C227" s="232">
        <v>111</v>
      </c>
      <c r="D227" s="232" t="str">
        <f>IFERROR(VLOOKUP(C227,'Neraca Saldo'!$B$6:$C$56,2,0),"")</f>
        <v>Bank</v>
      </c>
      <c r="E227" s="194" t="s">
        <v>944</v>
      </c>
      <c r="F227" s="234" t="s">
        <v>77</v>
      </c>
      <c r="G227" s="232"/>
      <c r="H227" s="236">
        <f>I226</f>
        <v>0</v>
      </c>
      <c r="I227" s="236">
        <f>H226</f>
        <v>5720000</v>
      </c>
    </row>
    <row r="228" spans="2:9" hidden="1" x14ac:dyDescent="0.2">
      <c r="B228" s="231">
        <v>45714</v>
      </c>
      <c r="C228" s="232">
        <v>126</v>
      </c>
      <c r="D228" s="232" t="str">
        <f>IFERROR(VLOOKUP(C228,'Neraca Saldo'!$B$6:$C$56,2,0),"")</f>
        <v>Piutang Pengadaan</v>
      </c>
      <c r="E228" s="194" t="s">
        <v>945</v>
      </c>
      <c r="F228" s="234" t="s">
        <v>77</v>
      </c>
      <c r="G228" s="232"/>
      <c r="H228" s="246">
        <v>60572779</v>
      </c>
      <c r="I228" s="236">
        <v>0</v>
      </c>
    </row>
    <row r="229" spans="2:9" hidden="1" x14ac:dyDescent="0.2">
      <c r="B229" s="231">
        <v>45714</v>
      </c>
      <c r="C229" s="232">
        <v>111</v>
      </c>
      <c r="D229" s="232" t="str">
        <f>IFERROR(VLOOKUP(C229,'Neraca Saldo'!$B$6:$C$56,2,0),"")</f>
        <v>Bank</v>
      </c>
      <c r="E229" s="194" t="s">
        <v>945</v>
      </c>
      <c r="F229" s="234" t="s">
        <v>77</v>
      </c>
      <c r="G229" s="232"/>
      <c r="H229" s="236">
        <f>I228</f>
        <v>0</v>
      </c>
      <c r="I229" s="236">
        <f>H228</f>
        <v>60572779</v>
      </c>
    </row>
    <row r="230" spans="2:9" hidden="1" x14ac:dyDescent="0.2">
      <c r="B230" s="231">
        <v>45714</v>
      </c>
      <c r="C230" s="232">
        <v>124</v>
      </c>
      <c r="D230" s="232" t="str">
        <f>IFERROR(VLOOKUP(C230,'Neraca Saldo'!$B$6:$C$56,2,0),"")</f>
        <v>Piutang USP</v>
      </c>
      <c r="E230" s="194" t="s">
        <v>946</v>
      </c>
      <c r="F230" s="234" t="s">
        <v>77</v>
      </c>
      <c r="G230" s="232"/>
      <c r="H230" s="246">
        <v>140387167</v>
      </c>
      <c r="I230" s="236">
        <v>0</v>
      </c>
    </row>
    <row r="231" spans="2:9" hidden="1" x14ac:dyDescent="0.2">
      <c r="B231" s="231">
        <v>45714</v>
      </c>
      <c r="C231" s="232">
        <v>111</v>
      </c>
      <c r="D231" s="232" t="str">
        <f>IFERROR(VLOOKUP(C231,'Neraca Saldo'!$B$6:$C$56,2,0),"")</f>
        <v>Bank</v>
      </c>
      <c r="E231" s="194" t="s">
        <v>946</v>
      </c>
      <c r="F231" s="234" t="s">
        <v>77</v>
      </c>
      <c r="G231" s="232"/>
      <c r="H231" s="236">
        <f>I230</f>
        <v>0</v>
      </c>
      <c r="I231" s="236">
        <f>H230</f>
        <v>140387167</v>
      </c>
    </row>
    <row r="232" spans="2:9" hidden="1" x14ac:dyDescent="0.2">
      <c r="B232" s="231">
        <v>45714</v>
      </c>
      <c r="C232" s="232">
        <v>126</v>
      </c>
      <c r="D232" s="232" t="str">
        <f>IFERROR(VLOOKUP(C232,'Neraca Saldo'!$B$6:$C$56,2,0),"")</f>
        <v>Piutang Pengadaan</v>
      </c>
      <c r="E232" s="233" t="s">
        <v>836</v>
      </c>
      <c r="F232" s="234" t="s">
        <v>77</v>
      </c>
      <c r="G232" s="232"/>
      <c r="H232" s="196">
        <v>30000000</v>
      </c>
      <c r="I232" s="236">
        <v>0</v>
      </c>
    </row>
    <row r="233" spans="2:9" hidden="1" x14ac:dyDescent="0.2">
      <c r="B233" s="231">
        <v>45714</v>
      </c>
      <c r="C233" s="232">
        <v>111</v>
      </c>
      <c r="D233" s="232" t="str">
        <f>IFERROR(VLOOKUP(C233,'Neraca Saldo'!$B$6:$C$56,2,0),"")</f>
        <v>Bank</v>
      </c>
      <c r="E233" s="233" t="s">
        <v>836</v>
      </c>
      <c r="F233" s="234" t="s">
        <v>77</v>
      </c>
      <c r="G233" s="232"/>
      <c r="H233" s="236">
        <f t="shared" ref="H233:H293" si="0">I232</f>
        <v>0</v>
      </c>
      <c r="I233" s="236">
        <f t="shared" ref="I233:I293" si="1">H232</f>
        <v>30000000</v>
      </c>
    </row>
    <row r="234" spans="2:9" hidden="1" x14ac:dyDescent="0.2">
      <c r="B234" s="231">
        <v>45714</v>
      </c>
      <c r="C234" s="232">
        <v>124</v>
      </c>
      <c r="D234" s="232" t="str">
        <f>IFERROR(VLOOKUP(C234,'Neraca Saldo'!$B$6:$C$56,2,0),"")</f>
        <v>Piutang USP</v>
      </c>
      <c r="E234" s="233" t="s">
        <v>947</v>
      </c>
      <c r="F234" s="234" t="s">
        <v>77</v>
      </c>
      <c r="G234" s="232"/>
      <c r="H234" s="196">
        <v>30000000</v>
      </c>
      <c r="I234" s="236">
        <v>0</v>
      </c>
    </row>
    <row r="235" spans="2:9" hidden="1" x14ac:dyDescent="0.2">
      <c r="B235" s="231">
        <v>45714</v>
      </c>
      <c r="C235" s="232">
        <v>111</v>
      </c>
      <c r="D235" s="232" t="str">
        <f>IFERROR(VLOOKUP(C235,'Neraca Saldo'!$B$6:$C$56,2,0),"")</f>
        <v>Bank</v>
      </c>
      <c r="E235" s="233" t="s">
        <v>947</v>
      </c>
      <c r="F235" s="234" t="s">
        <v>77</v>
      </c>
      <c r="G235" s="232"/>
      <c r="H235" s="236">
        <f t="shared" si="0"/>
        <v>0</v>
      </c>
      <c r="I235" s="236">
        <f t="shared" si="1"/>
        <v>30000000</v>
      </c>
    </row>
    <row r="236" spans="2:9" hidden="1" x14ac:dyDescent="0.2">
      <c r="B236" s="238">
        <v>45714</v>
      </c>
      <c r="C236" s="239">
        <v>111</v>
      </c>
      <c r="D236" s="239" t="str">
        <f>IFERROR(VLOOKUP(C236,'Neraca Saldo'!$B$6:$C$56,2,0),"")</f>
        <v>Bank</v>
      </c>
      <c r="E236" s="243" t="s">
        <v>948</v>
      </c>
      <c r="F236" s="244" t="s">
        <v>77</v>
      </c>
      <c r="G236" s="239"/>
      <c r="H236" s="245">
        <v>71592479</v>
      </c>
      <c r="I236" s="240">
        <v>0</v>
      </c>
    </row>
    <row r="237" spans="2:9" hidden="1" x14ac:dyDescent="0.2">
      <c r="B237" s="238">
        <v>45714</v>
      </c>
      <c r="C237" s="239">
        <v>126</v>
      </c>
      <c r="D237" s="239" t="str">
        <f>IFERROR(VLOOKUP(C237,'Neraca Saldo'!$B$6:$C$56,2,0),"")</f>
        <v>Piutang Pengadaan</v>
      </c>
      <c r="E237" s="243" t="s">
        <v>948</v>
      </c>
      <c r="F237" s="244" t="s">
        <v>77</v>
      </c>
      <c r="G237" s="239"/>
      <c r="H237" s="240">
        <f t="shared" si="0"/>
        <v>0</v>
      </c>
      <c r="I237" s="240">
        <f t="shared" si="1"/>
        <v>71592479</v>
      </c>
    </row>
    <row r="238" spans="2:9" hidden="1" x14ac:dyDescent="0.2">
      <c r="B238" s="238">
        <v>45714</v>
      </c>
      <c r="C238" s="239">
        <v>111</v>
      </c>
      <c r="D238" s="239" t="str">
        <f>IFERROR(VLOOKUP(C238,'Neraca Saldo'!$B$6:$C$56,2,0),"")</f>
        <v>Bank</v>
      </c>
      <c r="E238" s="243" t="s">
        <v>910</v>
      </c>
      <c r="F238" s="244" t="s">
        <v>77</v>
      </c>
      <c r="G238" s="239"/>
      <c r="H238" s="245">
        <v>10000000</v>
      </c>
      <c r="I238" s="240">
        <v>0</v>
      </c>
    </row>
    <row r="239" spans="2:9" hidden="1" x14ac:dyDescent="0.2">
      <c r="B239" s="238">
        <v>45714</v>
      </c>
      <c r="C239" s="239">
        <v>123</v>
      </c>
      <c r="D239" s="239" t="str">
        <f>IFERROR(VLOOKUP(C239,'Neraca Saldo'!$B$6:$C$56,2,0),"")</f>
        <v>Piutang Toko</v>
      </c>
      <c r="E239" s="243" t="s">
        <v>910</v>
      </c>
      <c r="F239" s="244" t="s">
        <v>77</v>
      </c>
      <c r="G239" s="239"/>
      <c r="H239" s="240">
        <f t="shared" si="0"/>
        <v>0</v>
      </c>
      <c r="I239" s="240">
        <f t="shared" si="1"/>
        <v>10000000</v>
      </c>
    </row>
    <row r="240" spans="2:9" hidden="1" x14ac:dyDescent="0.2">
      <c r="B240" s="238">
        <v>45714</v>
      </c>
      <c r="C240" s="239">
        <v>111</v>
      </c>
      <c r="D240" s="239" t="str">
        <f>IFERROR(VLOOKUP(C240,'Neraca Saldo'!$B$6:$C$56,2,0),"")</f>
        <v>Bank</v>
      </c>
      <c r="E240" s="243" t="s">
        <v>949</v>
      </c>
      <c r="F240" s="244" t="s">
        <v>77</v>
      </c>
      <c r="G240" s="239"/>
      <c r="H240" s="245">
        <v>155010422</v>
      </c>
      <c r="I240" s="240">
        <v>0</v>
      </c>
    </row>
    <row r="241" spans="2:9" hidden="1" x14ac:dyDescent="0.2">
      <c r="B241" s="238">
        <v>45714</v>
      </c>
      <c r="C241" s="239">
        <v>121</v>
      </c>
      <c r="D241" s="239" t="str">
        <f>IFERROR(VLOOKUP(C241,'Neraca Saldo'!$B$6:$C$56,2,0),"")</f>
        <v>Piutang Anggota</v>
      </c>
      <c r="E241" s="243" t="s">
        <v>949</v>
      </c>
      <c r="F241" s="244" t="s">
        <v>77</v>
      </c>
      <c r="G241" s="239"/>
      <c r="H241" s="240">
        <f t="shared" si="0"/>
        <v>0</v>
      </c>
      <c r="I241" s="240">
        <f t="shared" si="1"/>
        <v>155010422</v>
      </c>
    </row>
    <row r="242" spans="2:9" hidden="1" x14ac:dyDescent="0.2">
      <c r="B242" s="238">
        <v>45715</v>
      </c>
      <c r="C242" s="239">
        <v>112</v>
      </c>
      <c r="D242" s="239" t="str">
        <f>IFERROR(VLOOKUP(C242,'Neraca Saldo'!$B$6:$C$56,2,0),"")</f>
        <v>Kas</v>
      </c>
      <c r="E242" s="198" t="s">
        <v>950</v>
      </c>
      <c r="F242" s="239" t="s">
        <v>838</v>
      </c>
      <c r="G242" s="239"/>
      <c r="H242" s="245">
        <v>33000</v>
      </c>
      <c r="I242" s="240">
        <v>0</v>
      </c>
    </row>
    <row r="243" spans="2:9" hidden="1" x14ac:dyDescent="0.2">
      <c r="B243" s="238">
        <v>45715</v>
      </c>
      <c r="C243" s="239">
        <v>520</v>
      </c>
      <c r="D243" s="239" t="str">
        <f>IFERROR(VLOOKUP(C243,'Neraca Saldo'!$B$6:$C$56,2,0),"")</f>
        <v>Beban Perlengkapan</v>
      </c>
      <c r="E243" s="198" t="s">
        <v>950</v>
      </c>
      <c r="F243" s="239" t="s">
        <v>838</v>
      </c>
      <c r="G243" s="239"/>
      <c r="H243" s="240">
        <f t="shared" si="0"/>
        <v>0</v>
      </c>
      <c r="I243" s="240">
        <f t="shared" si="1"/>
        <v>33000</v>
      </c>
    </row>
    <row r="244" spans="2:9" hidden="1" x14ac:dyDescent="0.2">
      <c r="B244" s="231">
        <v>45715</v>
      </c>
      <c r="C244" s="232">
        <v>314</v>
      </c>
      <c r="D244" s="232" t="str">
        <f>IFERROR(VLOOKUP(C244,'Neraca Saldo'!$B$6:$C$56,2,0),"")</f>
        <v>SHU yang dibagikan</v>
      </c>
      <c r="E244" s="233" t="s">
        <v>951</v>
      </c>
      <c r="F244" s="232" t="s">
        <v>77</v>
      </c>
      <c r="G244" s="232"/>
      <c r="H244" s="196">
        <v>85721000</v>
      </c>
      <c r="I244" s="236">
        <v>0</v>
      </c>
    </row>
    <row r="245" spans="2:9" hidden="1" x14ac:dyDescent="0.2">
      <c r="B245" s="231">
        <v>45715</v>
      </c>
      <c r="C245" s="232">
        <v>111</v>
      </c>
      <c r="D245" s="232" t="str">
        <f>IFERROR(VLOOKUP(C245,'Neraca Saldo'!$B$6:$C$56,2,0),"")</f>
        <v>Bank</v>
      </c>
      <c r="E245" s="233" t="s">
        <v>951</v>
      </c>
      <c r="F245" s="232" t="s">
        <v>77</v>
      </c>
      <c r="G245" s="232"/>
      <c r="H245" s="236">
        <f t="shared" si="0"/>
        <v>0</v>
      </c>
      <c r="I245" s="236">
        <f t="shared" si="1"/>
        <v>85721000</v>
      </c>
    </row>
    <row r="246" spans="2:9" hidden="1" x14ac:dyDescent="0.2">
      <c r="B246" s="231">
        <v>45715</v>
      </c>
      <c r="C246" s="232">
        <v>313</v>
      </c>
      <c r="D246" s="232" t="str">
        <f>IFERROR(VLOOKUP(C246,'Neraca Saldo'!$B$6:$C$56,2,0),"")</f>
        <v>(Laba)/Rugi ditahan</v>
      </c>
      <c r="E246" s="233" t="s">
        <v>837</v>
      </c>
      <c r="F246" s="232" t="s">
        <v>77</v>
      </c>
      <c r="G246" s="232"/>
      <c r="H246" s="196">
        <v>40000000</v>
      </c>
      <c r="I246" s="236">
        <v>0</v>
      </c>
    </row>
    <row r="247" spans="2:9" hidden="1" x14ac:dyDescent="0.2">
      <c r="B247" s="231">
        <v>45715</v>
      </c>
      <c r="C247" s="232">
        <v>111</v>
      </c>
      <c r="D247" s="232" t="str">
        <f>IFERROR(VLOOKUP(C247,'Neraca Saldo'!$B$6:$C$56,2,0),"")</f>
        <v>Bank</v>
      </c>
      <c r="E247" s="233" t="s">
        <v>837</v>
      </c>
      <c r="F247" s="232" t="s">
        <v>77</v>
      </c>
      <c r="G247" s="232"/>
      <c r="H247" s="236">
        <f t="shared" si="0"/>
        <v>0</v>
      </c>
      <c r="I247" s="236">
        <f t="shared" si="1"/>
        <v>40000000</v>
      </c>
    </row>
    <row r="248" spans="2:9" hidden="1" x14ac:dyDescent="0.2">
      <c r="B248" s="231">
        <v>45715</v>
      </c>
      <c r="C248" s="232">
        <v>520</v>
      </c>
      <c r="D248" s="232" t="str">
        <f>IFERROR(VLOOKUP(C248,'Neraca Saldo'!$B$6:$C$56,2,0),"")</f>
        <v>Beban Perlengkapan</v>
      </c>
      <c r="E248" s="233" t="s">
        <v>952</v>
      </c>
      <c r="F248" s="232" t="s">
        <v>77</v>
      </c>
      <c r="G248" s="232"/>
      <c r="H248" s="196">
        <v>7745000</v>
      </c>
      <c r="I248" s="236">
        <v>0</v>
      </c>
    </row>
    <row r="249" spans="2:9" hidden="1" x14ac:dyDescent="0.2">
      <c r="B249" s="231">
        <v>45715</v>
      </c>
      <c r="C249" s="232">
        <v>111</v>
      </c>
      <c r="D249" s="232" t="str">
        <f>IFERROR(VLOOKUP(C249,'Neraca Saldo'!$B$6:$C$56,2,0),"")</f>
        <v>Bank</v>
      </c>
      <c r="E249" s="233" t="s">
        <v>952</v>
      </c>
      <c r="F249" s="232" t="s">
        <v>77</v>
      </c>
      <c r="G249" s="232"/>
      <c r="H249" s="236">
        <f t="shared" si="0"/>
        <v>0</v>
      </c>
      <c r="I249" s="236">
        <f t="shared" si="1"/>
        <v>7745000</v>
      </c>
    </row>
    <row r="250" spans="2:9" hidden="1" x14ac:dyDescent="0.2">
      <c r="B250" s="231">
        <v>45715</v>
      </c>
      <c r="C250" s="232">
        <v>124</v>
      </c>
      <c r="D250" s="232" t="str">
        <f>IFERROR(VLOOKUP(C250,'Neraca Saldo'!$B$6:$C$56,2,0),"")</f>
        <v>Piutang USP</v>
      </c>
      <c r="E250" s="233" t="s">
        <v>947</v>
      </c>
      <c r="F250" s="232" t="s">
        <v>77</v>
      </c>
      <c r="G250" s="232"/>
      <c r="H250" s="196">
        <v>20000000</v>
      </c>
      <c r="I250" s="236">
        <v>0</v>
      </c>
    </row>
    <row r="251" spans="2:9" hidden="1" x14ac:dyDescent="0.2">
      <c r="B251" s="231">
        <v>45715</v>
      </c>
      <c r="C251" s="232">
        <v>111</v>
      </c>
      <c r="D251" s="232" t="str">
        <f>IFERROR(VLOOKUP(C251,'Neraca Saldo'!$B$6:$C$56,2,0),"")</f>
        <v>Bank</v>
      </c>
      <c r="E251" s="233" t="s">
        <v>947</v>
      </c>
      <c r="F251" s="232" t="s">
        <v>77</v>
      </c>
      <c r="G251" s="232"/>
      <c r="H251" s="236">
        <f t="shared" si="0"/>
        <v>0</v>
      </c>
      <c r="I251" s="236">
        <f t="shared" si="1"/>
        <v>20000000</v>
      </c>
    </row>
    <row r="252" spans="2:9" x14ac:dyDescent="0.2">
      <c r="B252" s="231">
        <v>45715</v>
      </c>
      <c r="C252" s="232">
        <v>513</v>
      </c>
      <c r="D252" s="232" t="str">
        <f>IFERROR(VLOOKUP(C252,'Neraca Saldo'!$B$6:$C$56,2,0),"")</f>
        <v>Beban Pengurus dan Anggota</v>
      </c>
      <c r="E252" s="233" t="s">
        <v>953</v>
      </c>
      <c r="F252" s="232" t="s">
        <v>77</v>
      </c>
      <c r="G252" s="232"/>
      <c r="H252" s="196">
        <v>372000</v>
      </c>
      <c r="I252" s="236">
        <v>0</v>
      </c>
    </row>
    <row r="253" spans="2:9" hidden="1" x14ac:dyDescent="0.2">
      <c r="B253" s="231">
        <v>45715</v>
      </c>
      <c r="C253" s="232">
        <v>111</v>
      </c>
      <c r="D253" s="232" t="str">
        <f>IFERROR(VLOOKUP(C253,'Neraca Saldo'!$B$6:$C$56,2,0),"")</f>
        <v>Bank</v>
      </c>
      <c r="E253" s="233" t="s">
        <v>953</v>
      </c>
      <c r="F253" s="232" t="s">
        <v>77</v>
      </c>
      <c r="G253" s="232"/>
      <c r="H253" s="236">
        <f t="shared" si="0"/>
        <v>0</v>
      </c>
      <c r="I253" s="236">
        <f t="shared" si="1"/>
        <v>372000</v>
      </c>
    </row>
    <row r="254" spans="2:9" hidden="1" x14ac:dyDescent="0.2">
      <c r="B254" s="231">
        <v>45715</v>
      </c>
      <c r="C254" s="232">
        <v>517</v>
      </c>
      <c r="D254" s="232" t="str">
        <f>IFERROR(VLOOKUP(C254,'Neraca Saldo'!$B$6:$C$56,2,0),"")</f>
        <v>Beban Transport</v>
      </c>
      <c r="E254" s="233" t="s">
        <v>954</v>
      </c>
      <c r="F254" s="232" t="s">
        <v>77</v>
      </c>
      <c r="G254" s="232"/>
      <c r="H254" s="196">
        <v>150000</v>
      </c>
      <c r="I254" s="236">
        <v>0</v>
      </c>
    </row>
    <row r="255" spans="2:9" hidden="1" x14ac:dyDescent="0.2">
      <c r="B255" s="231">
        <v>45715</v>
      </c>
      <c r="C255" s="232">
        <v>111</v>
      </c>
      <c r="D255" s="232" t="str">
        <f>IFERROR(VLOOKUP(C255,'Neraca Saldo'!$B$6:$C$56,2,0),"")</f>
        <v>Bank</v>
      </c>
      <c r="E255" s="233" t="s">
        <v>954</v>
      </c>
      <c r="F255" s="232" t="s">
        <v>77</v>
      </c>
      <c r="G255" s="232"/>
      <c r="H255" s="236">
        <f t="shared" si="0"/>
        <v>0</v>
      </c>
      <c r="I255" s="236">
        <f t="shared" si="1"/>
        <v>150000</v>
      </c>
    </row>
    <row r="256" spans="2:9" x14ac:dyDescent="0.2">
      <c r="B256" s="231">
        <v>45715</v>
      </c>
      <c r="C256" s="232">
        <v>513</v>
      </c>
      <c r="D256" s="232" t="str">
        <f>IFERROR(VLOOKUP(C256,'Neraca Saldo'!$B$6:$C$56,2,0),"")</f>
        <v>Beban Pengurus dan Anggota</v>
      </c>
      <c r="E256" s="232" t="s">
        <v>838</v>
      </c>
      <c r="F256" s="234" t="s">
        <v>77</v>
      </c>
      <c r="G256" s="232"/>
      <c r="H256" s="196">
        <v>233000</v>
      </c>
      <c r="I256" s="236">
        <v>0</v>
      </c>
    </row>
    <row r="257" spans="2:9" hidden="1" x14ac:dyDescent="0.2">
      <c r="B257" s="231">
        <v>45715</v>
      </c>
      <c r="C257" s="232">
        <v>111</v>
      </c>
      <c r="D257" s="232" t="str">
        <f>IFERROR(VLOOKUP(C257,'Neraca Saldo'!$B$6:$C$56,2,0),"")</f>
        <v>Bank</v>
      </c>
      <c r="E257" s="232" t="s">
        <v>838</v>
      </c>
      <c r="F257" s="234" t="s">
        <v>77</v>
      </c>
      <c r="G257" s="232"/>
      <c r="H257" s="236">
        <f t="shared" si="0"/>
        <v>0</v>
      </c>
      <c r="I257" s="236">
        <f t="shared" si="1"/>
        <v>233000</v>
      </c>
    </row>
    <row r="258" spans="2:9" hidden="1" x14ac:dyDescent="0.2">
      <c r="B258" s="238">
        <v>45716</v>
      </c>
      <c r="C258" s="239">
        <v>111</v>
      </c>
      <c r="D258" s="239" t="str">
        <f>IFERROR(VLOOKUP(C258,'Neraca Saldo'!$B$6:$C$56,2,0),"")</f>
        <v>Bank</v>
      </c>
      <c r="E258" s="257" t="s">
        <v>56</v>
      </c>
      <c r="F258" s="244" t="s">
        <v>77</v>
      </c>
      <c r="G258" s="239"/>
      <c r="H258" s="251">
        <v>25178</v>
      </c>
      <c r="I258" s="240">
        <v>0</v>
      </c>
    </row>
    <row r="259" spans="2:9" hidden="1" x14ac:dyDescent="0.2">
      <c r="B259" s="238">
        <v>45716</v>
      </c>
      <c r="C259" s="239">
        <v>413</v>
      </c>
      <c r="D259" s="239" t="str">
        <f>IFERROR(VLOOKUP(C259,'Neraca Saldo'!$B$6:$C$56,2,0),"")</f>
        <v>Pendapatan Jasa Bank</v>
      </c>
      <c r="E259" s="257" t="s">
        <v>56</v>
      </c>
      <c r="F259" s="244" t="s">
        <v>77</v>
      </c>
      <c r="G259" s="239"/>
      <c r="H259" s="240">
        <f t="shared" si="0"/>
        <v>0</v>
      </c>
      <c r="I259" s="240">
        <f t="shared" si="1"/>
        <v>25178</v>
      </c>
    </row>
    <row r="260" spans="2:9" hidden="1" x14ac:dyDescent="0.2">
      <c r="B260" s="231">
        <v>45716</v>
      </c>
      <c r="C260" s="232">
        <v>521</v>
      </c>
      <c r="D260" s="232" t="str">
        <f>IFERROR(VLOOKUP(C260,'Neraca Saldo'!$B$6:$C$56,2,0),"")</f>
        <v>Beban Biaya Bank</v>
      </c>
      <c r="E260" s="242" t="s">
        <v>94</v>
      </c>
      <c r="F260" s="234" t="s">
        <v>77</v>
      </c>
      <c r="G260" s="232"/>
      <c r="H260" s="196">
        <v>5036</v>
      </c>
      <c r="I260" s="236">
        <v>0</v>
      </c>
    </row>
    <row r="261" spans="2:9" hidden="1" x14ac:dyDescent="0.2">
      <c r="B261" s="231">
        <v>45716</v>
      </c>
      <c r="C261" s="232">
        <v>111</v>
      </c>
      <c r="D261" s="232" t="str">
        <f>IFERROR(VLOOKUP(C261,'Neraca Saldo'!$B$6:$C$56,2,0),"")</f>
        <v>Bank</v>
      </c>
      <c r="E261" s="242" t="s">
        <v>94</v>
      </c>
      <c r="F261" s="234" t="s">
        <v>77</v>
      </c>
      <c r="G261" s="232"/>
      <c r="H261" s="236">
        <f t="shared" si="0"/>
        <v>0</v>
      </c>
      <c r="I261" s="236">
        <f t="shared" si="1"/>
        <v>5036</v>
      </c>
    </row>
    <row r="262" spans="2:9" hidden="1" x14ac:dyDescent="0.2">
      <c r="B262" s="231">
        <v>45716</v>
      </c>
      <c r="C262" s="232">
        <v>521</v>
      </c>
      <c r="D262" s="232" t="str">
        <f>IFERROR(VLOOKUP(C262,'Neraca Saldo'!$B$6:$C$56,2,0),"")</f>
        <v>Beban Biaya Bank</v>
      </c>
      <c r="E262" s="242" t="s">
        <v>95</v>
      </c>
      <c r="F262" s="234" t="s">
        <v>77</v>
      </c>
      <c r="G262" s="232"/>
      <c r="H262" s="196">
        <v>10000</v>
      </c>
      <c r="I262" s="236">
        <v>0</v>
      </c>
    </row>
    <row r="263" spans="2:9" hidden="1" x14ac:dyDescent="0.2">
      <c r="B263" s="231">
        <v>45716</v>
      </c>
      <c r="C263" s="232">
        <v>111</v>
      </c>
      <c r="D263" s="232" t="str">
        <f>IFERROR(VLOOKUP(C263,'Neraca Saldo'!$B$6:$C$56,2,0),"")</f>
        <v>Bank</v>
      </c>
      <c r="E263" s="242" t="s">
        <v>95</v>
      </c>
      <c r="F263" s="234" t="s">
        <v>77</v>
      </c>
      <c r="G263" s="232"/>
      <c r="H263" s="236">
        <f t="shared" si="0"/>
        <v>0</v>
      </c>
      <c r="I263" s="236">
        <f t="shared" si="1"/>
        <v>10000</v>
      </c>
    </row>
    <row r="264" spans="2:9" hidden="1" x14ac:dyDescent="0.2">
      <c r="B264" s="231">
        <v>45716</v>
      </c>
      <c r="C264" s="232">
        <v>517</v>
      </c>
      <c r="D264" s="232" t="str">
        <f>IFERROR(VLOOKUP(C264,'Neraca Saldo'!$B$6:$C$56,2,0),"")</f>
        <v>Beban Transport</v>
      </c>
      <c r="E264" s="194" t="s">
        <v>955</v>
      </c>
      <c r="F264" s="232" t="s">
        <v>838</v>
      </c>
      <c r="G264" s="232"/>
      <c r="H264" s="188">
        <v>400000</v>
      </c>
      <c r="I264" s="236">
        <v>0</v>
      </c>
    </row>
    <row r="265" spans="2:9" hidden="1" x14ac:dyDescent="0.2">
      <c r="B265" s="231">
        <v>45716</v>
      </c>
      <c r="C265" s="232">
        <v>112</v>
      </c>
      <c r="D265" s="232" t="str">
        <f>IFERROR(VLOOKUP(C265,'Neraca Saldo'!$B$6:$C$56,2,0),"")</f>
        <v>Kas</v>
      </c>
      <c r="E265" s="194" t="s">
        <v>955</v>
      </c>
      <c r="F265" s="232" t="s">
        <v>838</v>
      </c>
      <c r="G265" s="232"/>
      <c r="H265" s="236">
        <f t="shared" si="0"/>
        <v>0</v>
      </c>
      <c r="I265" s="236">
        <f t="shared" si="1"/>
        <v>400000</v>
      </c>
    </row>
    <row r="266" spans="2:9" hidden="1" x14ac:dyDescent="0.2">
      <c r="B266" s="231">
        <v>45716</v>
      </c>
      <c r="C266" s="232">
        <v>517</v>
      </c>
      <c r="D266" s="232" t="str">
        <f>IFERROR(VLOOKUP(C266,'Neraca Saldo'!$B$6:$C$56,2,0),"")</f>
        <v>Beban Transport</v>
      </c>
      <c r="E266" s="194" t="s">
        <v>956</v>
      </c>
      <c r="F266" s="232" t="s">
        <v>838</v>
      </c>
      <c r="G266" s="232"/>
      <c r="H266" s="188">
        <v>300000</v>
      </c>
      <c r="I266" s="236">
        <v>0</v>
      </c>
    </row>
    <row r="267" spans="2:9" hidden="1" x14ac:dyDescent="0.2">
      <c r="B267" s="231">
        <v>45716</v>
      </c>
      <c r="C267" s="232">
        <v>112</v>
      </c>
      <c r="D267" s="232" t="str">
        <f>IFERROR(VLOOKUP(C267,'Neraca Saldo'!$B$6:$C$56,2,0),"")</f>
        <v>Kas</v>
      </c>
      <c r="E267" s="194" t="s">
        <v>956</v>
      </c>
      <c r="F267" s="232" t="s">
        <v>838</v>
      </c>
      <c r="G267" s="232"/>
      <c r="H267" s="236">
        <f t="shared" si="0"/>
        <v>0</v>
      </c>
      <c r="I267" s="236">
        <f t="shared" si="1"/>
        <v>300000</v>
      </c>
    </row>
    <row r="268" spans="2:9" hidden="1" x14ac:dyDescent="0.2">
      <c r="B268" s="231">
        <v>45716</v>
      </c>
      <c r="C268" s="232">
        <v>314</v>
      </c>
      <c r="D268" s="232" t="str">
        <f>IFERROR(VLOOKUP(C268,'Neraca Saldo'!$B$6:$C$56,2,0),"")</f>
        <v>SHU yang dibagikan</v>
      </c>
      <c r="E268" s="194" t="s">
        <v>957</v>
      </c>
      <c r="F268" s="232" t="s">
        <v>838</v>
      </c>
      <c r="G268" s="232"/>
      <c r="H268" s="188">
        <v>78000</v>
      </c>
      <c r="I268" s="236">
        <v>0</v>
      </c>
    </row>
    <row r="269" spans="2:9" hidden="1" x14ac:dyDescent="0.2">
      <c r="B269" s="231">
        <v>45716</v>
      </c>
      <c r="C269" s="232">
        <v>112</v>
      </c>
      <c r="D269" s="232" t="str">
        <f>IFERROR(VLOOKUP(C269,'Neraca Saldo'!$B$6:$C$56,2,0),"")</f>
        <v>Kas</v>
      </c>
      <c r="E269" s="194" t="s">
        <v>957</v>
      </c>
      <c r="F269" s="232" t="s">
        <v>838</v>
      </c>
      <c r="G269" s="232"/>
      <c r="H269" s="236">
        <f t="shared" si="0"/>
        <v>0</v>
      </c>
      <c r="I269" s="236">
        <f t="shared" si="1"/>
        <v>78000</v>
      </c>
    </row>
    <row r="270" spans="2:9" hidden="1" x14ac:dyDescent="0.2">
      <c r="B270" s="231">
        <v>45717</v>
      </c>
      <c r="C270" s="232">
        <v>515</v>
      </c>
      <c r="D270" s="232" t="str">
        <f>IFERROR(VLOOKUP(C270,'Neraca Saldo'!$B$6:$C$56,2,0),"")</f>
        <v>Beban Gaji</v>
      </c>
      <c r="E270" s="194" t="s">
        <v>958</v>
      </c>
      <c r="F270" s="232" t="s">
        <v>838</v>
      </c>
      <c r="G270" s="232"/>
      <c r="H270" s="246">
        <v>900000</v>
      </c>
      <c r="I270" s="236">
        <v>0</v>
      </c>
    </row>
    <row r="271" spans="2:9" hidden="1" x14ac:dyDescent="0.2">
      <c r="B271" s="231">
        <v>45717</v>
      </c>
      <c r="C271" s="232">
        <v>112</v>
      </c>
      <c r="D271" s="232" t="str">
        <f>IFERROR(VLOOKUP(C271,'Neraca Saldo'!$B$6:$C$56,2,0),"")</f>
        <v>Kas</v>
      </c>
      <c r="E271" s="194" t="s">
        <v>958</v>
      </c>
      <c r="F271" s="232" t="s">
        <v>838</v>
      </c>
      <c r="G271" s="232"/>
      <c r="H271" s="236">
        <f t="shared" si="0"/>
        <v>0</v>
      </c>
      <c r="I271" s="236">
        <f t="shared" si="1"/>
        <v>900000</v>
      </c>
    </row>
    <row r="272" spans="2:9" hidden="1" x14ac:dyDescent="0.2">
      <c r="B272" s="231">
        <v>45717</v>
      </c>
      <c r="C272" s="232">
        <v>515</v>
      </c>
      <c r="D272" s="232" t="str">
        <f>IFERROR(VLOOKUP(C272,'Neraca Saldo'!$B$6:$C$56,2,0),"")</f>
        <v>Beban Gaji</v>
      </c>
      <c r="E272" s="194" t="s">
        <v>959</v>
      </c>
      <c r="F272" s="232" t="s">
        <v>838</v>
      </c>
      <c r="G272" s="232"/>
      <c r="H272" s="246">
        <v>2320000</v>
      </c>
      <c r="I272" s="236">
        <v>0</v>
      </c>
    </row>
    <row r="273" spans="2:9" hidden="1" x14ac:dyDescent="0.2">
      <c r="B273" s="231">
        <v>45717</v>
      </c>
      <c r="C273" s="232">
        <v>112</v>
      </c>
      <c r="D273" s="232" t="str">
        <f>IFERROR(VLOOKUP(C273,'Neraca Saldo'!$B$6:$C$56,2,0),"")</f>
        <v>Kas</v>
      </c>
      <c r="E273" s="194" t="s">
        <v>959</v>
      </c>
      <c r="F273" s="232" t="s">
        <v>838</v>
      </c>
      <c r="G273" s="232"/>
      <c r="H273" s="236">
        <f t="shared" si="0"/>
        <v>0</v>
      </c>
      <c r="I273" s="236">
        <f t="shared" si="1"/>
        <v>2320000</v>
      </c>
    </row>
    <row r="274" spans="2:9" hidden="1" x14ac:dyDescent="0.2">
      <c r="B274" s="231">
        <v>45717</v>
      </c>
      <c r="C274" s="232">
        <v>515</v>
      </c>
      <c r="D274" s="232" t="str">
        <f>IFERROR(VLOOKUP(C274,'Neraca Saldo'!$B$6:$C$56,2,0),"")</f>
        <v>Beban Gaji</v>
      </c>
      <c r="E274" s="209" t="s">
        <v>960</v>
      </c>
      <c r="F274" s="232" t="s">
        <v>838</v>
      </c>
      <c r="G274" s="232"/>
      <c r="H274" s="188">
        <v>2300000</v>
      </c>
      <c r="I274" s="236">
        <v>0</v>
      </c>
    </row>
    <row r="275" spans="2:9" hidden="1" x14ac:dyDescent="0.2">
      <c r="B275" s="231">
        <v>45717</v>
      </c>
      <c r="C275" s="232">
        <v>112</v>
      </c>
      <c r="D275" s="232" t="str">
        <f>IFERROR(VLOOKUP(C275,'Neraca Saldo'!$B$6:$C$56,2,0),"")</f>
        <v>Kas</v>
      </c>
      <c r="E275" s="209" t="s">
        <v>960</v>
      </c>
      <c r="F275" s="232" t="s">
        <v>838</v>
      </c>
      <c r="G275" s="232"/>
      <c r="H275" s="236">
        <f t="shared" si="0"/>
        <v>0</v>
      </c>
      <c r="I275" s="236">
        <f t="shared" si="1"/>
        <v>2300000</v>
      </c>
    </row>
    <row r="276" spans="2:9" hidden="1" x14ac:dyDescent="0.2">
      <c r="B276" s="231">
        <v>45719</v>
      </c>
      <c r="C276" s="232">
        <v>313</v>
      </c>
      <c r="D276" s="232" t="str">
        <f>IFERROR(VLOOKUP(C276,'Neraca Saldo'!$B$6:$C$56,2,0),"")</f>
        <v>(Laba)/Rugi ditahan</v>
      </c>
      <c r="E276" s="194" t="s">
        <v>961</v>
      </c>
      <c r="F276" s="232" t="s">
        <v>838</v>
      </c>
      <c r="G276" s="232"/>
      <c r="H276" s="188">
        <v>20002500</v>
      </c>
      <c r="I276" s="236">
        <v>0</v>
      </c>
    </row>
    <row r="277" spans="2:9" hidden="1" x14ac:dyDescent="0.2">
      <c r="B277" s="231">
        <v>45719</v>
      </c>
      <c r="C277" s="232">
        <v>112</v>
      </c>
      <c r="D277" s="232" t="str">
        <f>IFERROR(VLOOKUP(C277,'Neraca Saldo'!$B$6:$C$56,2,0),"")</f>
        <v>Kas</v>
      </c>
      <c r="E277" s="194" t="s">
        <v>961</v>
      </c>
      <c r="F277" s="232" t="s">
        <v>838</v>
      </c>
      <c r="G277" s="232"/>
      <c r="H277" s="236">
        <f t="shared" si="0"/>
        <v>0</v>
      </c>
      <c r="I277" s="236">
        <f t="shared" si="1"/>
        <v>20002500</v>
      </c>
    </row>
    <row r="278" spans="2:9" hidden="1" x14ac:dyDescent="0.2">
      <c r="B278" s="231">
        <v>45719</v>
      </c>
      <c r="C278" s="232">
        <v>517</v>
      </c>
      <c r="D278" s="232" t="str">
        <f>IFERROR(VLOOKUP(C278,'Neraca Saldo'!$B$6:$C$56,2,0),"")</f>
        <v>Beban Transport</v>
      </c>
      <c r="E278" s="194" t="s">
        <v>962</v>
      </c>
      <c r="F278" s="232" t="s">
        <v>838</v>
      </c>
      <c r="G278" s="232"/>
      <c r="H278" s="188">
        <v>200000</v>
      </c>
      <c r="I278" s="236">
        <v>0</v>
      </c>
    </row>
    <row r="279" spans="2:9" hidden="1" x14ac:dyDescent="0.2">
      <c r="B279" s="231">
        <v>45719</v>
      </c>
      <c r="C279" s="232">
        <v>112</v>
      </c>
      <c r="D279" s="232" t="str">
        <f>IFERROR(VLOOKUP(C279,'Neraca Saldo'!$B$6:$C$56,2,0),"")</f>
        <v>Kas</v>
      </c>
      <c r="E279" s="194" t="s">
        <v>962</v>
      </c>
      <c r="F279" s="232" t="s">
        <v>838</v>
      </c>
      <c r="G279" s="232"/>
      <c r="H279" s="236">
        <f t="shared" si="0"/>
        <v>0</v>
      </c>
      <c r="I279" s="236">
        <f t="shared" si="1"/>
        <v>200000</v>
      </c>
    </row>
    <row r="280" spans="2:9" hidden="1" x14ac:dyDescent="0.2">
      <c r="B280" s="231">
        <v>45723</v>
      </c>
      <c r="C280" s="232">
        <v>515</v>
      </c>
      <c r="D280" s="232" t="str">
        <f>IFERROR(VLOOKUP(C280,'Neraca Saldo'!$B$6:$C$56,2,0),"")</f>
        <v>Beban Gaji</v>
      </c>
      <c r="E280" s="194" t="s">
        <v>963</v>
      </c>
      <c r="F280" s="232" t="s">
        <v>77</v>
      </c>
      <c r="G280" s="232"/>
      <c r="H280" s="196">
        <v>11600000</v>
      </c>
      <c r="I280" s="236">
        <v>0</v>
      </c>
    </row>
    <row r="281" spans="2:9" hidden="1" x14ac:dyDescent="0.2">
      <c r="B281" s="231">
        <v>45723</v>
      </c>
      <c r="C281" s="232">
        <v>111</v>
      </c>
      <c r="D281" s="232" t="str">
        <f>IFERROR(VLOOKUP(C281,'Neraca Saldo'!$B$6:$C$56,2,0),"")</f>
        <v>Bank</v>
      </c>
      <c r="E281" s="194" t="s">
        <v>963</v>
      </c>
      <c r="F281" s="232" t="s">
        <v>77</v>
      </c>
      <c r="G281" s="232"/>
      <c r="H281" s="236">
        <f t="shared" si="0"/>
        <v>0</v>
      </c>
      <c r="I281" s="236">
        <f t="shared" si="1"/>
        <v>11600000</v>
      </c>
    </row>
    <row r="282" spans="2:9" hidden="1" x14ac:dyDescent="0.2">
      <c r="B282" s="238">
        <v>45723</v>
      </c>
      <c r="C282" s="239">
        <v>111</v>
      </c>
      <c r="D282" s="239" t="str">
        <f>IFERROR(VLOOKUP(C282,'Neraca Saldo'!$B$6:$C$56,2,0),"")</f>
        <v>Bank</v>
      </c>
      <c r="E282" s="243" t="s">
        <v>927</v>
      </c>
      <c r="F282" s="239" t="s">
        <v>77</v>
      </c>
      <c r="G282" s="239"/>
      <c r="H282" s="245">
        <v>1200000</v>
      </c>
      <c r="I282" s="240">
        <v>0</v>
      </c>
    </row>
    <row r="283" spans="2:9" hidden="1" x14ac:dyDescent="0.2">
      <c r="B283" s="238">
        <v>45723</v>
      </c>
      <c r="C283" s="239">
        <v>212</v>
      </c>
      <c r="D283" s="239" t="str">
        <f>IFERROR(VLOOKUP(C283,'Neraca Saldo'!$B$6:$C$56,2,0),"")</f>
        <v>Simpanan Karyawan</v>
      </c>
      <c r="E283" s="243" t="s">
        <v>927</v>
      </c>
      <c r="F283" s="239" t="s">
        <v>77</v>
      </c>
      <c r="G283" s="239"/>
      <c r="H283" s="240">
        <f t="shared" si="0"/>
        <v>0</v>
      </c>
      <c r="I283" s="240">
        <f t="shared" si="1"/>
        <v>1200000</v>
      </c>
    </row>
    <row r="284" spans="2:9" hidden="1" x14ac:dyDescent="0.2">
      <c r="B284" s="238">
        <v>45723</v>
      </c>
      <c r="C284" s="239">
        <v>111</v>
      </c>
      <c r="D284" s="239" t="str">
        <f>IFERROR(VLOOKUP(C284,'Neraca Saldo'!$B$6:$C$56,2,0),"")</f>
        <v>Bank</v>
      </c>
      <c r="E284" s="243" t="s">
        <v>964</v>
      </c>
      <c r="F284" s="239" t="s">
        <v>77</v>
      </c>
      <c r="G284" s="239"/>
      <c r="H284" s="245">
        <v>1000000</v>
      </c>
      <c r="I284" s="240">
        <v>0</v>
      </c>
    </row>
    <row r="285" spans="2:9" hidden="1" x14ac:dyDescent="0.2">
      <c r="B285" s="238">
        <v>45723</v>
      </c>
      <c r="C285" s="239">
        <v>212</v>
      </c>
      <c r="D285" s="239" t="str">
        <f>IFERROR(VLOOKUP(C285,'Neraca Saldo'!$B$6:$C$56,2,0),"")</f>
        <v>Simpanan Karyawan</v>
      </c>
      <c r="E285" s="243" t="s">
        <v>964</v>
      </c>
      <c r="F285" s="239" t="s">
        <v>77</v>
      </c>
      <c r="G285" s="239"/>
      <c r="H285" s="240">
        <f t="shared" si="0"/>
        <v>0</v>
      </c>
      <c r="I285" s="240">
        <f t="shared" si="1"/>
        <v>1000000</v>
      </c>
    </row>
    <row r="286" spans="2:9" hidden="1" x14ac:dyDescent="0.2">
      <c r="B286" s="238">
        <v>45723</v>
      </c>
      <c r="C286" s="239">
        <v>111</v>
      </c>
      <c r="D286" s="239" t="str">
        <f>IFERROR(VLOOKUP(C286,'Neraca Saldo'!$B$6:$C$56,2,0),"")</f>
        <v>Bank</v>
      </c>
      <c r="E286" s="243" t="s">
        <v>965</v>
      </c>
      <c r="F286" s="239" t="s">
        <v>77</v>
      </c>
      <c r="G286" s="239"/>
      <c r="H286" s="245">
        <v>1200000</v>
      </c>
      <c r="I286" s="240">
        <v>0</v>
      </c>
    </row>
    <row r="287" spans="2:9" hidden="1" x14ac:dyDescent="0.2">
      <c r="B287" s="238">
        <v>45723</v>
      </c>
      <c r="C287" s="239">
        <v>212</v>
      </c>
      <c r="D287" s="239" t="str">
        <f>IFERROR(VLOOKUP(C287,'Neraca Saldo'!$B$6:$C$56,2,0),"")</f>
        <v>Simpanan Karyawan</v>
      </c>
      <c r="E287" s="243" t="s">
        <v>965</v>
      </c>
      <c r="F287" s="239" t="s">
        <v>77</v>
      </c>
      <c r="G287" s="239"/>
      <c r="H287" s="240">
        <f t="shared" si="0"/>
        <v>0</v>
      </c>
      <c r="I287" s="240">
        <f t="shared" si="1"/>
        <v>1200000</v>
      </c>
    </row>
    <row r="288" spans="2:9" hidden="1" x14ac:dyDescent="0.2">
      <c r="B288" s="231">
        <v>45729</v>
      </c>
      <c r="C288" s="232">
        <v>212</v>
      </c>
      <c r="D288" s="232" t="str">
        <f>IFERROR(VLOOKUP(C288,'Neraca Saldo'!$B$6:$C$56,2,0),"")</f>
        <v>Simpanan Karyawan</v>
      </c>
      <c r="E288" s="194" t="s">
        <v>966</v>
      </c>
      <c r="F288" s="232" t="s">
        <v>838</v>
      </c>
      <c r="G288" s="232"/>
      <c r="H288" s="188">
        <v>5000000</v>
      </c>
      <c r="I288" s="236">
        <v>0</v>
      </c>
    </row>
    <row r="289" spans="2:9" hidden="1" x14ac:dyDescent="0.2">
      <c r="B289" s="231">
        <v>45729</v>
      </c>
      <c r="C289" s="232">
        <v>112</v>
      </c>
      <c r="D289" s="232" t="str">
        <f>IFERROR(VLOOKUP(C289,'Neraca Saldo'!$B$6:$C$56,2,0),"")</f>
        <v>Kas</v>
      </c>
      <c r="E289" s="194" t="s">
        <v>966</v>
      </c>
      <c r="F289" s="232" t="s">
        <v>838</v>
      </c>
      <c r="G289" s="232"/>
      <c r="H289" s="236">
        <f t="shared" si="0"/>
        <v>0</v>
      </c>
      <c r="I289" s="236">
        <f t="shared" si="1"/>
        <v>5000000</v>
      </c>
    </row>
    <row r="290" spans="2:9" hidden="1" x14ac:dyDescent="0.2">
      <c r="B290" s="231">
        <v>45730</v>
      </c>
      <c r="C290" s="232">
        <v>313</v>
      </c>
      <c r="D290" s="232" t="str">
        <f>IFERROR(VLOOKUP(C290,'Neraca Saldo'!$B$6:$C$56,2,0),"")</f>
        <v>(Laba)/Rugi ditahan</v>
      </c>
      <c r="E290" s="194" t="s">
        <v>967</v>
      </c>
      <c r="F290" s="232" t="s">
        <v>838</v>
      </c>
      <c r="G290" s="232"/>
      <c r="H290" s="188">
        <v>12000000</v>
      </c>
      <c r="I290" s="236">
        <v>0</v>
      </c>
    </row>
    <row r="291" spans="2:9" hidden="1" x14ac:dyDescent="0.2">
      <c r="B291" s="231">
        <v>45730</v>
      </c>
      <c r="C291" s="232">
        <v>112</v>
      </c>
      <c r="D291" s="232" t="str">
        <f>IFERROR(VLOOKUP(C291,'Neraca Saldo'!$B$6:$C$56,2,0),"")</f>
        <v>Kas</v>
      </c>
      <c r="E291" s="194" t="s">
        <v>967</v>
      </c>
      <c r="F291" s="232" t="s">
        <v>838</v>
      </c>
      <c r="G291" s="232"/>
      <c r="H291" s="236">
        <f t="shared" si="0"/>
        <v>0</v>
      </c>
      <c r="I291" s="236">
        <f t="shared" si="1"/>
        <v>12000000</v>
      </c>
    </row>
    <row r="292" spans="2:9" hidden="1" x14ac:dyDescent="0.2">
      <c r="B292" s="231">
        <v>45730</v>
      </c>
      <c r="C292" s="232">
        <v>112</v>
      </c>
      <c r="D292" s="232" t="str">
        <f>IFERROR(VLOOKUP(C292,'Neraca Saldo'!$B$6:$C$56,2,0),"")</f>
        <v>Kas</v>
      </c>
      <c r="E292" s="232" t="s">
        <v>838</v>
      </c>
      <c r="F292" s="234" t="s">
        <v>77</v>
      </c>
      <c r="G292" s="232"/>
      <c r="H292" s="196">
        <v>11085243</v>
      </c>
      <c r="I292" s="236">
        <v>0</v>
      </c>
    </row>
    <row r="293" spans="2:9" hidden="1" x14ac:dyDescent="0.2">
      <c r="B293" s="231">
        <v>45730</v>
      </c>
      <c r="C293" s="232">
        <v>111</v>
      </c>
      <c r="D293" s="232" t="str">
        <f>IFERROR(VLOOKUP(C293,'Neraca Saldo'!$B$6:$C$56,2,0),"")</f>
        <v>Bank</v>
      </c>
      <c r="E293" s="232" t="s">
        <v>838</v>
      </c>
      <c r="F293" s="234" t="s">
        <v>77</v>
      </c>
      <c r="G293" s="232"/>
      <c r="H293" s="236">
        <f t="shared" si="0"/>
        <v>0</v>
      </c>
      <c r="I293" s="236">
        <f t="shared" si="1"/>
        <v>11085243</v>
      </c>
    </row>
    <row r="294" spans="2:9" hidden="1" x14ac:dyDescent="0.2">
      <c r="B294" s="231">
        <v>45730</v>
      </c>
      <c r="C294" s="232">
        <v>313</v>
      </c>
      <c r="D294" s="232" t="str">
        <f>IFERROR(VLOOKUP(C294,'Neraca Saldo'!$B$6:$C$56,2,0),"")</f>
        <v>(Laba)/Rugi ditahan</v>
      </c>
      <c r="E294" s="194" t="s">
        <v>968</v>
      </c>
      <c r="F294" s="232" t="s">
        <v>838</v>
      </c>
      <c r="G294" s="232"/>
      <c r="H294" s="188">
        <v>5537500</v>
      </c>
      <c r="I294" s="236">
        <v>0</v>
      </c>
    </row>
    <row r="295" spans="2:9" hidden="1" x14ac:dyDescent="0.2">
      <c r="B295" s="231">
        <v>45730</v>
      </c>
      <c r="C295" s="232">
        <v>112</v>
      </c>
      <c r="D295" s="232" t="str">
        <f>IFERROR(VLOOKUP(C295,'Neraca Saldo'!$B$6:$C$56,2,0),"")</f>
        <v>Kas</v>
      </c>
      <c r="E295" s="194" t="s">
        <v>968</v>
      </c>
      <c r="F295" s="232" t="s">
        <v>838</v>
      </c>
      <c r="G295" s="232"/>
      <c r="H295" s="236">
        <f>I294</f>
        <v>0</v>
      </c>
      <c r="I295" s="236">
        <f>H294</f>
        <v>5537500</v>
      </c>
    </row>
    <row r="296" spans="2:9" hidden="1" x14ac:dyDescent="0.2">
      <c r="B296" s="231">
        <v>45730</v>
      </c>
      <c r="C296" s="232">
        <v>521</v>
      </c>
      <c r="D296" s="232" t="str">
        <f>IFERROR(VLOOKUP(C296,'Neraca Saldo'!$B$6:$C$56,2,0),"")</f>
        <v>Beban Biaya Bank</v>
      </c>
      <c r="E296" s="194" t="s">
        <v>969</v>
      </c>
      <c r="F296" s="232" t="s">
        <v>838</v>
      </c>
      <c r="G296" s="232"/>
      <c r="H296" s="188">
        <v>2500</v>
      </c>
      <c r="I296" s="236">
        <v>0</v>
      </c>
    </row>
    <row r="297" spans="2:9" hidden="1" x14ac:dyDescent="0.2">
      <c r="B297" s="231">
        <v>45730</v>
      </c>
      <c r="C297" s="232">
        <v>112</v>
      </c>
      <c r="D297" s="232" t="str">
        <f>IFERROR(VLOOKUP(C297,'Neraca Saldo'!$B$6:$C$56,2,0),"")</f>
        <v>Kas</v>
      </c>
      <c r="E297" s="194" t="s">
        <v>969</v>
      </c>
      <c r="F297" s="232" t="s">
        <v>838</v>
      </c>
      <c r="G297" s="232"/>
      <c r="H297" s="236">
        <f>I296</f>
        <v>0</v>
      </c>
      <c r="I297" s="236">
        <f>H296</f>
        <v>2500</v>
      </c>
    </row>
    <row r="298" spans="2:9" hidden="1" x14ac:dyDescent="0.2">
      <c r="B298" s="231">
        <v>45730</v>
      </c>
      <c r="C298" s="232">
        <v>517</v>
      </c>
      <c r="D298" s="232" t="str">
        <f>IFERROR(VLOOKUP(C298,'Neraca Saldo'!$B$6:$C$56,2,0),"")</f>
        <v>Beban Transport</v>
      </c>
      <c r="E298" s="194" t="s">
        <v>970</v>
      </c>
      <c r="F298" s="232" t="s">
        <v>838</v>
      </c>
      <c r="G298" s="232"/>
      <c r="H298" s="188">
        <v>300000</v>
      </c>
      <c r="I298" s="236">
        <v>0</v>
      </c>
    </row>
    <row r="299" spans="2:9" hidden="1" x14ac:dyDescent="0.2">
      <c r="B299" s="231">
        <v>45730</v>
      </c>
      <c r="C299" s="232">
        <v>112</v>
      </c>
      <c r="D299" s="232" t="str">
        <f>IFERROR(VLOOKUP(C299,'Neraca Saldo'!$B$6:$C$56,2,0),"")</f>
        <v>Kas</v>
      </c>
      <c r="E299" s="194" t="s">
        <v>970</v>
      </c>
      <c r="F299" s="232" t="s">
        <v>838</v>
      </c>
      <c r="G299" s="232"/>
      <c r="H299" s="236">
        <f>I298</f>
        <v>0</v>
      </c>
      <c r="I299" s="236">
        <f>H298</f>
        <v>300000</v>
      </c>
    </row>
    <row r="300" spans="2:9" hidden="1" x14ac:dyDescent="0.2">
      <c r="B300" s="231">
        <v>45733</v>
      </c>
      <c r="C300" s="232">
        <v>212</v>
      </c>
      <c r="D300" s="232" t="str">
        <f>IFERROR(VLOOKUP(C300,'Neraca Saldo'!$B$6:$C$56,2,0),"")</f>
        <v>Simpanan Karyawan</v>
      </c>
      <c r="E300" s="194" t="s">
        <v>971</v>
      </c>
      <c r="F300" s="234" t="s">
        <v>838</v>
      </c>
      <c r="G300" s="232"/>
      <c r="H300" s="188">
        <v>100000</v>
      </c>
      <c r="I300" s="236">
        <v>0</v>
      </c>
    </row>
    <row r="301" spans="2:9" hidden="1" x14ac:dyDescent="0.2">
      <c r="B301" s="231">
        <v>45733</v>
      </c>
      <c r="C301" s="232">
        <v>112</v>
      </c>
      <c r="D301" s="232" t="str">
        <f>IFERROR(VLOOKUP(C301,'Neraca Saldo'!$B$6:$C$56,2,0),"")</f>
        <v>Kas</v>
      </c>
      <c r="E301" s="194" t="s">
        <v>971</v>
      </c>
      <c r="F301" s="234" t="s">
        <v>838</v>
      </c>
      <c r="G301" s="232"/>
      <c r="H301" s="236">
        <f>I300</f>
        <v>0</v>
      </c>
      <c r="I301" s="236">
        <f>H300</f>
        <v>100000</v>
      </c>
    </row>
    <row r="302" spans="2:9" hidden="1" x14ac:dyDescent="0.2">
      <c r="B302" s="231">
        <v>45733</v>
      </c>
      <c r="C302" s="232">
        <v>313</v>
      </c>
      <c r="D302" s="232" t="str">
        <f>IFERROR(VLOOKUP(C302,'Neraca Saldo'!$B$6:$C$56,2,0),"")</f>
        <v>(Laba)/Rugi ditahan</v>
      </c>
      <c r="E302" s="194" t="s">
        <v>972</v>
      </c>
      <c r="F302" s="234" t="s">
        <v>838</v>
      </c>
      <c r="G302" s="232"/>
      <c r="H302" s="188">
        <v>1000000</v>
      </c>
      <c r="I302" s="236">
        <v>0</v>
      </c>
    </row>
    <row r="303" spans="2:9" hidden="1" x14ac:dyDescent="0.2">
      <c r="B303" s="231">
        <v>45733</v>
      </c>
      <c r="C303" s="232">
        <v>112</v>
      </c>
      <c r="D303" s="232" t="str">
        <f>IFERROR(VLOOKUP(C303,'Neraca Saldo'!$B$6:$C$56,2,0),"")</f>
        <v>Kas</v>
      </c>
      <c r="E303" s="194" t="s">
        <v>972</v>
      </c>
      <c r="F303" s="234" t="s">
        <v>838</v>
      </c>
      <c r="G303" s="232"/>
      <c r="H303" s="236">
        <f>I302</f>
        <v>0</v>
      </c>
      <c r="I303" s="236">
        <f>H302</f>
        <v>1000000</v>
      </c>
    </row>
    <row r="304" spans="2:9" hidden="1" x14ac:dyDescent="0.2">
      <c r="B304" s="238">
        <v>45733</v>
      </c>
      <c r="C304" s="239">
        <v>111</v>
      </c>
      <c r="D304" s="239" t="str">
        <f>IFERROR(VLOOKUP(C304,'Neraca Saldo'!$B$6:$C$56,2,0),"")</f>
        <v>Bank</v>
      </c>
      <c r="E304" s="258" t="s">
        <v>927</v>
      </c>
      <c r="F304" s="244" t="s">
        <v>77</v>
      </c>
      <c r="G304" s="239"/>
      <c r="H304" s="245">
        <v>15000000</v>
      </c>
      <c r="I304" s="240">
        <v>0</v>
      </c>
    </row>
    <row r="305" spans="2:9" hidden="1" x14ac:dyDescent="0.2">
      <c r="B305" s="238">
        <v>45733</v>
      </c>
      <c r="C305" s="239">
        <v>212</v>
      </c>
      <c r="D305" s="239" t="str">
        <f>IFERROR(VLOOKUP(C305,'Neraca Saldo'!$B$6:$C$56,2,0),"")</f>
        <v>Simpanan Karyawan</v>
      </c>
      <c r="E305" s="258" t="s">
        <v>927</v>
      </c>
      <c r="F305" s="244" t="s">
        <v>77</v>
      </c>
      <c r="G305" s="239"/>
      <c r="H305" s="240">
        <f>I304</f>
        <v>0</v>
      </c>
      <c r="I305" s="240">
        <f>H304</f>
        <v>15000000</v>
      </c>
    </row>
    <row r="306" spans="2:9" hidden="1" x14ac:dyDescent="0.2">
      <c r="B306" s="238">
        <v>45733</v>
      </c>
      <c r="C306" s="239">
        <v>111</v>
      </c>
      <c r="D306" s="239" t="str">
        <f>IFERROR(VLOOKUP(C306,'Neraca Saldo'!$B$6:$C$56,2,0),"")</f>
        <v>Bank</v>
      </c>
      <c r="E306" s="258" t="s">
        <v>940</v>
      </c>
      <c r="F306" s="244" t="s">
        <v>77</v>
      </c>
      <c r="G306" s="239"/>
      <c r="H306" s="245">
        <v>4000000</v>
      </c>
      <c r="I306" s="240">
        <v>0</v>
      </c>
    </row>
    <row r="307" spans="2:9" hidden="1" x14ac:dyDescent="0.2">
      <c r="B307" s="238">
        <v>45733</v>
      </c>
      <c r="C307" s="239">
        <v>212</v>
      </c>
      <c r="D307" s="239" t="str">
        <f>IFERROR(VLOOKUP(C307,'Neraca Saldo'!$B$6:$C$56,2,0),"")</f>
        <v>Simpanan Karyawan</v>
      </c>
      <c r="E307" s="258" t="s">
        <v>940</v>
      </c>
      <c r="F307" s="244" t="s">
        <v>77</v>
      </c>
      <c r="G307" s="239"/>
      <c r="H307" s="240">
        <f>I306</f>
        <v>0</v>
      </c>
      <c r="I307" s="240">
        <f>H306</f>
        <v>4000000</v>
      </c>
    </row>
    <row r="308" spans="2:9" x14ac:dyDescent="0.2">
      <c r="B308" s="231">
        <v>45734</v>
      </c>
      <c r="C308" s="232">
        <v>513</v>
      </c>
      <c r="D308" s="232" t="str">
        <f>IFERROR(VLOOKUP(C308,'Neraca Saldo'!$B$6:$C$56,2,0),"")</f>
        <v>Beban Pengurus dan Anggota</v>
      </c>
      <c r="E308" s="194" t="s">
        <v>973</v>
      </c>
      <c r="F308" s="234" t="s">
        <v>838</v>
      </c>
      <c r="G308" s="232"/>
      <c r="H308" s="188">
        <v>300000</v>
      </c>
      <c r="I308" s="236">
        <v>0</v>
      </c>
    </row>
    <row r="309" spans="2:9" hidden="1" x14ac:dyDescent="0.2">
      <c r="B309" s="231">
        <v>45734</v>
      </c>
      <c r="C309" s="232">
        <v>112</v>
      </c>
      <c r="D309" s="232" t="str">
        <f>IFERROR(VLOOKUP(C309,'Neraca Saldo'!$B$6:$C$56,2,0),"")</f>
        <v>Kas</v>
      </c>
      <c r="E309" s="194" t="s">
        <v>973</v>
      </c>
      <c r="F309" s="234" t="s">
        <v>838</v>
      </c>
      <c r="G309" s="232"/>
      <c r="H309" s="236">
        <f>I308</f>
        <v>0</v>
      </c>
      <c r="I309" s="236">
        <f>H308</f>
        <v>300000</v>
      </c>
    </row>
    <row r="310" spans="2:9" hidden="1" x14ac:dyDescent="0.2">
      <c r="B310" s="231">
        <v>45734</v>
      </c>
      <c r="C310" s="232">
        <v>517</v>
      </c>
      <c r="D310" s="232" t="str">
        <f>IFERROR(VLOOKUP(C310,'Neraca Saldo'!$B$6:$C$56,2,0),"")</f>
        <v>Beban Transport</v>
      </c>
      <c r="E310" s="194" t="s">
        <v>974</v>
      </c>
      <c r="F310" s="234" t="s">
        <v>838</v>
      </c>
      <c r="G310" s="232"/>
      <c r="H310" s="188">
        <v>500000</v>
      </c>
      <c r="I310" s="236">
        <v>0</v>
      </c>
    </row>
    <row r="311" spans="2:9" hidden="1" x14ac:dyDescent="0.2">
      <c r="B311" s="231">
        <v>45734</v>
      </c>
      <c r="C311" s="232">
        <v>112</v>
      </c>
      <c r="D311" s="232" t="str">
        <f>IFERROR(VLOOKUP(C311,'Neraca Saldo'!$B$6:$C$56,2,0),"")</f>
        <v>Kas</v>
      </c>
      <c r="E311" s="194" t="s">
        <v>974</v>
      </c>
      <c r="F311" s="234" t="s">
        <v>838</v>
      </c>
      <c r="G311" s="232"/>
      <c r="H311" s="236">
        <f>I310</f>
        <v>0</v>
      </c>
      <c r="I311" s="236">
        <f>H310</f>
        <v>500000</v>
      </c>
    </row>
    <row r="312" spans="2:9" hidden="1" x14ac:dyDescent="0.2">
      <c r="B312" s="231">
        <v>45740</v>
      </c>
      <c r="C312" s="232">
        <v>112</v>
      </c>
      <c r="D312" s="232" t="str">
        <f>IFERROR(VLOOKUP(C312,'Neraca Saldo'!$B$6:$C$56,2,0),"")</f>
        <v>Kas</v>
      </c>
      <c r="E312" s="232" t="s">
        <v>838</v>
      </c>
      <c r="F312" s="234" t="s">
        <v>77</v>
      </c>
      <c r="G312" s="232"/>
      <c r="H312" s="196">
        <v>30000000</v>
      </c>
      <c r="I312" s="236">
        <v>0</v>
      </c>
    </row>
    <row r="313" spans="2:9" hidden="1" x14ac:dyDescent="0.2">
      <c r="B313" s="231">
        <v>45740</v>
      </c>
      <c r="C313" s="232">
        <v>111</v>
      </c>
      <c r="D313" s="232" t="str">
        <f>IFERROR(VLOOKUP(C313,'Neraca Saldo'!$B$6:$C$56,2,0),"")</f>
        <v>Bank</v>
      </c>
      <c r="E313" s="232" t="s">
        <v>838</v>
      </c>
      <c r="F313" s="234" t="s">
        <v>77</v>
      </c>
      <c r="G313" s="232"/>
      <c r="H313" s="236">
        <f>I312</f>
        <v>0</v>
      </c>
      <c r="I313" s="236">
        <f>H312</f>
        <v>30000000</v>
      </c>
    </row>
    <row r="314" spans="2:9" hidden="1" x14ac:dyDescent="0.2">
      <c r="B314" s="231">
        <v>45740</v>
      </c>
      <c r="C314" s="232">
        <v>515</v>
      </c>
      <c r="D314" s="232" t="str">
        <f>IFERROR(VLOOKUP(C314,'Neraca Saldo'!$B$6:$C$56,2,0),"")</f>
        <v>Beban Gaji</v>
      </c>
      <c r="E314" s="194" t="s">
        <v>975</v>
      </c>
      <c r="F314" s="232" t="s">
        <v>838</v>
      </c>
      <c r="G314" s="232"/>
      <c r="H314" s="188">
        <v>4080000</v>
      </c>
      <c r="I314" s="236">
        <v>0</v>
      </c>
    </row>
    <row r="315" spans="2:9" hidden="1" x14ac:dyDescent="0.2">
      <c r="B315" s="231">
        <v>45740</v>
      </c>
      <c r="C315" s="232">
        <v>112</v>
      </c>
      <c r="D315" s="232" t="str">
        <f>IFERROR(VLOOKUP(C315,'Neraca Saldo'!$B$6:$C$56,2,0),"")</f>
        <v>Kas</v>
      </c>
      <c r="E315" s="194" t="s">
        <v>975</v>
      </c>
      <c r="F315" s="232" t="s">
        <v>838</v>
      </c>
      <c r="G315" s="232"/>
      <c r="H315" s="236">
        <f>I314</f>
        <v>0</v>
      </c>
      <c r="I315" s="236">
        <f>H314</f>
        <v>4080000</v>
      </c>
    </row>
    <row r="316" spans="2:9" hidden="1" x14ac:dyDescent="0.2">
      <c r="B316" s="231">
        <v>45740</v>
      </c>
      <c r="C316" s="232">
        <v>515</v>
      </c>
      <c r="D316" s="232" t="str">
        <f>IFERROR(VLOOKUP(C316,'Neraca Saldo'!$B$6:$C$56,2,0),"")</f>
        <v>Beban Gaji</v>
      </c>
      <c r="E316" s="194" t="s">
        <v>976</v>
      </c>
      <c r="F316" s="232" t="s">
        <v>838</v>
      </c>
      <c r="G316" s="232"/>
      <c r="H316" s="188">
        <v>3780000</v>
      </c>
      <c r="I316" s="236">
        <v>0</v>
      </c>
    </row>
    <row r="317" spans="2:9" hidden="1" x14ac:dyDescent="0.2">
      <c r="B317" s="231">
        <v>45740</v>
      </c>
      <c r="C317" s="232">
        <v>112</v>
      </c>
      <c r="D317" s="232" t="str">
        <f>IFERROR(VLOOKUP(C317,'Neraca Saldo'!$B$6:$C$56,2,0),"")</f>
        <v>Kas</v>
      </c>
      <c r="E317" s="194" t="s">
        <v>976</v>
      </c>
      <c r="F317" s="232" t="s">
        <v>838</v>
      </c>
      <c r="G317" s="232"/>
      <c r="H317" s="236">
        <f t="shared" ref="H317:H345" si="2">I316</f>
        <v>0</v>
      </c>
      <c r="I317" s="236">
        <f t="shared" ref="I317:I345" si="3">H316</f>
        <v>3780000</v>
      </c>
    </row>
    <row r="318" spans="2:9" hidden="1" x14ac:dyDescent="0.2">
      <c r="B318" s="238">
        <v>45740</v>
      </c>
      <c r="C318" s="239">
        <v>111</v>
      </c>
      <c r="D318" s="239" t="str">
        <f>IFERROR(VLOOKUP(C318,'Neraca Saldo'!$B$6:$C$56,2,0),"")</f>
        <v>Bank</v>
      </c>
      <c r="E318" s="258" t="s">
        <v>979</v>
      </c>
      <c r="F318" s="239" t="s">
        <v>77</v>
      </c>
      <c r="G318" s="239"/>
      <c r="H318" s="245">
        <v>4909750</v>
      </c>
      <c r="I318" s="240">
        <v>0</v>
      </c>
    </row>
    <row r="319" spans="2:9" hidden="1" x14ac:dyDescent="0.2">
      <c r="B319" s="238">
        <v>45740</v>
      </c>
      <c r="C319" s="239">
        <v>411</v>
      </c>
      <c r="D319" s="239" t="str">
        <f>IFERROR(VLOOKUP(C319,'Neraca Saldo'!$B$6:$C$56,2,0),"")</f>
        <v>Pendapatan Toko</v>
      </c>
      <c r="E319" s="258" t="s">
        <v>979</v>
      </c>
      <c r="F319" s="239" t="s">
        <v>77</v>
      </c>
      <c r="G319" s="239"/>
      <c r="H319" s="240">
        <f t="shared" si="2"/>
        <v>0</v>
      </c>
      <c r="I319" s="240">
        <f t="shared" si="3"/>
        <v>4909750</v>
      </c>
    </row>
    <row r="320" spans="2:9" hidden="1" x14ac:dyDescent="0.2">
      <c r="B320" s="238">
        <v>45740</v>
      </c>
      <c r="C320" s="239">
        <v>111</v>
      </c>
      <c r="D320" s="239" t="str">
        <f>IFERROR(VLOOKUP(C320,'Neraca Saldo'!$B$6:$C$56,2,0),"")</f>
        <v>Bank</v>
      </c>
      <c r="E320" s="206" t="s">
        <v>980</v>
      </c>
      <c r="F320" s="239" t="s">
        <v>77</v>
      </c>
      <c r="G320" s="239"/>
      <c r="H320" s="245">
        <v>1200000</v>
      </c>
      <c r="I320" s="240">
        <v>0</v>
      </c>
    </row>
    <row r="321" spans="2:9" hidden="1" x14ac:dyDescent="0.2">
      <c r="B321" s="238">
        <v>45740</v>
      </c>
      <c r="C321" s="239">
        <v>212</v>
      </c>
      <c r="D321" s="239" t="str">
        <f>IFERROR(VLOOKUP(C321,'Neraca Saldo'!$B$6:$C$56,2,0),"")</f>
        <v>Simpanan Karyawan</v>
      </c>
      <c r="E321" s="206" t="s">
        <v>980</v>
      </c>
      <c r="F321" s="239" t="s">
        <v>77</v>
      </c>
      <c r="G321" s="239"/>
      <c r="H321" s="240">
        <f t="shared" si="2"/>
        <v>0</v>
      </c>
      <c r="I321" s="240">
        <f t="shared" si="3"/>
        <v>1200000</v>
      </c>
    </row>
    <row r="322" spans="2:9" hidden="1" x14ac:dyDescent="0.2">
      <c r="B322" s="238">
        <v>45740</v>
      </c>
      <c r="C322" s="239">
        <v>111</v>
      </c>
      <c r="D322" s="239" t="str">
        <f>IFERROR(VLOOKUP(C322,'Neraca Saldo'!$B$6:$C$56,2,0),"")</f>
        <v>Bank</v>
      </c>
      <c r="E322" s="206" t="s">
        <v>981</v>
      </c>
      <c r="F322" s="239" t="s">
        <v>77</v>
      </c>
      <c r="G322" s="239"/>
      <c r="H322" s="245">
        <v>61600000</v>
      </c>
      <c r="I322" s="240">
        <v>0</v>
      </c>
    </row>
    <row r="323" spans="2:9" hidden="1" x14ac:dyDescent="0.2">
      <c r="B323" s="238">
        <v>45740</v>
      </c>
      <c r="C323" s="239">
        <v>212</v>
      </c>
      <c r="D323" s="239" t="str">
        <f>IFERROR(VLOOKUP(C323,'Neraca Saldo'!$B$6:$C$56,2,0),"")</f>
        <v>Simpanan Karyawan</v>
      </c>
      <c r="E323" s="206" t="s">
        <v>981</v>
      </c>
      <c r="F323" s="239" t="s">
        <v>77</v>
      </c>
      <c r="G323" s="239"/>
      <c r="H323" s="240">
        <f t="shared" si="2"/>
        <v>0</v>
      </c>
      <c r="I323" s="240">
        <f t="shared" si="3"/>
        <v>61600000</v>
      </c>
    </row>
    <row r="324" spans="2:9" hidden="1" x14ac:dyDescent="0.2">
      <c r="B324" s="238">
        <v>45740</v>
      </c>
      <c r="C324" s="239">
        <v>111</v>
      </c>
      <c r="D324" s="239" t="str">
        <f>IFERROR(VLOOKUP(C324,'Neraca Saldo'!$B$6:$C$56,2,0),"")</f>
        <v>Bank</v>
      </c>
      <c r="E324" s="206" t="s">
        <v>982</v>
      </c>
      <c r="F324" s="239" t="s">
        <v>77</v>
      </c>
      <c r="G324" s="239"/>
      <c r="H324" s="245">
        <v>30187000</v>
      </c>
      <c r="I324" s="240">
        <v>0</v>
      </c>
    </row>
    <row r="325" spans="2:9" hidden="1" x14ac:dyDescent="0.2">
      <c r="B325" s="238">
        <v>45740</v>
      </c>
      <c r="C325" s="239">
        <v>212</v>
      </c>
      <c r="D325" s="239" t="str">
        <f>IFERROR(VLOOKUP(C325,'Neraca Saldo'!$B$6:$C$56,2,0),"")</f>
        <v>Simpanan Karyawan</v>
      </c>
      <c r="E325" s="206" t="s">
        <v>982</v>
      </c>
      <c r="F325" s="239" t="s">
        <v>77</v>
      </c>
      <c r="G325" s="239"/>
      <c r="H325" s="240">
        <f t="shared" si="2"/>
        <v>0</v>
      </c>
      <c r="I325" s="240">
        <f t="shared" si="3"/>
        <v>30187000</v>
      </c>
    </row>
    <row r="326" spans="2:9" hidden="1" x14ac:dyDescent="0.2">
      <c r="B326" s="238">
        <v>45740</v>
      </c>
      <c r="C326" s="239">
        <v>111</v>
      </c>
      <c r="D326" s="239" t="str">
        <f>IFERROR(VLOOKUP(C326,'Neraca Saldo'!$B$6:$C$56,2,0),"")</f>
        <v>Bank</v>
      </c>
      <c r="E326" s="206" t="s">
        <v>983</v>
      </c>
      <c r="F326" s="239" t="s">
        <v>77</v>
      </c>
      <c r="G326" s="239"/>
      <c r="H326" s="245">
        <v>5740000</v>
      </c>
      <c r="I326" s="240">
        <v>0</v>
      </c>
    </row>
    <row r="327" spans="2:9" hidden="1" x14ac:dyDescent="0.2">
      <c r="B327" s="238">
        <v>45740</v>
      </c>
      <c r="C327" s="239">
        <v>222</v>
      </c>
      <c r="D327" s="239" t="str">
        <f>IFERROR(VLOOKUP(C327,'Neraca Saldo'!$B$6:$C$56,2,0),"")</f>
        <v>Hutang SPN</v>
      </c>
      <c r="E327" s="206" t="s">
        <v>983</v>
      </c>
      <c r="F327" s="239" t="s">
        <v>77</v>
      </c>
      <c r="G327" s="239"/>
      <c r="H327" s="240">
        <f t="shared" si="2"/>
        <v>0</v>
      </c>
      <c r="I327" s="240">
        <f t="shared" si="3"/>
        <v>5740000</v>
      </c>
    </row>
    <row r="328" spans="2:9" hidden="1" x14ac:dyDescent="0.2">
      <c r="B328" s="238">
        <v>45740</v>
      </c>
      <c r="C328" s="239">
        <v>111</v>
      </c>
      <c r="D328" s="239" t="str">
        <f>IFERROR(VLOOKUP(C328,'Neraca Saldo'!$B$6:$C$56,2,0),"")</f>
        <v>Bank</v>
      </c>
      <c r="E328" s="206" t="s">
        <v>984</v>
      </c>
      <c r="F328" s="239" t="s">
        <v>77</v>
      </c>
      <c r="G328" s="239"/>
      <c r="H328" s="245">
        <v>61837779</v>
      </c>
      <c r="I328" s="240">
        <v>0</v>
      </c>
    </row>
    <row r="329" spans="2:9" hidden="1" x14ac:dyDescent="0.2">
      <c r="B329" s="238">
        <v>45740</v>
      </c>
      <c r="C329" s="239">
        <v>121</v>
      </c>
      <c r="D329" s="239" t="str">
        <f>IFERROR(VLOOKUP(C329,'Neraca Saldo'!$B$6:$C$56,2,0),"")</f>
        <v>Piutang Anggota</v>
      </c>
      <c r="E329" s="206" t="s">
        <v>984</v>
      </c>
      <c r="F329" s="239" t="s">
        <v>77</v>
      </c>
      <c r="G329" s="239"/>
      <c r="H329" s="240">
        <f t="shared" si="2"/>
        <v>0</v>
      </c>
      <c r="I329" s="240">
        <f t="shared" si="3"/>
        <v>61837779</v>
      </c>
    </row>
    <row r="330" spans="2:9" hidden="1" x14ac:dyDescent="0.2">
      <c r="B330" s="238">
        <v>45740</v>
      </c>
      <c r="C330" s="239">
        <v>111</v>
      </c>
      <c r="D330" s="239" t="str">
        <f>IFERROR(VLOOKUP(C330,'Neraca Saldo'!$B$6:$C$56,2,0),"")</f>
        <v>Bank</v>
      </c>
      <c r="E330" s="206" t="s">
        <v>985</v>
      </c>
      <c r="F330" s="239" t="s">
        <v>77</v>
      </c>
      <c r="G330" s="239"/>
      <c r="H330" s="245">
        <v>142476167</v>
      </c>
      <c r="I330" s="240">
        <v>0</v>
      </c>
    </row>
    <row r="331" spans="2:9" hidden="1" x14ac:dyDescent="0.2">
      <c r="B331" s="238">
        <v>45740</v>
      </c>
      <c r="C331" s="239">
        <v>121</v>
      </c>
      <c r="D331" s="239" t="str">
        <f>IFERROR(VLOOKUP(C331,'Neraca Saldo'!$B$6:$C$56,2,0),"")</f>
        <v>Piutang Anggota</v>
      </c>
      <c r="E331" s="206" t="s">
        <v>985</v>
      </c>
      <c r="F331" s="239" t="s">
        <v>77</v>
      </c>
      <c r="G331" s="239"/>
      <c r="H331" s="240">
        <f t="shared" si="2"/>
        <v>0</v>
      </c>
      <c r="I331" s="240">
        <f t="shared" si="3"/>
        <v>142476167</v>
      </c>
    </row>
    <row r="332" spans="2:9" hidden="1" x14ac:dyDescent="0.2">
      <c r="B332" s="231">
        <v>45740</v>
      </c>
      <c r="C332" s="232">
        <v>411</v>
      </c>
      <c r="D332" s="232" t="str">
        <f>IFERROR(VLOOKUP(C332,'Neraca Saldo'!$B$6:$C$56,2,0),"")</f>
        <v>Pendapatan Toko</v>
      </c>
      <c r="E332" s="259" t="s">
        <v>979</v>
      </c>
      <c r="F332" s="232" t="s">
        <v>77</v>
      </c>
      <c r="G332" s="232"/>
      <c r="H332" s="246">
        <v>4909750</v>
      </c>
      <c r="I332" s="236">
        <v>0</v>
      </c>
    </row>
    <row r="333" spans="2:9" hidden="1" x14ac:dyDescent="0.2">
      <c r="B333" s="231">
        <v>45740</v>
      </c>
      <c r="C333" s="232">
        <v>111</v>
      </c>
      <c r="D333" s="232" t="str">
        <f>IFERROR(VLOOKUP(C333,'Neraca Saldo'!$B$6:$C$56,2,0),"")</f>
        <v>Bank</v>
      </c>
      <c r="E333" s="259" t="s">
        <v>979</v>
      </c>
      <c r="F333" s="232" t="s">
        <v>77</v>
      </c>
      <c r="G333" s="232"/>
      <c r="H333" s="236">
        <f t="shared" si="2"/>
        <v>0</v>
      </c>
      <c r="I333" s="236">
        <f t="shared" si="3"/>
        <v>4909750</v>
      </c>
    </row>
    <row r="334" spans="2:9" hidden="1" x14ac:dyDescent="0.2">
      <c r="B334" s="231">
        <v>45740</v>
      </c>
      <c r="C334" s="232">
        <v>124</v>
      </c>
      <c r="D334" s="232" t="str">
        <f>IFERROR(VLOOKUP(C334,'Neraca Saldo'!$B$6:$C$56,2,0),"")</f>
        <v>Piutang USP</v>
      </c>
      <c r="E334" s="205" t="s">
        <v>982</v>
      </c>
      <c r="F334" s="232" t="s">
        <v>77</v>
      </c>
      <c r="G334" s="232"/>
      <c r="H334" s="246">
        <v>30187000</v>
      </c>
      <c r="I334" s="236">
        <v>0</v>
      </c>
    </row>
    <row r="335" spans="2:9" hidden="1" x14ac:dyDescent="0.2">
      <c r="B335" s="231">
        <v>45740</v>
      </c>
      <c r="C335" s="232">
        <v>111</v>
      </c>
      <c r="D335" s="232" t="str">
        <f>IFERROR(VLOOKUP(C335,'Neraca Saldo'!$B$6:$C$56,2,0),"")</f>
        <v>Bank</v>
      </c>
      <c r="E335" s="205" t="s">
        <v>982</v>
      </c>
      <c r="F335" s="232" t="s">
        <v>77</v>
      </c>
      <c r="G335" s="232"/>
      <c r="H335" s="236">
        <f t="shared" si="2"/>
        <v>0</v>
      </c>
      <c r="I335" s="236">
        <f t="shared" si="3"/>
        <v>30187000</v>
      </c>
    </row>
    <row r="336" spans="2:9" hidden="1" x14ac:dyDescent="0.2">
      <c r="B336" s="231">
        <v>45740</v>
      </c>
      <c r="C336" s="232">
        <v>222</v>
      </c>
      <c r="D336" s="232" t="str">
        <f>IFERROR(VLOOKUP(C336,'Neraca Saldo'!$B$6:$C$56,2,0),"")</f>
        <v>Hutang SPN</v>
      </c>
      <c r="E336" s="205" t="s">
        <v>983</v>
      </c>
      <c r="F336" s="232" t="s">
        <v>77</v>
      </c>
      <c r="G336" s="232"/>
      <c r="H336" s="246">
        <v>5740000</v>
      </c>
      <c r="I336" s="236">
        <v>0</v>
      </c>
    </row>
    <row r="337" spans="2:9" hidden="1" x14ac:dyDescent="0.2">
      <c r="B337" s="231">
        <v>45740</v>
      </c>
      <c r="C337" s="232">
        <v>111</v>
      </c>
      <c r="D337" s="232" t="str">
        <f>IFERROR(VLOOKUP(C337,'Neraca Saldo'!$B$6:$C$56,2,0),"")</f>
        <v>Bank</v>
      </c>
      <c r="E337" s="205" t="s">
        <v>983</v>
      </c>
      <c r="F337" s="232" t="s">
        <v>77</v>
      </c>
      <c r="G337" s="232"/>
      <c r="H337" s="236">
        <f t="shared" si="2"/>
        <v>0</v>
      </c>
      <c r="I337" s="236">
        <f t="shared" si="3"/>
        <v>5740000</v>
      </c>
    </row>
    <row r="338" spans="2:9" hidden="1" x14ac:dyDescent="0.2">
      <c r="B338" s="231">
        <v>45740</v>
      </c>
      <c r="C338" s="232">
        <v>126</v>
      </c>
      <c r="D338" s="232" t="str">
        <f>IFERROR(VLOOKUP(C338,'Neraca Saldo'!$B$6:$C$56,2,0),"")</f>
        <v>Piutang Pengadaan</v>
      </c>
      <c r="E338" s="205" t="s">
        <v>984</v>
      </c>
      <c r="F338" s="232" t="s">
        <v>77</v>
      </c>
      <c r="G338" s="232"/>
      <c r="H338" s="246">
        <v>61837779</v>
      </c>
      <c r="I338" s="236">
        <v>0</v>
      </c>
    </row>
    <row r="339" spans="2:9" hidden="1" x14ac:dyDescent="0.2">
      <c r="B339" s="231">
        <v>45740</v>
      </c>
      <c r="C339" s="232">
        <v>111</v>
      </c>
      <c r="D339" s="232" t="str">
        <f>IFERROR(VLOOKUP(C339,'Neraca Saldo'!$B$6:$C$56,2,0),"")</f>
        <v>Bank</v>
      </c>
      <c r="E339" s="205" t="s">
        <v>984</v>
      </c>
      <c r="F339" s="232" t="s">
        <v>77</v>
      </c>
      <c r="G339" s="232"/>
      <c r="H339" s="236">
        <f t="shared" si="2"/>
        <v>0</v>
      </c>
      <c r="I339" s="236">
        <f t="shared" si="3"/>
        <v>61837779</v>
      </c>
    </row>
    <row r="340" spans="2:9" hidden="1" x14ac:dyDescent="0.2">
      <c r="B340" s="231">
        <v>45740</v>
      </c>
      <c r="C340" s="232">
        <v>124</v>
      </c>
      <c r="D340" s="232" t="str">
        <f>IFERROR(VLOOKUP(C340,'Neraca Saldo'!$B$6:$C$56,2,0),"")</f>
        <v>Piutang USP</v>
      </c>
      <c r="E340" s="205" t="s">
        <v>985</v>
      </c>
      <c r="F340" s="232" t="s">
        <v>77</v>
      </c>
      <c r="G340" s="232"/>
      <c r="H340" s="246">
        <v>142476167</v>
      </c>
      <c r="I340" s="236">
        <v>0</v>
      </c>
    </row>
    <row r="341" spans="2:9" hidden="1" x14ac:dyDescent="0.2">
      <c r="B341" s="231">
        <v>45740</v>
      </c>
      <c r="C341" s="232">
        <v>111</v>
      </c>
      <c r="D341" s="232" t="str">
        <f>IFERROR(VLOOKUP(C341,'Neraca Saldo'!$B$6:$C$56,2,0),"")</f>
        <v>Bank</v>
      </c>
      <c r="E341" s="205" t="s">
        <v>985</v>
      </c>
      <c r="F341" s="232" t="s">
        <v>77</v>
      </c>
      <c r="G341" s="232"/>
      <c r="H341" s="236">
        <f t="shared" si="2"/>
        <v>0</v>
      </c>
      <c r="I341" s="236">
        <f t="shared" si="3"/>
        <v>142476167</v>
      </c>
    </row>
    <row r="342" spans="2:9" hidden="1" x14ac:dyDescent="0.2">
      <c r="B342" s="231">
        <v>45740</v>
      </c>
      <c r="C342" s="232">
        <v>126</v>
      </c>
      <c r="D342" s="232" t="str">
        <f>IFERROR(VLOOKUP(C342,'Neraca Saldo'!$B$6:$C$56,2,0),"")</f>
        <v>Piutang Pengadaan</v>
      </c>
      <c r="E342" s="259" t="s">
        <v>836</v>
      </c>
      <c r="F342" s="232" t="s">
        <v>77</v>
      </c>
      <c r="G342" s="232"/>
      <c r="H342" s="196">
        <v>75000000</v>
      </c>
      <c r="I342" s="236">
        <v>0</v>
      </c>
    </row>
    <row r="343" spans="2:9" hidden="1" x14ac:dyDescent="0.2">
      <c r="B343" s="231">
        <v>45740</v>
      </c>
      <c r="C343" s="232">
        <v>111</v>
      </c>
      <c r="D343" s="232" t="str">
        <f>IFERROR(VLOOKUP(C343,'Neraca Saldo'!$B$6:$C$56,2,0),"")</f>
        <v>Bank</v>
      </c>
      <c r="E343" s="259" t="s">
        <v>836</v>
      </c>
      <c r="F343" s="232" t="s">
        <v>77</v>
      </c>
      <c r="G343" s="232"/>
      <c r="H343" s="236">
        <f t="shared" si="2"/>
        <v>0</v>
      </c>
      <c r="I343" s="236">
        <f t="shared" si="3"/>
        <v>75000000</v>
      </c>
    </row>
    <row r="344" spans="2:9" hidden="1" x14ac:dyDescent="0.2">
      <c r="B344" s="231">
        <v>45740</v>
      </c>
      <c r="C344" s="232">
        <v>124</v>
      </c>
      <c r="D344" s="232" t="str">
        <f>IFERROR(VLOOKUP(C344,'Neraca Saldo'!$B$6:$C$56,2,0),"")</f>
        <v>Piutang USP</v>
      </c>
      <c r="E344" s="233" t="s">
        <v>947</v>
      </c>
      <c r="F344" s="232" t="s">
        <v>77</v>
      </c>
      <c r="G344" s="232"/>
      <c r="H344" s="196">
        <v>50000000</v>
      </c>
      <c r="I344" s="236">
        <v>0</v>
      </c>
    </row>
    <row r="345" spans="2:9" hidden="1" x14ac:dyDescent="0.2">
      <c r="B345" s="231">
        <v>45740</v>
      </c>
      <c r="C345" s="232">
        <v>111</v>
      </c>
      <c r="D345" s="232" t="str">
        <f>IFERROR(VLOOKUP(C345,'Neraca Saldo'!$B$6:$C$56,2,0),"")</f>
        <v>Bank</v>
      </c>
      <c r="E345" s="233" t="s">
        <v>947</v>
      </c>
      <c r="F345" s="232" t="s">
        <v>77</v>
      </c>
      <c r="G345" s="232"/>
      <c r="H345" s="236">
        <f t="shared" si="2"/>
        <v>0</v>
      </c>
      <c r="I345" s="236">
        <f t="shared" si="3"/>
        <v>50000000</v>
      </c>
    </row>
    <row r="346" spans="2:9" x14ac:dyDescent="0.2">
      <c r="B346" s="231">
        <v>45742</v>
      </c>
      <c r="C346" s="232">
        <v>513</v>
      </c>
      <c r="D346" s="232" t="str">
        <f>IFERROR(VLOOKUP(C346,'Neraca Saldo'!$B$6:$C$56,2,0),"")</f>
        <v>Beban Pengurus dan Anggota</v>
      </c>
      <c r="E346" s="194" t="s">
        <v>977</v>
      </c>
      <c r="F346" s="232" t="s">
        <v>838</v>
      </c>
      <c r="G346" s="232"/>
      <c r="H346" s="188">
        <v>1584000</v>
      </c>
      <c r="I346" s="236">
        <v>0</v>
      </c>
    </row>
    <row r="347" spans="2:9" hidden="1" x14ac:dyDescent="0.2">
      <c r="B347" s="231">
        <v>45742</v>
      </c>
      <c r="C347" s="232">
        <v>112</v>
      </c>
      <c r="D347" s="232" t="str">
        <f>IFERROR(VLOOKUP(C347,'Neraca Saldo'!$B$6:$C$56,2,0),"")</f>
        <v>Kas</v>
      </c>
      <c r="E347" s="194" t="s">
        <v>977</v>
      </c>
      <c r="F347" s="232" t="s">
        <v>838</v>
      </c>
      <c r="G347" s="232"/>
      <c r="H347" s="236">
        <f>I346</f>
        <v>0</v>
      </c>
      <c r="I347" s="236">
        <f>H346</f>
        <v>1584000</v>
      </c>
    </row>
    <row r="348" spans="2:9" hidden="1" x14ac:dyDescent="0.2">
      <c r="B348" s="238">
        <v>45747</v>
      </c>
      <c r="C348" s="239">
        <v>111</v>
      </c>
      <c r="D348" s="239" t="str">
        <f>IFERROR(VLOOKUP(C348,'Neraca Saldo'!$B$6:$C$56,2,0),"")</f>
        <v>Bank</v>
      </c>
      <c r="E348" s="258" t="s">
        <v>57</v>
      </c>
      <c r="F348" s="244" t="s">
        <v>77</v>
      </c>
      <c r="G348" s="239"/>
      <c r="H348" s="190">
        <v>71310</v>
      </c>
      <c r="I348" s="240">
        <v>0</v>
      </c>
    </row>
    <row r="349" spans="2:9" hidden="1" x14ac:dyDescent="0.2">
      <c r="B349" s="238">
        <v>45747</v>
      </c>
      <c r="C349" s="239">
        <v>413</v>
      </c>
      <c r="D349" s="239" t="str">
        <f>IFERROR(VLOOKUP(C349,'Neraca Saldo'!$B$6:$C$56,2,0),"")</f>
        <v>Pendapatan Jasa Bank</v>
      </c>
      <c r="E349" s="258" t="s">
        <v>57</v>
      </c>
      <c r="F349" s="244" t="s">
        <v>77</v>
      </c>
      <c r="G349" s="239"/>
      <c r="H349" s="240">
        <f>I348</f>
        <v>0</v>
      </c>
      <c r="I349" s="240">
        <f>H348</f>
        <v>71310</v>
      </c>
    </row>
    <row r="350" spans="2:9" hidden="1" x14ac:dyDescent="0.2">
      <c r="B350" s="231">
        <v>45747</v>
      </c>
      <c r="C350" s="232">
        <v>521</v>
      </c>
      <c r="D350" s="232" t="str">
        <f>IFERROR(VLOOKUP(C350,'Neraca Saldo'!$B$6:$C$56,2,0),"")</f>
        <v>Beban Biaya Bank</v>
      </c>
      <c r="E350" s="259" t="s">
        <v>94</v>
      </c>
      <c r="F350" s="234" t="s">
        <v>77</v>
      </c>
      <c r="G350" s="232"/>
      <c r="H350" s="196">
        <v>14262</v>
      </c>
      <c r="I350" s="236">
        <v>0</v>
      </c>
    </row>
    <row r="351" spans="2:9" hidden="1" x14ac:dyDescent="0.2">
      <c r="B351" s="231">
        <v>45747</v>
      </c>
      <c r="C351" s="232">
        <v>111</v>
      </c>
      <c r="D351" s="232" t="str">
        <f>IFERROR(VLOOKUP(C351,'Neraca Saldo'!$B$6:$C$56,2,0),"")</f>
        <v>Bank</v>
      </c>
      <c r="E351" s="259" t="s">
        <v>94</v>
      </c>
      <c r="F351" s="234" t="s">
        <v>77</v>
      </c>
      <c r="G351" s="232"/>
      <c r="H351" s="236">
        <f>I350</f>
        <v>0</v>
      </c>
      <c r="I351" s="236">
        <f>H350</f>
        <v>14262</v>
      </c>
    </row>
    <row r="352" spans="2:9" hidden="1" x14ac:dyDescent="0.2">
      <c r="B352" s="231">
        <v>45747</v>
      </c>
      <c r="C352" s="232">
        <v>521</v>
      </c>
      <c r="D352" s="232" t="str">
        <f>IFERROR(VLOOKUP(C352,'Neraca Saldo'!$B$6:$C$56,2,0),"")</f>
        <v>Beban Biaya Bank</v>
      </c>
      <c r="E352" s="259" t="s">
        <v>95</v>
      </c>
      <c r="F352" s="234" t="s">
        <v>77</v>
      </c>
      <c r="G352" s="232"/>
      <c r="H352" s="196">
        <v>10000</v>
      </c>
      <c r="I352" s="236">
        <v>0</v>
      </c>
    </row>
    <row r="353" spans="2:9" hidden="1" x14ac:dyDescent="0.2">
      <c r="B353" s="231">
        <v>45747</v>
      </c>
      <c r="C353" s="232">
        <v>111</v>
      </c>
      <c r="D353" s="232" t="str">
        <f>IFERROR(VLOOKUP(C353,'Neraca Saldo'!$B$6:$C$56,2,0),"")</f>
        <v>Bank</v>
      </c>
      <c r="E353" s="259" t="s">
        <v>95</v>
      </c>
      <c r="F353" s="234" t="s">
        <v>77</v>
      </c>
      <c r="G353" s="232"/>
      <c r="H353" s="236">
        <f>I352</f>
        <v>0</v>
      </c>
      <c r="I353" s="236">
        <f>H352</f>
        <v>10000</v>
      </c>
    </row>
    <row r="354" spans="2:9" hidden="1" x14ac:dyDescent="0.2">
      <c r="B354" s="231">
        <v>45757</v>
      </c>
      <c r="C354" s="232">
        <v>515</v>
      </c>
      <c r="D354" s="232" t="str">
        <f>IFERROR(VLOOKUP(C354,'Neraca Saldo'!$B$6:$C$56,2,0),"")</f>
        <v>Beban Gaji</v>
      </c>
      <c r="E354" s="194" t="s">
        <v>978</v>
      </c>
      <c r="F354" s="232" t="s">
        <v>838</v>
      </c>
      <c r="G354" s="232"/>
      <c r="H354" s="188">
        <v>5500000</v>
      </c>
      <c r="I354" s="236">
        <v>0</v>
      </c>
    </row>
    <row r="355" spans="2:9" hidden="1" x14ac:dyDescent="0.2">
      <c r="B355" s="231">
        <v>45757</v>
      </c>
      <c r="C355" s="232">
        <v>112</v>
      </c>
      <c r="D355" s="232" t="str">
        <f>IFERROR(VLOOKUP(C355,'Neraca Saldo'!$B$6:$C$56,2,0),"")</f>
        <v>Kas</v>
      </c>
      <c r="E355" s="194" t="s">
        <v>978</v>
      </c>
      <c r="F355" s="232" t="s">
        <v>838</v>
      </c>
      <c r="G355" s="232"/>
      <c r="H355" s="236">
        <f>I354</f>
        <v>0</v>
      </c>
      <c r="I355" s="236">
        <f>H354</f>
        <v>5500000</v>
      </c>
    </row>
    <row r="356" spans="2:9" hidden="1" x14ac:dyDescent="0.2">
      <c r="B356" s="238">
        <v>45758</v>
      </c>
      <c r="C356" s="239">
        <v>111</v>
      </c>
      <c r="D356" s="239" t="str">
        <f>IFERROR(VLOOKUP(C356,'Neraca Saldo'!$B$6:$C$56,2,0),"")</f>
        <v>Bank</v>
      </c>
      <c r="E356" s="258" t="s">
        <v>927</v>
      </c>
      <c r="F356" s="244" t="s">
        <v>77</v>
      </c>
      <c r="G356" s="239"/>
      <c r="H356" s="190">
        <v>700000</v>
      </c>
      <c r="I356" s="240">
        <v>0</v>
      </c>
    </row>
    <row r="357" spans="2:9" hidden="1" x14ac:dyDescent="0.2">
      <c r="B357" s="238">
        <v>45758</v>
      </c>
      <c r="C357" s="239">
        <v>212</v>
      </c>
      <c r="D357" s="239" t="str">
        <f>IFERROR(VLOOKUP(C357,'Neraca Saldo'!$B$6:$C$56,2,0),"")</f>
        <v>Simpanan Karyawan</v>
      </c>
      <c r="E357" s="258" t="s">
        <v>927</v>
      </c>
      <c r="F357" s="244" t="s">
        <v>77</v>
      </c>
      <c r="G357" s="239"/>
      <c r="H357" s="240">
        <f>I356</f>
        <v>0</v>
      </c>
      <c r="I357" s="240">
        <f>H356</f>
        <v>700000</v>
      </c>
    </row>
    <row r="358" spans="2:9" hidden="1" x14ac:dyDescent="0.2">
      <c r="B358" s="238">
        <v>45758</v>
      </c>
      <c r="C358" s="239">
        <v>111</v>
      </c>
      <c r="D358" s="239" t="str">
        <f>IFERROR(VLOOKUP(C358,'Neraca Saldo'!$B$6:$C$56,2,0),"")</f>
        <v>Bank</v>
      </c>
      <c r="E358" s="258" t="s">
        <v>964</v>
      </c>
      <c r="F358" s="244" t="s">
        <v>77</v>
      </c>
      <c r="G358" s="239"/>
      <c r="H358" s="245">
        <v>600000</v>
      </c>
      <c r="I358" s="240">
        <v>0</v>
      </c>
    </row>
    <row r="359" spans="2:9" hidden="1" x14ac:dyDescent="0.2">
      <c r="B359" s="238">
        <v>45758</v>
      </c>
      <c r="C359" s="239">
        <v>212</v>
      </c>
      <c r="D359" s="239" t="str">
        <f>IFERROR(VLOOKUP(C359,'Neraca Saldo'!$B$6:$C$56,2,0),"")</f>
        <v>Simpanan Karyawan</v>
      </c>
      <c r="E359" s="258" t="s">
        <v>964</v>
      </c>
      <c r="F359" s="244" t="s">
        <v>77</v>
      </c>
      <c r="G359" s="239"/>
      <c r="H359" s="240">
        <f>I358</f>
        <v>0</v>
      </c>
      <c r="I359" s="240">
        <f>H358</f>
        <v>600000</v>
      </c>
    </row>
    <row r="360" spans="2:9" hidden="1" x14ac:dyDescent="0.2">
      <c r="B360" s="238">
        <v>45758</v>
      </c>
      <c r="C360" s="239">
        <v>111</v>
      </c>
      <c r="D360" s="239" t="str">
        <f>IFERROR(VLOOKUP(C360,'Neraca Saldo'!$B$6:$C$56,2,0),"")</f>
        <v>Bank</v>
      </c>
      <c r="E360" s="258" t="s">
        <v>965</v>
      </c>
      <c r="F360" s="244" t="s">
        <v>77</v>
      </c>
      <c r="G360" s="239"/>
      <c r="H360" s="245">
        <v>650000</v>
      </c>
      <c r="I360" s="240">
        <v>0</v>
      </c>
    </row>
    <row r="361" spans="2:9" hidden="1" x14ac:dyDescent="0.2">
      <c r="B361" s="238">
        <v>45758</v>
      </c>
      <c r="C361" s="239">
        <v>212</v>
      </c>
      <c r="D361" s="239" t="str">
        <f>IFERROR(VLOOKUP(C361,'Neraca Saldo'!$B$6:$C$56,2,0),"")</f>
        <v>Simpanan Karyawan</v>
      </c>
      <c r="E361" s="258" t="s">
        <v>965</v>
      </c>
      <c r="F361" s="244" t="s">
        <v>77</v>
      </c>
      <c r="G361" s="239"/>
      <c r="H361" s="240">
        <f>I360</f>
        <v>0</v>
      </c>
      <c r="I361" s="240">
        <f>H360</f>
        <v>650000</v>
      </c>
    </row>
    <row r="362" spans="2:9" x14ac:dyDescent="0.2">
      <c r="B362" s="231">
        <v>45763</v>
      </c>
      <c r="C362" s="232">
        <v>513</v>
      </c>
      <c r="D362" s="232" t="str">
        <f>IFERROR(VLOOKUP(C362,'Neraca Saldo'!$B$6:$C$56,2,0),"")</f>
        <v>Beban Pengurus dan Anggota</v>
      </c>
      <c r="E362" s="194" t="s">
        <v>841</v>
      </c>
      <c r="F362" s="234" t="s">
        <v>838</v>
      </c>
      <c r="G362" s="232"/>
      <c r="H362" s="188">
        <v>637507</v>
      </c>
      <c r="I362" s="236">
        <v>0</v>
      </c>
    </row>
    <row r="363" spans="2:9" hidden="1" x14ac:dyDescent="0.2">
      <c r="B363" s="231">
        <v>45763</v>
      </c>
      <c r="C363" s="232">
        <v>112</v>
      </c>
      <c r="D363" s="232" t="str">
        <f>IFERROR(VLOOKUP(C363,'Neraca Saldo'!$B$6:$C$56,2,0),"")</f>
        <v>Kas</v>
      </c>
      <c r="E363" s="194" t="s">
        <v>841</v>
      </c>
      <c r="F363" s="234" t="s">
        <v>838</v>
      </c>
      <c r="G363" s="232"/>
      <c r="H363" s="236">
        <f>I362</f>
        <v>0</v>
      </c>
      <c r="I363" s="236">
        <f>H362</f>
        <v>637507</v>
      </c>
    </row>
    <row r="364" spans="2:9" hidden="1" x14ac:dyDescent="0.2">
      <c r="B364" s="231">
        <v>45771</v>
      </c>
      <c r="C364" s="232">
        <v>517</v>
      </c>
      <c r="D364" s="232" t="str">
        <f>IFERROR(VLOOKUP(C364,'Neraca Saldo'!$B$6:$C$56,2,0),"")</f>
        <v>Beban Transport</v>
      </c>
      <c r="E364" s="194" t="s">
        <v>986</v>
      </c>
      <c r="F364" s="234" t="s">
        <v>838</v>
      </c>
      <c r="G364" s="232"/>
      <c r="H364" s="188">
        <v>200000</v>
      </c>
      <c r="I364" s="236">
        <v>0</v>
      </c>
    </row>
    <row r="365" spans="2:9" hidden="1" x14ac:dyDescent="0.2">
      <c r="B365" s="231">
        <v>45771</v>
      </c>
      <c r="C365" s="232">
        <v>112</v>
      </c>
      <c r="D365" s="232" t="str">
        <f>IFERROR(VLOOKUP(C365,'Neraca Saldo'!$B$6:$C$56,2,0),"")</f>
        <v>Kas</v>
      </c>
      <c r="E365" s="194" t="s">
        <v>986</v>
      </c>
      <c r="F365" s="234" t="s">
        <v>838</v>
      </c>
      <c r="G365" s="232"/>
      <c r="H365" s="236">
        <f>I364</f>
        <v>0</v>
      </c>
      <c r="I365" s="236">
        <f>H364</f>
        <v>200000</v>
      </c>
    </row>
    <row r="366" spans="2:9" hidden="1" x14ac:dyDescent="0.2">
      <c r="B366" s="238">
        <v>45772</v>
      </c>
      <c r="C366" s="239">
        <v>111</v>
      </c>
      <c r="D366" s="239" t="str">
        <f>IFERROR(VLOOKUP(C366,'Neraca Saldo'!$B$6:$C$56,2,0),"")</f>
        <v>Bank</v>
      </c>
      <c r="E366" s="258" t="s">
        <v>940</v>
      </c>
      <c r="F366" s="244" t="s">
        <v>77</v>
      </c>
      <c r="G366" s="239"/>
      <c r="H366" s="245">
        <v>1000000</v>
      </c>
      <c r="I366" s="240">
        <v>0</v>
      </c>
    </row>
    <row r="367" spans="2:9" hidden="1" x14ac:dyDescent="0.2">
      <c r="B367" s="238">
        <v>45772</v>
      </c>
      <c r="C367" s="239">
        <v>212</v>
      </c>
      <c r="D367" s="239" t="str">
        <f>IFERROR(VLOOKUP(C367,'Neraca Saldo'!$B$6:$C$56,2,0),"")</f>
        <v>Simpanan Karyawan</v>
      </c>
      <c r="E367" s="258" t="s">
        <v>940</v>
      </c>
      <c r="F367" s="244" t="s">
        <v>77</v>
      </c>
      <c r="G367" s="239"/>
      <c r="H367" s="240">
        <f>I366</f>
        <v>0</v>
      </c>
      <c r="I367" s="240">
        <f>H366</f>
        <v>1000000</v>
      </c>
    </row>
    <row r="368" spans="2:9" hidden="1" x14ac:dyDescent="0.2">
      <c r="B368" s="238">
        <v>45772</v>
      </c>
      <c r="C368" s="239">
        <v>111</v>
      </c>
      <c r="D368" s="239" t="str">
        <f>IFERROR(VLOOKUP(C368,'Neraca Saldo'!$B$6:$C$56,2,0),"")</f>
        <v>Bank</v>
      </c>
      <c r="E368" s="258" t="s">
        <v>987</v>
      </c>
      <c r="F368" s="244" t="s">
        <v>77</v>
      </c>
      <c r="G368" s="239"/>
      <c r="H368" s="245">
        <v>350000</v>
      </c>
      <c r="I368" s="240">
        <v>0</v>
      </c>
    </row>
    <row r="369" spans="2:9" hidden="1" x14ac:dyDescent="0.2">
      <c r="B369" s="238">
        <v>45772</v>
      </c>
      <c r="C369" s="239">
        <v>212</v>
      </c>
      <c r="D369" s="239" t="str">
        <f>IFERROR(VLOOKUP(C369,'Neraca Saldo'!$B$6:$C$56,2,0),"")</f>
        <v>Simpanan Karyawan</v>
      </c>
      <c r="E369" s="258" t="s">
        <v>987</v>
      </c>
      <c r="F369" s="244" t="s">
        <v>77</v>
      </c>
      <c r="G369" s="239"/>
      <c r="H369" s="240">
        <f>I368</f>
        <v>0</v>
      </c>
      <c r="I369" s="240">
        <f>H368</f>
        <v>350000</v>
      </c>
    </row>
    <row r="370" spans="2:9" hidden="1" x14ac:dyDescent="0.2">
      <c r="B370" s="238">
        <v>45772</v>
      </c>
      <c r="C370" s="239">
        <v>111</v>
      </c>
      <c r="D370" s="239" t="str">
        <f>IFERROR(VLOOKUP(C370,'Neraca Saldo'!$B$6:$C$56,2,0),"")</f>
        <v>Bank</v>
      </c>
      <c r="E370" s="258" t="s">
        <v>988</v>
      </c>
      <c r="F370" s="244" t="s">
        <v>77</v>
      </c>
      <c r="G370" s="239"/>
      <c r="H370" s="245">
        <v>350000</v>
      </c>
      <c r="I370" s="240">
        <v>0</v>
      </c>
    </row>
    <row r="371" spans="2:9" hidden="1" x14ac:dyDescent="0.2">
      <c r="B371" s="238">
        <v>45772</v>
      </c>
      <c r="C371" s="239">
        <v>212</v>
      </c>
      <c r="D371" s="239" t="str">
        <f>IFERROR(VLOOKUP(C371,'Neraca Saldo'!$B$6:$C$56,2,0),"")</f>
        <v>Simpanan Karyawan</v>
      </c>
      <c r="E371" s="258" t="s">
        <v>988</v>
      </c>
      <c r="F371" s="244" t="s">
        <v>77</v>
      </c>
      <c r="G371" s="239"/>
      <c r="H371" s="240">
        <f>I370</f>
        <v>0</v>
      </c>
      <c r="I371" s="240">
        <f>H370</f>
        <v>350000</v>
      </c>
    </row>
    <row r="372" spans="2:9" hidden="1" x14ac:dyDescent="0.2">
      <c r="B372" s="238">
        <v>45772</v>
      </c>
      <c r="C372" s="239">
        <v>111</v>
      </c>
      <c r="D372" s="239" t="str">
        <f>IFERROR(VLOOKUP(C372,'Neraca Saldo'!$B$6:$C$56,2,0),"")</f>
        <v>Bank</v>
      </c>
      <c r="E372" s="258" t="s">
        <v>989</v>
      </c>
      <c r="F372" s="244" t="s">
        <v>77</v>
      </c>
      <c r="G372" s="239"/>
      <c r="H372" s="245">
        <v>350000</v>
      </c>
      <c r="I372" s="240">
        <v>0</v>
      </c>
    </row>
    <row r="373" spans="2:9" hidden="1" x14ac:dyDescent="0.2">
      <c r="B373" s="238">
        <v>45772</v>
      </c>
      <c r="C373" s="239">
        <v>212</v>
      </c>
      <c r="D373" s="239" t="str">
        <f>IFERROR(VLOOKUP(C373,'Neraca Saldo'!$B$6:$C$56,2,0),"")</f>
        <v>Simpanan Karyawan</v>
      </c>
      <c r="E373" s="258" t="s">
        <v>989</v>
      </c>
      <c r="F373" s="244" t="s">
        <v>77</v>
      </c>
      <c r="G373" s="239"/>
      <c r="H373" s="240">
        <f>I372</f>
        <v>0</v>
      </c>
      <c r="I373" s="240">
        <f>H372</f>
        <v>350000</v>
      </c>
    </row>
    <row r="374" spans="2:9" hidden="1" x14ac:dyDescent="0.2">
      <c r="B374" s="238">
        <v>45772</v>
      </c>
      <c r="C374" s="239">
        <v>111</v>
      </c>
      <c r="D374" s="239" t="str">
        <f>IFERROR(VLOOKUP(C374,'Neraca Saldo'!$B$6:$C$56,2,0),"")</f>
        <v>Bank</v>
      </c>
      <c r="E374" s="258" t="s">
        <v>990</v>
      </c>
      <c r="F374" s="244" t="s">
        <v>77</v>
      </c>
      <c r="G374" s="239"/>
      <c r="H374" s="245">
        <v>5532450</v>
      </c>
      <c r="I374" s="240">
        <v>0</v>
      </c>
    </row>
    <row r="375" spans="2:9" hidden="1" x14ac:dyDescent="0.2">
      <c r="B375" s="238">
        <v>45772</v>
      </c>
      <c r="C375" s="239">
        <v>411</v>
      </c>
      <c r="D375" s="239" t="str">
        <f>IFERROR(VLOOKUP(C375,'Neraca Saldo'!$B$6:$C$56,2,0),"")</f>
        <v>Pendapatan Toko</v>
      </c>
      <c r="E375" s="258" t="s">
        <v>990</v>
      </c>
      <c r="F375" s="244" t="s">
        <v>77</v>
      </c>
      <c r="G375" s="239"/>
      <c r="H375" s="240">
        <f>I374</f>
        <v>0</v>
      </c>
      <c r="I375" s="240">
        <f>H374</f>
        <v>5532450</v>
      </c>
    </row>
    <row r="376" spans="2:9" hidden="1" x14ac:dyDescent="0.2">
      <c r="B376" s="238">
        <v>45772</v>
      </c>
      <c r="C376" s="239">
        <v>111</v>
      </c>
      <c r="D376" s="239" t="str">
        <f>IFERROR(VLOOKUP(C376,'Neraca Saldo'!$B$6:$C$56,2,0),"")</f>
        <v>Bank</v>
      </c>
      <c r="E376" s="206" t="s">
        <v>991</v>
      </c>
      <c r="F376" s="244" t="s">
        <v>77</v>
      </c>
      <c r="G376" s="239"/>
      <c r="H376" s="245">
        <v>150000</v>
      </c>
      <c r="I376" s="240">
        <v>0</v>
      </c>
    </row>
    <row r="377" spans="2:9" hidden="1" x14ac:dyDescent="0.2">
      <c r="B377" s="238">
        <v>45772</v>
      </c>
      <c r="C377" s="239">
        <v>212</v>
      </c>
      <c r="D377" s="239" t="str">
        <f>IFERROR(VLOOKUP(C377,'Neraca Saldo'!$B$6:$C$56,2,0),"")</f>
        <v>Simpanan Karyawan</v>
      </c>
      <c r="E377" s="206" t="s">
        <v>991</v>
      </c>
      <c r="F377" s="244" t="s">
        <v>77</v>
      </c>
      <c r="G377" s="239"/>
      <c r="H377" s="240">
        <f>I376</f>
        <v>0</v>
      </c>
      <c r="I377" s="240">
        <f>H376</f>
        <v>150000</v>
      </c>
    </row>
    <row r="378" spans="2:9" hidden="1" x14ac:dyDescent="0.2">
      <c r="B378" s="238">
        <v>45772</v>
      </c>
      <c r="C378" s="239">
        <v>111</v>
      </c>
      <c r="D378" s="239" t="str">
        <f>IFERROR(VLOOKUP(C378,'Neraca Saldo'!$B$6:$C$56,2,0),"")</f>
        <v>Bank</v>
      </c>
      <c r="E378" s="206" t="s">
        <v>992</v>
      </c>
      <c r="F378" s="244" t="s">
        <v>77</v>
      </c>
      <c r="G378" s="239"/>
      <c r="H378" s="245">
        <v>61800000</v>
      </c>
      <c r="I378" s="240">
        <v>0</v>
      </c>
    </row>
    <row r="379" spans="2:9" hidden="1" x14ac:dyDescent="0.2">
      <c r="B379" s="238">
        <v>45772</v>
      </c>
      <c r="C379" s="239">
        <v>212</v>
      </c>
      <c r="D379" s="239" t="str">
        <f>IFERROR(VLOOKUP(C379,'Neraca Saldo'!$B$6:$C$56,2,0),"")</f>
        <v>Simpanan Karyawan</v>
      </c>
      <c r="E379" s="206" t="s">
        <v>992</v>
      </c>
      <c r="F379" s="244" t="s">
        <v>77</v>
      </c>
      <c r="G379" s="239"/>
      <c r="H379" s="240">
        <f>I378</f>
        <v>0</v>
      </c>
      <c r="I379" s="240">
        <f>H378</f>
        <v>61800000</v>
      </c>
    </row>
    <row r="380" spans="2:9" hidden="1" x14ac:dyDescent="0.2">
      <c r="B380" s="238">
        <v>45772</v>
      </c>
      <c r="C380" s="239">
        <v>111</v>
      </c>
      <c r="D380" s="239" t="str">
        <f>IFERROR(VLOOKUP(C380,'Neraca Saldo'!$B$6:$C$56,2,0),"")</f>
        <v>Bank</v>
      </c>
      <c r="E380" s="206" t="s">
        <v>993</v>
      </c>
      <c r="F380" s="244" t="s">
        <v>77</v>
      </c>
      <c r="G380" s="239"/>
      <c r="H380" s="245">
        <v>28973500</v>
      </c>
      <c r="I380" s="240">
        <v>0</v>
      </c>
    </row>
    <row r="381" spans="2:9" hidden="1" x14ac:dyDescent="0.2">
      <c r="B381" s="238">
        <v>45772</v>
      </c>
      <c r="C381" s="239">
        <v>212</v>
      </c>
      <c r="D381" s="239" t="str">
        <f>IFERROR(VLOOKUP(C381,'Neraca Saldo'!$B$6:$C$56,2,0),"")</f>
        <v>Simpanan Karyawan</v>
      </c>
      <c r="E381" s="206" t="s">
        <v>993</v>
      </c>
      <c r="F381" s="244" t="s">
        <v>77</v>
      </c>
      <c r="G381" s="239"/>
      <c r="H381" s="240">
        <f>I380</f>
        <v>0</v>
      </c>
      <c r="I381" s="240">
        <f>H380</f>
        <v>28973500</v>
      </c>
    </row>
    <row r="382" spans="2:9" hidden="1" x14ac:dyDescent="0.2">
      <c r="B382" s="238">
        <v>45772</v>
      </c>
      <c r="C382" s="239">
        <v>111</v>
      </c>
      <c r="D382" s="239" t="str">
        <f>IFERROR(VLOOKUP(C382,'Neraca Saldo'!$B$6:$C$56,2,0),"")</f>
        <v>Bank</v>
      </c>
      <c r="E382" s="206" t="s">
        <v>994</v>
      </c>
      <c r="F382" s="244" t="s">
        <v>77</v>
      </c>
      <c r="G382" s="239"/>
      <c r="H382" s="245">
        <v>5740000</v>
      </c>
      <c r="I382" s="240">
        <v>0</v>
      </c>
    </row>
    <row r="383" spans="2:9" hidden="1" x14ac:dyDescent="0.2">
      <c r="B383" s="238">
        <v>45772</v>
      </c>
      <c r="C383" s="239">
        <v>222</v>
      </c>
      <c r="D383" s="239" t="str">
        <f>IFERROR(VLOOKUP(C383,'Neraca Saldo'!$B$6:$C$56,2,0),"")</f>
        <v>Hutang SPN</v>
      </c>
      <c r="E383" s="206" t="s">
        <v>994</v>
      </c>
      <c r="F383" s="244" t="s">
        <v>77</v>
      </c>
      <c r="G383" s="239"/>
      <c r="H383" s="240">
        <f>I382</f>
        <v>0</v>
      </c>
      <c r="I383" s="240">
        <f>H382</f>
        <v>5740000</v>
      </c>
    </row>
    <row r="384" spans="2:9" hidden="1" x14ac:dyDescent="0.2">
      <c r="B384" s="238">
        <v>45772</v>
      </c>
      <c r="C384" s="239">
        <v>111</v>
      </c>
      <c r="D384" s="239" t="str">
        <f>IFERROR(VLOOKUP(C384,'Neraca Saldo'!$B$6:$C$56,2,0),"")</f>
        <v>Bank</v>
      </c>
      <c r="E384" s="206" t="s">
        <v>995</v>
      </c>
      <c r="F384" s="244" t="s">
        <v>77</v>
      </c>
      <c r="G384" s="239"/>
      <c r="H384" s="245">
        <v>66194863</v>
      </c>
      <c r="I384" s="240">
        <v>0</v>
      </c>
    </row>
    <row r="385" spans="2:9" hidden="1" x14ac:dyDescent="0.2">
      <c r="B385" s="238">
        <v>45772</v>
      </c>
      <c r="C385" s="239">
        <v>121</v>
      </c>
      <c r="D385" s="239" t="str">
        <f>IFERROR(VLOOKUP(C385,'Neraca Saldo'!$B$6:$C$56,2,0),"")</f>
        <v>Piutang Anggota</v>
      </c>
      <c r="E385" s="206" t="s">
        <v>995</v>
      </c>
      <c r="F385" s="244" t="s">
        <v>77</v>
      </c>
      <c r="G385" s="239"/>
      <c r="H385" s="240">
        <f>I384</f>
        <v>0</v>
      </c>
      <c r="I385" s="240">
        <f>H384</f>
        <v>66194863</v>
      </c>
    </row>
    <row r="386" spans="2:9" hidden="1" x14ac:dyDescent="0.2">
      <c r="B386" s="238">
        <v>45772</v>
      </c>
      <c r="C386" s="239">
        <v>111</v>
      </c>
      <c r="D386" s="239" t="str">
        <f>IFERROR(VLOOKUP(C386,'Neraca Saldo'!$B$6:$C$56,2,0),"")</f>
        <v>Bank</v>
      </c>
      <c r="E386" s="206" t="s">
        <v>996</v>
      </c>
      <c r="F386" s="244" t="s">
        <v>77</v>
      </c>
      <c r="G386" s="239"/>
      <c r="H386" s="245">
        <v>141970167</v>
      </c>
      <c r="I386" s="240">
        <v>0</v>
      </c>
    </row>
    <row r="387" spans="2:9" hidden="1" x14ac:dyDescent="0.2">
      <c r="B387" s="238">
        <v>45772</v>
      </c>
      <c r="C387" s="239">
        <v>121</v>
      </c>
      <c r="D387" s="239" t="str">
        <f>IFERROR(VLOOKUP(C387,'Neraca Saldo'!$B$6:$C$56,2,0),"")</f>
        <v>Piutang Anggota</v>
      </c>
      <c r="E387" s="206" t="s">
        <v>996</v>
      </c>
      <c r="F387" s="244" t="s">
        <v>77</v>
      </c>
      <c r="G387" s="239"/>
      <c r="H387" s="240">
        <f>I386</f>
        <v>0</v>
      </c>
      <c r="I387" s="240">
        <f>H386</f>
        <v>141970167</v>
      </c>
    </row>
    <row r="388" spans="2:9" hidden="1" x14ac:dyDescent="0.2">
      <c r="B388" s="231">
        <v>45775</v>
      </c>
      <c r="C388" s="232">
        <v>411</v>
      </c>
      <c r="D388" s="232" t="str">
        <f>IFERROR(VLOOKUP(C388,'Neraca Saldo'!$B$6:$C$56,2,0),"")</f>
        <v>Pendapatan Toko</v>
      </c>
      <c r="E388" s="259" t="s">
        <v>990</v>
      </c>
      <c r="F388" s="232" t="s">
        <v>77</v>
      </c>
      <c r="G388" s="232"/>
      <c r="H388" s="246">
        <v>5532450</v>
      </c>
      <c r="I388" s="236">
        <v>0</v>
      </c>
    </row>
    <row r="389" spans="2:9" hidden="1" x14ac:dyDescent="0.2">
      <c r="B389" s="231">
        <v>45775</v>
      </c>
      <c r="C389" s="232">
        <v>111</v>
      </c>
      <c r="D389" s="232" t="str">
        <f>IFERROR(VLOOKUP(C389,'Neraca Saldo'!$B$6:$C$56,2,0),"")</f>
        <v>Bank</v>
      </c>
      <c r="E389" s="259" t="s">
        <v>990</v>
      </c>
      <c r="F389" s="232" t="s">
        <v>77</v>
      </c>
      <c r="G389" s="232"/>
      <c r="H389" s="236">
        <f>I388</f>
        <v>0</v>
      </c>
      <c r="I389" s="236">
        <f>H388</f>
        <v>5532450</v>
      </c>
    </row>
    <row r="390" spans="2:9" hidden="1" x14ac:dyDescent="0.2">
      <c r="B390" s="231">
        <v>45775</v>
      </c>
      <c r="C390" s="232">
        <v>124</v>
      </c>
      <c r="D390" s="232" t="str">
        <f>IFERROR(VLOOKUP(C390,'Neraca Saldo'!$B$6:$C$56,2,0),"")</f>
        <v>Piutang USP</v>
      </c>
      <c r="E390" s="205" t="s">
        <v>993</v>
      </c>
      <c r="F390" s="232" t="s">
        <v>77</v>
      </c>
      <c r="G390" s="232"/>
      <c r="H390" s="246">
        <v>28973500</v>
      </c>
      <c r="I390" s="236">
        <v>0</v>
      </c>
    </row>
    <row r="391" spans="2:9" hidden="1" x14ac:dyDescent="0.2">
      <c r="B391" s="231">
        <v>45775</v>
      </c>
      <c r="C391" s="232">
        <v>111</v>
      </c>
      <c r="D391" s="232" t="str">
        <f>IFERROR(VLOOKUP(C391,'Neraca Saldo'!$B$6:$C$56,2,0),"")</f>
        <v>Bank</v>
      </c>
      <c r="E391" s="205" t="s">
        <v>993</v>
      </c>
      <c r="F391" s="232" t="s">
        <v>77</v>
      </c>
      <c r="G391" s="232"/>
      <c r="H391" s="236">
        <f>I390</f>
        <v>0</v>
      </c>
      <c r="I391" s="236">
        <f>H390</f>
        <v>28973500</v>
      </c>
    </row>
    <row r="392" spans="2:9" hidden="1" x14ac:dyDescent="0.2">
      <c r="B392" s="231">
        <v>45775</v>
      </c>
      <c r="C392" s="232">
        <v>222</v>
      </c>
      <c r="D392" s="232" t="str">
        <f>IFERROR(VLOOKUP(C392,'Neraca Saldo'!$B$6:$C$56,2,0),"")</f>
        <v>Hutang SPN</v>
      </c>
      <c r="E392" s="205" t="s">
        <v>994</v>
      </c>
      <c r="F392" s="232" t="s">
        <v>77</v>
      </c>
      <c r="G392" s="232"/>
      <c r="H392" s="246">
        <v>5740000</v>
      </c>
      <c r="I392" s="236">
        <v>0</v>
      </c>
    </row>
    <row r="393" spans="2:9" hidden="1" x14ac:dyDescent="0.2">
      <c r="B393" s="231">
        <v>45775</v>
      </c>
      <c r="C393" s="232">
        <v>111</v>
      </c>
      <c r="D393" s="232" t="str">
        <f>IFERROR(VLOOKUP(C393,'Neraca Saldo'!$B$6:$C$56,2,0),"")</f>
        <v>Bank</v>
      </c>
      <c r="E393" s="205" t="s">
        <v>994</v>
      </c>
      <c r="F393" s="232" t="s">
        <v>77</v>
      </c>
      <c r="G393" s="232"/>
      <c r="H393" s="236">
        <f>I392</f>
        <v>0</v>
      </c>
      <c r="I393" s="236">
        <f>H392</f>
        <v>5740000</v>
      </c>
    </row>
    <row r="394" spans="2:9" hidden="1" x14ac:dyDescent="0.2">
      <c r="B394" s="231">
        <v>45775</v>
      </c>
      <c r="C394" s="232">
        <v>126</v>
      </c>
      <c r="D394" s="232" t="str">
        <f>IFERROR(VLOOKUP(C394,'Neraca Saldo'!$B$6:$C$56,2,0),"")</f>
        <v>Piutang Pengadaan</v>
      </c>
      <c r="E394" s="205" t="s">
        <v>995</v>
      </c>
      <c r="F394" s="232" t="s">
        <v>77</v>
      </c>
      <c r="G394" s="232"/>
      <c r="H394" s="246">
        <v>66194863</v>
      </c>
      <c r="I394" s="236">
        <v>0</v>
      </c>
    </row>
    <row r="395" spans="2:9" hidden="1" x14ac:dyDescent="0.2">
      <c r="B395" s="231">
        <v>45775</v>
      </c>
      <c r="C395" s="232">
        <v>111</v>
      </c>
      <c r="D395" s="232" t="str">
        <f>IFERROR(VLOOKUP(C395,'Neraca Saldo'!$B$6:$C$56,2,0),"")</f>
        <v>Bank</v>
      </c>
      <c r="E395" s="205" t="s">
        <v>995</v>
      </c>
      <c r="F395" s="232" t="s">
        <v>77</v>
      </c>
      <c r="G395" s="232"/>
      <c r="H395" s="236">
        <f>I394</f>
        <v>0</v>
      </c>
      <c r="I395" s="236">
        <f>H394</f>
        <v>66194863</v>
      </c>
    </row>
    <row r="396" spans="2:9" hidden="1" x14ac:dyDescent="0.2">
      <c r="B396" s="231">
        <v>45775</v>
      </c>
      <c r="C396" s="232">
        <v>124</v>
      </c>
      <c r="D396" s="232" t="str">
        <f>IFERROR(VLOOKUP(C396,'Neraca Saldo'!$B$6:$C$56,2,0),"")</f>
        <v>Piutang USP</v>
      </c>
      <c r="E396" s="205" t="s">
        <v>996</v>
      </c>
      <c r="F396" s="232" t="s">
        <v>77</v>
      </c>
      <c r="G396" s="232"/>
      <c r="H396" s="246">
        <v>141970167</v>
      </c>
      <c r="I396" s="236">
        <v>0</v>
      </c>
    </row>
    <row r="397" spans="2:9" hidden="1" x14ac:dyDescent="0.2">
      <c r="B397" s="231">
        <v>45775</v>
      </c>
      <c r="C397" s="232">
        <v>111</v>
      </c>
      <c r="D397" s="232" t="str">
        <f>IFERROR(VLOOKUP(C397,'Neraca Saldo'!$B$6:$C$56,2,0),"")</f>
        <v>Bank</v>
      </c>
      <c r="E397" s="205" t="s">
        <v>996</v>
      </c>
      <c r="F397" s="232" t="s">
        <v>77</v>
      </c>
      <c r="G397" s="232"/>
      <c r="H397" s="236">
        <f t="shared" ref="H397:H405" si="4">I396</f>
        <v>0</v>
      </c>
      <c r="I397" s="236">
        <f t="shared" ref="I397:I405" si="5">H396</f>
        <v>141970167</v>
      </c>
    </row>
    <row r="398" spans="2:9" hidden="1" x14ac:dyDescent="0.2">
      <c r="B398" s="231">
        <v>45775</v>
      </c>
      <c r="C398" s="232">
        <v>212</v>
      </c>
      <c r="D398" s="232" t="str">
        <f>IFERROR(VLOOKUP(C398,'Neraca Saldo'!$B$6:$C$56,2,0),"")</f>
        <v>Simpanan Karyawan</v>
      </c>
      <c r="E398" s="259" t="s">
        <v>966</v>
      </c>
      <c r="F398" s="232" t="s">
        <v>77</v>
      </c>
      <c r="G398" s="232"/>
      <c r="H398" s="196">
        <v>3700000</v>
      </c>
      <c r="I398" s="236">
        <v>0</v>
      </c>
    </row>
    <row r="399" spans="2:9" hidden="1" x14ac:dyDescent="0.2">
      <c r="B399" s="231">
        <v>45775</v>
      </c>
      <c r="C399" s="232">
        <v>111</v>
      </c>
      <c r="D399" s="232" t="str">
        <f>IFERROR(VLOOKUP(C399,'Neraca Saldo'!$B$6:$C$56,2,0),"")</f>
        <v>Bank</v>
      </c>
      <c r="E399" s="259" t="s">
        <v>966</v>
      </c>
      <c r="F399" s="232" t="s">
        <v>77</v>
      </c>
      <c r="G399" s="232"/>
      <c r="H399" s="236">
        <f t="shared" si="4"/>
        <v>0</v>
      </c>
      <c r="I399" s="236">
        <f t="shared" si="5"/>
        <v>3700000</v>
      </c>
    </row>
    <row r="400" spans="2:9" hidden="1" x14ac:dyDescent="0.2">
      <c r="B400" s="231">
        <v>45775</v>
      </c>
      <c r="C400" s="232">
        <v>212</v>
      </c>
      <c r="D400" s="232" t="str">
        <f>IFERROR(VLOOKUP(C400,'Neraca Saldo'!$B$6:$C$56,2,0),"")</f>
        <v>Simpanan Karyawan</v>
      </c>
      <c r="E400" s="259" t="s">
        <v>997</v>
      </c>
      <c r="F400" s="232" t="s">
        <v>77</v>
      </c>
      <c r="G400" s="232"/>
      <c r="H400" s="196">
        <v>9550000</v>
      </c>
      <c r="I400" s="236">
        <v>0</v>
      </c>
    </row>
    <row r="401" spans="2:9" hidden="1" x14ac:dyDescent="0.2">
      <c r="B401" s="231">
        <v>45775</v>
      </c>
      <c r="C401" s="232">
        <v>111</v>
      </c>
      <c r="D401" s="232" t="str">
        <f>IFERROR(VLOOKUP(C401,'Neraca Saldo'!$B$6:$C$56,2,0),"")</f>
        <v>Bank</v>
      </c>
      <c r="E401" s="259" t="s">
        <v>997</v>
      </c>
      <c r="F401" s="232" t="s">
        <v>77</v>
      </c>
      <c r="G401" s="232"/>
      <c r="H401" s="236">
        <f t="shared" si="4"/>
        <v>0</v>
      </c>
      <c r="I401" s="236">
        <f t="shared" si="5"/>
        <v>9550000</v>
      </c>
    </row>
    <row r="402" spans="2:9" hidden="1" x14ac:dyDescent="0.2">
      <c r="B402" s="231">
        <v>45775</v>
      </c>
      <c r="C402" s="232">
        <v>212</v>
      </c>
      <c r="D402" s="232" t="str">
        <f>IFERROR(VLOOKUP(C402,'Neraca Saldo'!$B$6:$C$56,2,0),"")</f>
        <v>Simpanan Karyawan</v>
      </c>
      <c r="E402" s="259" t="s">
        <v>998</v>
      </c>
      <c r="F402" s="232" t="s">
        <v>77</v>
      </c>
      <c r="G402" s="232"/>
      <c r="H402" s="196">
        <v>2012500</v>
      </c>
      <c r="I402" s="236">
        <v>0</v>
      </c>
    </row>
    <row r="403" spans="2:9" hidden="1" x14ac:dyDescent="0.2">
      <c r="B403" s="231">
        <v>45775</v>
      </c>
      <c r="C403" s="232">
        <v>111</v>
      </c>
      <c r="D403" s="232" t="str">
        <f>IFERROR(VLOOKUP(C403,'Neraca Saldo'!$B$6:$C$56,2,0),"")</f>
        <v>Bank</v>
      </c>
      <c r="E403" s="259" t="s">
        <v>998</v>
      </c>
      <c r="F403" s="232" t="s">
        <v>77</v>
      </c>
      <c r="G403" s="232"/>
      <c r="H403" s="236">
        <f t="shared" si="4"/>
        <v>0</v>
      </c>
      <c r="I403" s="236">
        <f t="shared" si="5"/>
        <v>2012500</v>
      </c>
    </row>
    <row r="404" spans="2:9" hidden="1" x14ac:dyDescent="0.2">
      <c r="B404" s="231">
        <v>45775</v>
      </c>
      <c r="C404" s="194">
        <v>212</v>
      </c>
      <c r="D404" s="194" t="str">
        <f>IFERROR(VLOOKUP(C404,'Neraca Saldo'!$B$6:$C$56,2,0),"")</f>
        <v>Simpanan Karyawan</v>
      </c>
      <c r="E404" s="259" t="s">
        <v>999</v>
      </c>
      <c r="F404" s="194" t="s">
        <v>77</v>
      </c>
      <c r="G404" s="194"/>
      <c r="H404" s="196">
        <v>5937500</v>
      </c>
      <c r="I404" s="237">
        <v>0</v>
      </c>
    </row>
    <row r="405" spans="2:9" hidden="1" x14ac:dyDescent="0.2">
      <c r="B405" s="231">
        <v>45775</v>
      </c>
      <c r="C405" s="194">
        <v>111</v>
      </c>
      <c r="D405" s="194" t="str">
        <f>IFERROR(VLOOKUP(C405,'Neraca Saldo'!$B$6:$C$56,2,0),"")</f>
        <v>Bank</v>
      </c>
      <c r="E405" s="259" t="s">
        <v>999</v>
      </c>
      <c r="F405" s="194" t="s">
        <v>77</v>
      </c>
      <c r="G405" s="194"/>
      <c r="H405" s="237">
        <f t="shared" si="4"/>
        <v>0</v>
      </c>
      <c r="I405" s="237">
        <f t="shared" si="5"/>
        <v>5937500</v>
      </c>
    </row>
    <row r="406" spans="2:9" hidden="1" x14ac:dyDescent="0.2">
      <c r="B406" s="231">
        <v>45775</v>
      </c>
      <c r="C406" s="232">
        <v>126</v>
      </c>
      <c r="D406" s="232" t="str">
        <f>IFERROR(VLOOKUP(C406,'Neraca Saldo'!$B$6:$C$56,2,0),"")</f>
        <v>Piutang Pengadaan</v>
      </c>
      <c r="E406" s="259" t="s">
        <v>836</v>
      </c>
      <c r="F406" s="232" t="s">
        <v>77</v>
      </c>
      <c r="G406" s="232"/>
      <c r="H406" s="196">
        <v>25000000</v>
      </c>
      <c r="I406" s="236">
        <v>0</v>
      </c>
    </row>
    <row r="407" spans="2:9" hidden="1" x14ac:dyDescent="0.2">
      <c r="B407" s="231">
        <v>45775</v>
      </c>
      <c r="C407" s="232">
        <v>111</v>
      </c>
      <c r="D407" s="232" t="str">
        <f>IFERROR(VLOOKUP(C407,'Neraca Saldo'!$B$6:$C$56,2,0),"")</f>
        <v>Bank</v>
      </c>
      <c r="E407" s="259" t="s">
        <v>836</v>
      </c>
      <c r="F407" s="232" t="s">
        <v>77</v>
      </c>
      <c r="G407" s="232"/>
      <c r="H407" s="236">
        <f>I406</f>
        <v>0</v>
      </c>
      <c r="I407" s="236">
        <f>H406</f>
        <v>25000000</v>
      </c>
    </row>
    <row r="408" spans="2:9" hidden="1" x14ac:dyDescent="0.2">
      <c r="B408" s="231">
        <v>45775</v>
      </c>
      <c r="C408" s="232">
        <v>124</v>
      </c>
      <c r="D408" s="232" t="str">
        <f>IFERROR(VLOOKUP(C408,'Neraca Saldo'!$B$6:$C$56,2,0),"")</f>
        <v>Piutang USP</v>
      </c>
      <c r="E408" s="233" t="s">
        <v>947</v>
      </c>
      <c r="F408" s="232" t="s">
        <v>77</v>
      </c>
      <c r="G408" s="232"/>
      <c r="H408" s="196">
        <v>30000000</v>
      </c>
      <c r="I408" s="236">
        <v>0</v>
      </c>
    </row>
    <row r="409" spans="2:9" hidden="1" x14ac:dyDescent="0.2">
      <c r="B409" s="231">
        <v>45775</v>
      </c>
      <c r="C409" s="232">
        <v>111</v>
      </c>
      <c r="D409" s="232" t="str">
        <f>IFERROR(VLOOKUP(C409,'Neraca Saldo'!$B$6:$C$56,2,0),"")</f>
        <v>Bank</v>
      </c>
      <c r="E409" s="233" t="s">
        <v>947</v>
      </c>
      <c r="F409" s="232" t="s">
        <v>77</v>
      </c>
      <c r="G409" s="232"/>
      <c r="H409" s="236">
        <f>I408</f>
        <v>0</v>
      </c>
      <c r="I409" s="236">
        <f>H408</f>
        <v>30000000</v>
      </c>
    </row>
    <row r="410" spans="2:9" hidden="1" x14ac:dyDescent="0.2">
      <c r="B410" s="238">
        <v>45777</v>
      </c>
      <c r="C410" s="239">
        <v>111</v>
      </c>
      <c r="D410" s="239" t="str">
        <f>IFERROR(VLOOKUP(C410,'Neraca Saldo'!$B$6:$C$56,2,0),"")</f>
        <v>Bank</v>
      </c>
      <c r="E410" s="216" t="s">
        <v>57</v>
      </c>
      <c r="F410" s="239" t="s">
        <v>77</v>
      </c>
      <c r="G410" s="239"/>
      <c r="H410" s="245">
        <v>28396</v>
      </c>
      <c r="I410" s="240">
        <v>0</v>
      </c>
    </row>
    <row r="411" spans="2:9" hidden="1" x14ac:dyDescent="0.2">
      <c r="B411" s="238">
        <v>45777</v>
      </c>
      <c r="C411" s="239">
        <v>413</v>
      </c>
      <c r="D411" s="239" t="str">
        <f>IFERROR(VLOOKUP(C411,'Neraca Saldo'!$B$6:$C$56,2,0),"")</f>
        <v>Pendapatan Jasa Bank</v>
      </c>
      <c r="E411" s="216" t="s">
        <v>57</v>
      </c>
      <c r="F411" s="239" t="s">
        <v>77</v>
      </c>
      <c r="G411" s="239"/>
      <c r="H411" s="240">
        <f>I410</f>
        <v>0</v>
      </c>
      <c r="I411" s="240">
        <f>H410</f>
        <v>28396</v>
      </c>
    </row>
    <row r="412" spans="2:9" hidden="1" x14ac:dyDescent="0.2">
      <c r="B412" s="231">
        <v>45777</v>
      </c>
      <c r="C412" s="232">
        <v>521</v>
      </c>
      <c r="D412" s="232" t="str">
        <f>IFERROR(VLOOKUP(C412,'Neraca Saldo'!$B$6:$C$56,2,0),"")</f>
        <v>Beban Biaya Bank</v>
      </c>
      <c r="E412" s="260" t="s">
        <v>94</v>
      </c>
      <c r="F412" s="232" t="s">
        <v>77</v>
      </c>
      <c r="G412" s="232"/>
      <c r="H412" s="196">
        <v>5680</v>
      </c>
      <c r="I412" s="236">
        <v>0</v>
      </c>
    </row>
    <row r="413" spans="2:9" hidden="1" x14ac:dyDescent="0.2">
      <c r="B413" s="231">
        <v>45777</v>
      </c>
      <c r="C413" s="232">
        <v>111</v>
      </c>
      <c r="D413" s="232" t="str">
        <f>IFERROR(VLOOKUP(C413,'Neraca Saldo'!$B$6:$C$56,2,0),"")</f>
        <v>Bank</v>
      </c>
      <c r="E413" s="260" t="s">
        <v>94</v>
      </c>
      <c r="F413" s="232" t="s">
        <v>77</v>
      </c>
      <c r="G413" s="232"/>
      <c r="H413" s="236">
        <f>I412</f>
        <v>0</v>
      </c>
      <c r="I413" s="236">
        <f>H412</f>
        <v>5680</v>
      </c>
    </row>
    <row r="414" spans="2:9" hidden="1" x14ac:dyDescent="0.2">
      <c r="B414" s="231">
        <v>45777</v>
      </c>
      <c r="C414" s="232">
        <v>521</v>
      </c>
      <c r="D414" s="232" t="str">
        <f>IFERROR(VLOOKUP(C414,'Neraca Saldo'!$B$6:$C$56,2,0),"")</f>
        <v>Beban Biaya Bank</v>
      </c>
      <c r="E414" s="260" t="s">
        <v>95</v>
      </c>
      <c r="F414" s="232" t="s">
        <v>77</v>
      </c>
      <c r="G414" s="232"/>
      <c r="H414" s="196">
        <v>10000</v>
      </c>
      <c r="I414" s="236">
        <v>0</v>
      </c>
    </row>
    <row r="415" spans="2:9" hidden="1" x14ac:dyDescent="0.2">
      <c r="B415" s="231">
        <v>45777</v>
      </c>
      <c r="C415" s="232">
        <v>111</v>
      </c>
      <c r="D415" s="232" t="str">
        <f>IFERROR(VLOOKUP(C415,'Neraca Saldo'!$B$6:$C$56,2,0),"")</f>
        <v>Bank</v>
      </c>
      <c r="E415" s="260" t="s">
        <v>95</v>
      </c>
      <c r="F415" s="232" t="s">
        <v>77</v>
      </c>
      <c r="G415" s="232"/>
      <c r="H415" s="236">
        <f>I414</f>
        <v>0</v>
      </c>
      <c r="I415" s="236">
        <f>H414</f>
        <v>10000</v>
      </c>
    </row>
    <row r="416" spans="2:9" hidden="1" x14ac:dyDescent="0.2">
      <c r="B416" s="231">
        <v>45777</v>
      </c>
      <c r="C416" s="232">
        <v>232</v>
      </c>
      <c r="D416" s="232" t="str">
        <f>IFERROR(VLOOKUP(C416,'Neraca Saldo'!$B$6:$C$56,2,0),"")</f>
        <v>Hutang Pajak</v>
      </c>
      <c r="E416" s="194" t="s">
        <v>1000</v>
      </c>
      <c r="F416" s="232" t="s">
        <v>838</v>
      </c>
      <c r="G416" s="217" t="s">
        <v>1001</v>
      </c>
      <c r="H416" s="188">
        <v>1062745</v>
      </c>
      <c r="I416" s="236">
        <v>0</v>
      </c>
    </row>
    <row r="417" spans="2:9" hidden="1" x14ac:dyDescent="0.2">
      <c r="B417" s="231">
        <v>45777</v>
      </c>
      <c r="C417" s="232">
        <v>112</v>
      </c>
      <c r="D417" s="232" t="str">
        <f>IFERROR(VLOOKUP(C417,'Neraca Saldo'!$B$6:$C$56,2,0),"")</f>
        <v>Kas</v>
      </c>
      <c r="E417" s="194" t="s">
        <v>1000</v>
      </c>
      <c r="F417" s="232" t="s">
        <v>838</v>
      </c>
      <c r="G417" s="217" t="s">
        <v>1001</v>
      </c>
      <c r="H417" s="236">
        <f>I416</f>
        <v>0</v>
      </c>
      <c r="I417" s="236">
        <f>H416</f>
        <v>1062745</v>
      </c>
    </row>
    <row r="418" spans="2:9" hidden="1" x14ac:dyDescent="0.2">
      <c r="B418" s="231">
        <v>45777</v>
      </c>
      <c r="C418" s="232">
        <v>232</v>
      </c>
      <c r="D418" s="232" t="str">
        <f>IFERROR(VLOOKUP(C418,'Neraca Saldo'!$B$6:$C$56,2,0),"")</f>
        <v>Hutang Pajak</v>
      </c>
      <c r="E418" s="194" t="s">
        <v>1000</v>
      </c>
      <c r="F418" s="232" t="s">
        <v>838</v>
      </c>
      <c r="G418" s="217" t="s">
        <v>1002</v>
      </c>
      <c r="H418" s="188">
        <v>701204</v>
      </c>
      <c r="I418" s="236">
        <v>0</v>
      </c>
    </row>
    <row r="419" spans="2:9" hidden="1" x14ac:dyDescent="0.2">
      <c r="B419" s="231">
        <v>45777</v>
      </c>
      <c r="C419" s="232">
        <v>112</v>
      </c>
      <c r="D419" s="232" t="str">
        <f>IFERROR(VLOOKUP(C419,'Neraca Saldo'!$B$6:$C$56,2,0),"")</f>
        <v>Kas</v>
      </c>
      <c r="E419" s="194" t="s">
        <v>1000</v>
      </c>
      <c r="F419" s="232" t="s">
        <v>838</v>
      </c>
      <c r="G419" s="217" t="s">
        <v>1002</v>
      </c>
      <c r="H419" s="236">
        <f>I418</f>
        <v>0</v>
      </c>
      <c r="I419" s="236">
        <f>H418</f>
        <v>701204</v>
      </c>
    </row>
    <row r="420" spans="2:9" hidden="1" x14ac:dyDescent="0.2">
      <c r="B420" s="231">
        <v>45777</v>
      </c>
      <c r="C420" s="232">
        <v>232</v>
      </c>
      <c r="D420" s="232" t="str">
        <f>IFERROR(VLOOKUP(C420,'Neraca Saldo'!$B$6:$C$56,2,0),"")</f>
        <v>Hutang Pajak</v>
      </c>
      <c r="E420" s="194" t="s">
        <v>1000</v>
      </c>
      <c r="F420" s="232" t="s">
        <v>838</v>
      </c>
      <c r="G420" s="217" t="s">
        <v>1003</v>
      </c>
      <c r="H420" s="188">
        <v>667988</v>
      </c>
      <c r="I420" s="236">
        <v>0</v>
      </c>
    </row>
    <row r="421" spans="2:9" hidden="1" x14ac:dyDescent="0.2">
      <c r="B421" s="231">
        <v>45777</v>
      </c>
      <c r="C421" s="232">
        <v>112</v>
      </c>
      <c r="D421" s="232" t="str">
        <f>IFERROR(VLOOKUP(C421,'Neraca Saldo'!$B$6:$C$56,2,0),"")</f>
        <v>Kas</v>
      </c>
      <c r="E421" s="194" t="s">
        <v>1000</v>
      </c>
      <c r="F421" s="232" t="s">
        <v>838</v>
      </c>
      <c r="G421" s="217" t="s">
        <v>1003</v>
      </c>
      <c r="H421" s="236">
        <f>I420</f>
        <v>0</v>
      </c>
      <c r="I421" s="236">
        <f>H420</f>
        <v>667988</v>
      </c>
    </row>
    <row r="422" spans="2:9" hidden="1" x14ac:dyDescent="0.2">
      <c r="B422" s="231">
        <v>45777</v>
      </c>
      <c r="C422" s="232">
        <v>232</v>
      </c>
      <c r="D422" s="232" t="str">
        <f>IFERROR(VLOOKUP(C422,'Neraca Saldo'!$B$6:$C$56,2,0),"")</f>
        <v>Hutang Pajak</v>
      </c>
      <c r="E422" s="194" t="s">
        <v>1000</v>
      </c>
      <c r="F422" s="232" t="s">
        <v>838</v>
      </c>
      <c r="G422" s="217" t="s">
        <v>1004</v>
      </c>
      <c r="H422" s="188">
        <v>624703</v>
      </c>
      <c r="I422" s="236">
        <v>0</v>
      </c>
    </row>
    <row r="423" spans="2:9" hidden="1" x14ac:dyDescent="0.2">
      <c r="B423" s="231">
        <v>45777</v>
      </c>
      <c r="C423" s="232">
        <v>112</v>
      </c>
      <c r="D423" s="232" t="str">
        <f>IFERROR(VLOOKUP(C423,'Neraca Saldo'!$B$6:$C$56,2,0),"")</f>
        <v>Kas</v>
      </c>
      <c r="E423" s="194" t="s">
        <v>1000</v>
      </c>
      <c r="F423" s="232" t="s">
        <v>838</v>
      </c>
      <c r="G423" s="217" t="s">
        <v>1004</v>
      </c>
      <c r="H423" s="236">
        <f>I422</f>
        <v>0</v>
      </c>
      <c r="I423" s="236">
        <f>H422</f>
        <v>624703</v>
      </c>
    </row>
    <row r="424" spans="2:9" hidden="1" x14ac:dyDescent="0.2">
      <c r="B424" s="231">
        <v>45777</v>
      </c>
      <c r="C424" s="232">
        <v>232</v>
      </c>
      <c r="D424" s="232" t="str">
        <f>IFERROR(VLOOKUP(C424,'Neraca Saldo'!$B$6:$C$56,2,0),"")</f>
        <v>Hutang Pajak</v>
      </c>
      <c r="E424" s="194" t="s">
        <v>1000</v>
      </c>
      <c r="F424" s="232" t="s">
        <v>838</v>
      </c>
      <c r="G424" s="217" t="s">
        <v>1005</v>
      </c>
      <c r="H424" s="188">
        <v>682046</v>
      </c>
      <c r="I424" s="236">
        <v>0</v>
      </c>
    </row>
    <row r="425" spans="2:9" hidden="1" x14ac:dyDescent="0.2">
      <c r="B425" s="231">
        <v>45777</v>
      </c>
      <c r="C425" s="232">
        <v>112</v>
      </c>
      <c r="D425" s="232" t="str">
        <f>IFERROR(VLOOKUP(C425,'Neraca Saldo'!$B$6:$C$56,2,0),"")</f>
        <v>Kas</v>
      </c>
      <c r="E425" s="194" t="s">
        <v>1000</v>
      </c>
      <c r="F425" s="232" t="s">
        <v>838</v>
      </c>
      <c r="G425" s="217" t="s">
        <v>1005</v>
      </c>
      <c r="H425" s="236">
        <f>I424</f>
        <v>0</v>
      </c>
      <c r="I425" s="236">
        <f>H424</f>
        <v>682046</v>
      </c>
    </row>
    <row r="426" spans="2:9" hidden="1" x14ac:dyDescent="0.2">
      <c r="B426" s="231">
        <v>45777</v>
      </c>
      <c r="C426" s="232">
        <v>232</v>
      </c>
      <c r="D426" s="232" t="str">
        <f>IFERROR(VLOOKUP(C426,'Neraca Saldo'!$B$6:$C$56,2,0),"")</f>
        <v>Hutang Pajak</v>
      </c>
      <c r="E426" s="194" t="s">
        <v>1000</v>
      </c>
      <c r="F426" s="232" t="s">
        <v>838</v>
      </c>
      <c r="G426" s="217" t="s">
        <v>1006</v>
      </c>
      <c r="H426" s="188">
        <v>689370</v>
      </c>
      <c r="I426" s="236">
        <v>0</v>
      </c>
    </row>
    <row r="427" spans="2:9" hidden="1" x14ac:dyDescent="0.2">
      <c r="B427" s="231">
        <v>45777</v>
      </c>
      <c r="C427" s="232">
        <v>112</v>
      </c>
      <c r="D427" s="232" t="str">
        <f>IFERROR(VLOOKUP(C427,'Neraca Saldo'!$B$6:$C$56,2,0),"")</f>
        <v>Kas</v>
      </c>
      <c r="E427" s="194" t="s">
        <v>1000</v>
      </c>
      <c r="F427" s="232" t="s">
        <v>838</v>
      </c>
      <c r="G427" s="217" t="s">
        <v>1006</v>
      </c>
      <c r="H427" s="236">
        <f>I426</f>
        <v>0</v>
      </c>
      <c r="I427" s="236">
        <f>H426</f>
        <v>689370</v>
      </c>
    </row>
    <row r="428" spans="2:9" hidden="1" x14ac:dyDescent="0.2">
      <c r="B428" s="231">
        <v>45777</v>
      </c>
      <c r="C428" s="232">
        <v>232</v>
      </c>
      <c r="D428" s="232" t="str">
        <f>IFERROR(VLOOKUP(C428,'Neraca Saldo'!$B$6:$C$56,2,0),"")</f>
        <v>Hutang Pajak</v>
      </c>
      <c r="E428" s="194" t="s">
        <v>1000</v>
      </c>
      <c r="F428" s="232" t="s">
        <v>838</v>
      </c>
      <c r="G428" s="217" t="s">
        <v>1007</v>
      </c>
      <c r="H428" s="188">
        <v>550247</v>
      </c>
      <c r="I428" s="236">
        <v>0</v>
      </c>
    </row>
    <row r="429" spans="2:9" hidden="1" x14ac:dyDescent="0.2">
      <c r="B429" s="231">
        <v>45777</v>
      </c>
      <c r="C429" s="232">
        <v>112</v>
      </c>
      <c r="D429" s="232" t="str">
        <f>IFERROR(VLOOKUP(C429,'Neraca Saldo'!$B$6:$C$56,2,0),"")</f>
        <v>Kas</v>
      </c>
      <c r="E429" s="194" t="s">
        <v>1000</v>
      </c>
      <c r="F429" s="232" t="s">
        <v>838</v>
      </c>
      <c r="G429" s="217" t="s">
        <v>1007</v>
      </c>
      <c r="H429" s="236">
        <f>I428</f>
        <v>0</v>
      </c>
      <c r="I429" s="236">
        <f>H428</f>
        <v>550247</v>
      </c>
    </row>
    <row r="430" spans="2:9" hidden="1" x14ac:dyDescent="0.2">
      <c r="B430" s="231">
        <v>45777</v>
      </c>
      <c r="C430" s="232">
        <v>232</v>
      </c>
      <c r="D430" s="232" t="str">
        <f>IFERROR(VLOOKUP(C430,'Neraca Saldo'!$B$6:$C$56,2,0),"")</f>
        <v>Hutang Pajak</v>
      </c>
      <c r="E430" s="194" t="s">
        <v>1000</v>
      </c>
      <c r="F430" s="232" t="s">
        <v>838</v>
      </c>
      <c r="G430" s="217" t="s">
        <v>1008</v>
      </c>
      <c r="H430" s="188">
        <v>502687</v>
      </c>
      <c r="I430" s="236">
        <v>0</v>
      </c>
    </row>
    <row r="431" spans="2:9" hidden="1" x14ac:dyDescent="0.2">
      <c r="B431" s="231">
        <v>45777</v>
      </c>
      <c r="C431" s="232">
        <v>112</v>
      </c>
      <c r="D431" s="232" t="str">
        <f>IFERROR(VLOOKUP(C431,'Neraca Saldo'!$B$6:$C$56,2,0),"")</f>
        <v>Kas</v>
      </c>
      <c r="E431" s="194" t="s">
        <v>1000</v>
      </c>
      <c r="F431" s="232" t="s">
        <v>838</v>
      </c>
      <c r="G431" s="217" t="s">
        <v>1008</v>
      </c>
      <c r="H431" s="236">
        <f>I430</f>
        <v>0</v>
      </c>
      <c r="I431" s="236">
        <f>H430</f>
        <v>502687</v>
      </c>
    </row>
    <row r="432" spans="2:9" hidden="1" x14ac:dyDescent="0.2">
      <c r="B432" s="231">
        <v>45777</v>
      </c>
      <c r="C432" s="232">
        <v>232</v>
      </c>
      <c r="D432" s="232" t="str">
        <f>IFERROR(VLOOKUP(C432,'Neraca Saldo'!$B$6:$C$56,2,0),"")</f>
        <v>Hutang Pajak</v>
      </c>
      <c r="E432" s="194" t="s">
        <v>1000</v>
      </c>
      <c r="F432" s="232" t="s">
        <v>838</v>
      </c>
      <c r="G432" s="217" t="s">
        <v>1009</v>
      </c>
      <c r="H432" s="188">
        <v>373289</v>
      </c>
      <c r="I432" s="236">
        <v>0</v>
      </c>
    </row>
    <row r="433" spans="2:9" hidden="1" x14ac:dyDescent="0.2">
      <c r="B433" s="231">
        <v>45777</v>
      </c>
      <c r="C433" s="232">
        <v>112</v>
      </c>
      <c r="D433" s="232" t="str">
        <f>IFERROR(VLOOKUP(C433,'Neraca Saldo'!$B$6:$C$56,2,0),"")</f>
        <v>Kas</v>
      </c>
      <c r="E433" s="194" t="s">
        <v>1000</v>
      </c>
      <c r="F433" s="232" t="s">
        <v>838</v>
      </c>
      <c r="G433" s="217" t="s">
        <v>1009</v>
      </c>
      <c r="H433" s="236">
        <f>I432</f>
        <v>0</v>
      </c>
      <c r="I433" s="236">
        <f>H432</f>
        <v>373289</v>
      </c>
    </row>
    <row r="434" spans="2:9" hidden="1" x14ac:dyDescent="0.2">
      <c r="B434" s="231">
        <v>45777</v>
      </c>
      <c r="C434" s="232">
        <v>232</v>
      </c>
      <c r="D434" s="232" t="str">
        <f>IFERROR(VLOOKUP(C434,'Neraca Saldo'!$B$6:$C$56,2,0),"")</f>
        <v>Hutang Pajak</v>
      </c>
      <c r="E434" s="194" t="s">
        <v>1000</v>
      </c>
      <c r="F434" s="232" t="s">
        <v>838</v>
      </c>
      <c r="G434" s="217" t="s">
        <v>1010</v>
      </c>
      <c r="H434" s="188">
        <v>372384</v>
      </c>
      <c r="I434" s="236">
        <v>0</v>
      </c>
    </row>
    <row r="435" spans="2:9" hidden="1" x14ac:dyDescent="0.2">
      <c r="B435" s="231">
        <v>45777</v>
      </c>
      <c r="C435" s="232">
        <v>112</v>
      </c>
      <c r="D435" s="232" t="str">
        <f>IFERROR(VLOOKUP(C435,'Neraca Saldo'!$B$6:$C$56,2,0),"")</f>
        <v>Kas</v>
      </c>
      <c r="E435" s="194" t="s">
        <v>1000</v>
      </c>
      <c r="F435" s="232" t="s">
        <v>838</v>
      </c>
      <c r="G435" s="217" t="s">
        <v>1010</v>
      </c>
      <c r="H435" s="236">
        <f t="shared" ref="H435:H497" si="6">I434</f>
        <v>0</v>
      </c>
      <c r="I435" s="236">
        <f t="shared" ref="I435:I497" si="7">H434</f>
        <v>372384</v>
      </c>
    </row>
    <row r="436" spans="2:9" hidden="1" x14ac:dyDescent="0.2">
      <c r="B436" s="231">
        <v>45777</v>
      </c>
      <c r="C436" s="232">
        <v>232</v>
      </c>
      <c r="D436" s="232" t="str">
        <f>IFERROR(VLOOKUP(C436,'Neraca Saldo'!$B$6:$C$56,2,0),"")</f>
        <v>Hutang Pajak</v>
      </c>
      <c r="E436" s="194" t="s">
        <v>1000</v>
      </c>
      <c r="F436" s="232" t="s">
        <v>838</v>
      </c>
      <c r="G436" s="217" t="s">
        <v>1011</v>
      </c>
      <c r="H436" s="188">
        <v>571191</v>
      </c>
      <c r="I436" s="236">
        <v>0</v>
      </c>
    </row>
    <row r="437" spans="2:9" hidden="1" x14ac:dyDescent="0.2">
      <c r="B437" s="231">
        <v>45777</v>
      </c>
      <c r="C437" s="232">
        <v>112</v>
      </c>
      <c r="D437" s="232" t="str">
        <f>IFERROR(VLOOKUP(C437,'Neraca Saldo'!$B$6:$C$56,2,0),"")</f>
        <v>Kas</v>
      </c>
      <c r="E437" s="194" t="s">
        <v>1000</v>
      </c>
      <c r="F437" s="232" t="s">
        <v>838</v>
      </c>
      <c r="G437" s="217" t="s">
        <v>1011</v>
      </c>
      <c r="H437" s="236">
        <f t="shared" si="6"/>
        <v>0</v>
      </c>
      <c r="I437" s="236">
        <f t="shared" si="7"/>
        <v>571191</v>
      </c>
    </row>
    <row r="438" spans="2:9" hidden="1" x14ac:dyDescent="0.2">
      <c r="B438" s="231">
        <v>45777</v>
      </c>
      <c r="C438" s="232">
        <v>232</v>
      </c>
      <c r="D438" s="232" t="str">
        <f>IFERROR(VLOOKUP(C438,'Neraca Saldo'!$B$6:$C$56,2,0),"")</f>
        <v>Hutang Pajak</v>
      </c>
      <c r="E438" s="194" t="s">
        <v>1000</v>
      </c>
      <c r="F438" s="232" t="s">
        <v>838</v>
      </c>
      <c r="G438" s="217" t="s">
        <v>1012</v>
      </c>
      <c r="H438" s="188">
        <v>470124</v>
      </c>
      <c r="I438" s="236">
        <v>0</v>
      </c>
    </row>
    <row r="439" spans="2:9" hidden="1" x14ac:dyDescent="0.2">
      <c r="B439" s="231">
        <v>45777</v>
      </c>
      <c r="C439" s="232">
        <v>112</v>
      </c>
      <c r="D439" s="232" t="str">
        <f>IFERROR(VLOOKUP(C439,'Neraca Saldo'!$B$6:$C$56,2,0),"")</f>
        <v>Kas</v>
      </c>
      <c r="E439" s="194" t="s">
        <v>1000</v>
      </c>
      <c r="F439" s="232" t="s">
        <v>838</v>
      </c>
      <c r="G439" s="217" t="s">
        <v>1012</v>
      </c>
      <c r="H439" s="236">
        <f t="shared" si="6"/>
        <v>0</v>
      </c>
      <c r="I439" s="236">
        <f t="shared" si="7"/>
        <v>470124</v>
      </c>
    </row>
    <row r="440" spans="2:9" hidden="1" x14ac:dyDescent="0.2">
      <c r="B440" s="231">
        <v>45777</v>
      </c>
      <c r="C440" s="232">
        <v>515</v>
      </c>
      <c r="D440" s="232" t="str">
        <f>IFERROR(VLOOKUP(C440,'Neraca Saldo'!$B$6:$C$56,2,0),"")</f>
        <v>Beban Gaji</v>
      </c>
      <c r="E440" s="194" t="s">
        <v>1013</v>
      </c>
      <c r="F440" s="232" t="s">
        <v>838</v>
      </c>
      <c r="G440" s="217"/>
      <c r="H440" s="188">
        <v>2420000</v>
      </c>
      <c r="I440" s="236">
        <v>0</v>
      </c>
    </row>
    <row r="441" spans="2:9" hidden="1" x14ac:dyDescent="0.2">
      <c r="B441" s="231">
        <v>45777</v>
      </c>
      <c r="C441" s="232">
        <v>112</v>
      </c>
      <c r="D441" s="232" t="str">
        <f>IFERROR(VLOOKUP(C441,'Neraca Saldo'!$B$6:$C$56,2,0),"")</f>
        <v>Kas</v>
      </c>
      <c r="E441" s="194" t="s">
        <v>1013</v>
      </c>
      <c r="F441" s="232" t="s">
        <v>838</v>
      </c>
      <c r="G441" s="217"/>
      <c r="H441" s="236">
        <f t="shared" si="6"/>
        <v>0</v>
      </c>
      <c r="I441" s="236">
        <f t="shared" si="7"/>
        <v>2420000</v>
      </c>
    </row>
    <row r="442" spans="2:9" hidden="1" x14ac:dyDescent="0.2">
      <c r="B442" s="231">
        <v>45777</v>
      </c>
      <c r="C442" s="232">
        <v>515</v>
      </c>
      <c r="D442" s="232" t="str">
        <f>IFERROR(VLOOKUP(C442,'Neraca Saldo'!$B$6:$C$56,2,0),"")</f>
        <v>Beban Gaji</v>
      </c>
      <c r="E442" s="194" t="s">
        <v>1014</v>
      </c>
      <c r="F442" s="232" t="s">
        <v>838</v>
      </c>
      <c r="G442" s="217"/>
      <c r="H442" s="188">
        <v>2220000</v>
      </c>
      <c r="I442" s="236">
        <v>0</v>
      </c>
    </row>
    <row r="443" spans="2:9" hidden="1" x14ac:dyDescent="0.2">
      <c r="B443" s="231">
        <v>45777</v>
      </c>
      <c r="C443" s="232">
        <v>112</v>
      </c>
      <c r="D443" s="232" t="str">
        <f>IFERROR(VLOOKUP(C443,'Neraca Saldo'!$B$6:$C$56,2,0),"")</f>
        <v>Kas</v>
      </c>
      <c r="E443" s="194" t="s">
        <v>1014</v>
      </c>
      <c r="F443" s="232" t="s">
        <v>838</v>
      </c>
      <c r="G443" s="217"/>
      <c r="H443" s="236">
        <f t="shared" si="6"/>
        <v>0</v>
      </c>
      <c r="I443" s="236">
        <f t="shared" si="7"/>
        <v>2220000</v>
      </c>
    </row>
    <row r="444" spans="2:9" hidden="1" x14ac:dyDescent="0.2">
      <c r="B444" s="238">
        <v>45779</v>
      </c>
      <c r="C444" s="239">
        <v>111</v>
      </c>
      <c r="D444" s="239" t="str">
        <f>IFERROR(VLOOKUP(C444,'Neraca Saldo'!$B$6:$C$56,2,0),"")</f>
        <v>Bank</v>
      </c>
      <c r="E444" s="258" t="s">
        <v>989</v>
      </c>
      <c r="F444" s="244" t="s">
        <v>77</v>
      </c>
      <c r="G444" s="218"/>
      <c r="H444" s="245">
        <v>200000</v>
      </c>
      <c r="I444" s="240">
        <v>0</v>
      </c>
    </row>
    <row r="445" spans="2:9" hidden="1" x14ac:dyDescent="0.2">
      <c r="B445" s="238">
        <v>45779</v>
      </c>
      <c r="C445" s="239">
        <v>212</v>
      </c>
      <c r="D445" s="239" t="str">
        <f>IFERROR(VLOOKUP(C445,'Neraca Saldo'!$B$6:$C$56,2,0),"")</f>
        <v>Simpanan Karyawan</v>
      </c>
      <c r="E445" s="258" t="s">
        <v>989</v>
      </c>
      <c r="F445" s="244" t="s">
        <v>77</v>
      </c>
      <c r="G445" s="218"/>
      <c r="H445" s="240">
        <f t="shared" si="6"/>
        <v>0</v>
      </c>
      <c r="I445" s="240">
        <f t="shared" si="7"/>
        <v>200000</v>
      </c>
    </row>
    <row r="446" spans="2:9" hidden="1" x14ac:dyDescent="0.2">
      <c r="B446" s="238">
        <v>45779</v>
      </c>
      <c r="C446" s="239">
        <v>111</v>
      </c>
      <c r="D446" s="239" t="str">
        <f>IFERROR(VLOOKUP(C446,'Neraca Saldo'!$B$6:$C$56,2,0),"")</f>
        <v>Bank</v>
      </c>
      <c r="E446" s="258" t="s">
        <v>1015</v>
      </c>
      <c r="F446" s="244" t="s">
        <v>77</v>
      </c>
      <c r="G446" s="218"/>
      <c r="H446" s="245">
        <v>350000</v>
      </c>
      <c r="I446" s="240">
        <v>0</v>
      </c>
    </row>
    <row r="447" spans="2:9" hidden="1" x14ac:dyDescent="0.2">
      <c r="B447" s="238">
        <v>45779</v>
      </c>
      <c r="C447" s="239">
        <v>212</v>
      </c>
      <c r="D447" s="239" t="str">
        <f>IFERROR(VLOOKUP(C447,'Neraca Saldo'!$B$6:$C$56,2,0),"")</f>
        <v>Simpanan Karyawan</v>
      </c>
      <c r="E447" s="258" t="s">
        <v>1015</v>
      </c>
      <c r="F447" s="244" t="s">
        <v>77</v>
      </c>
      <c r="G447" s="218"/>
      <c r="H447" s="240">
        <f t="shared" si="6"/>
        <v>0</v>
      </c>
      <c r="I447" s="240">
        <f t="shared" si="7"/>
        <v>350000</v>
      </c>
    </row>
    <row r="448" spans="2:9" hidden="1" x14ac:dyDescent="0.2">
      <c r="B448" s="238">
        <v>45779</v>
      </c>
      <c r="C448" s="239">
        <v>111</v>
      </c>
      <c r="D448" s="239" t="str">
        <f>IFERROR(VLOOKUP(C448,'Neraca Saldo'!$B$6:$C$56,2,0),"")</f>
        <v>Bank</v>
      </c>
      <c r="E448" s="258" t="s">
        <v>1016</v>
      </c>
      <c r="F448" s="244" t="s">
        <v>77</v>
      </c>
      <c r="G448" s="218"/>
      <c r="H448" s="245">
        <v>350000</v>
      </c>
      <c r="I448" s="240">
        <v>0</v>
      </c>
    </row>
    <row r="449" spans="2:9" hidden="1" x14ac:dyDescent="0.2">
      <c r="B449" s="238">
        <v>45779</v>
      </c>
      <c r="C449" s="239">
        <v>212</v>
      </c>
      <c r="D449" s="239" t="str">
        <f>IFERROR(VLOOKUP(C449,'Neraca Saldo'!$B$6:$C$56,2,0),"")</f>
        <v>Simpanan Karyawan</v>
      </c>
      <c r="E449" s="258" t="s">
        <v>1016</v>
      </c>
      <c r="F449" s="244" t="s">
        <v>77</v>
      </c>
      <c r="G449" s="218"/>
      <c r="H449" s="240">
        <f t="shared" si="6"/>
        <v>0</v>
      </c>
      <c r="I449" s="240">
        <f t="shared" si="7"/>
        <v>350000</v>
      </c>
    </row>
    <row r="450" spans="2:9" hidden="1" x14ac:dyDescent="0.2">
      <c r="B450" s="238">
        <v>45779</v>
      </c>
      <c r="C450" s="239">
        <v>111</v>
      </c>
      <c r="D450" s="239" t="str">
        <f>IFERROR(VLOOKUP(C450,'Neraca Saldo'!$B$6:$C$56,2,0),"")</f>
        <v>Bank</v>
      </c>
      <c r="E450" s="258" t="s">
        <v>1017</v>
      </c>
      <c r="F450" s="244" t="s">
        <v>77</v>
      </c>
      <c r="G450" s="218"/>
      <c r="H450" s="245">
        <v>164000</v>
      </c>
      <c r="I450" s="240">
        <v>0</v>
      </c>
    </row>
    <row r="451" spans="2:9" hidden="1" x14ac:dyDescent="0.2">
      <c r="B451" s="238">
        <v>45779</v>
      </c>
      <c r="C451" s="239">
        <v>212</v>
      </c>
      <c r="D451" s="239" t="str">
        <f>IFERROR(VLOOKUP(C451,'Neraca Saldo'!$B$6:$C$56,2,0),"")</f>
        <v>Simpanan Karyawan</v>
      </c>
      <c r="E451" s="258" t="s">
        <v>1017</v>
      </c>
      <c r="F451" s="244" t="s">
        <v>77</v>
      </c>
      <c r="G451" s="218"/>
      <c r="H451" s="240">
        <f t="shared" si="6"/>
        <v>0</v>
      </c>
      <c r="I451" s="240">
        <f t="shared" si="7"/>
        <v>164000</v>
      </c>
    </row>
    <row r="452" spans="2:9" hidden="1" x14ac:dyDescent="0.2">
      <c r="B452" s="238">
        <v>45782</v>
      </c>
      <c r="C452" s="239">
        <v>111</v>
      </c>
      <c r="D452" s="239" t="str">
        <f>IFERROR(VLOOKUP(C452,'Neraca Saldo'!$B$6:$C$56,2,0),"")</f>
        <v>Bank</v>
      </c>
      <c r="E452" s="258" t="s">
        <v>987</v>
      </c>
      <c r="F452" s="244" t="s">
        <v>77</v>
      </c>
      <c r="G452" s="218"/>
      <c r="H452" s="245">
        <v>200000</v>
      </c>
      <c r="I452" s="240">
        <v>0</v>
      </c>
    </row>
    <row r="453" spans="2:9" hidden="1" x14ac:dyDescent="0.2">
      <c r="B453" s="238">
        <v>45782</v>
      </c>
      <c r="C453" s="239">
        <v>212</v>
      </c>
      <c r="D453" s="239" t="str">
        <f>IFERROR(VLOOKUP(C453,'Neraca Saldo'!$B$6:$C$56,2,0),"")</f>
        <v>Simpanan Karyawan</v>
      </c>
      <c r="E453" s="258" t="s">
        <v>987</v>
      </c>
      <c r="F453" s="244" t="s">
        <v>77</v>
      </c>
      <c r="G453" s="218"/>
      <c r="H453" s="240">
        <f t="shared" si="6"/>
        <v>0</v>
      </c>
      <c r="I453" s="240">
        <f t="shared" si="7"/>
        <v>200000</v>
      </c>
    </row>
    <row r="454" spans="2:9" hidden="1" x14ac:dyDescent="0.2">
      <c r="B454" s="238">
        <v>45782</v>
      </c>
      <c r="C454" s="239">
        <v>111</v>
      </c>
      <c r="D454" s="239" t="str">
        <f>IFERROR(VLOOKUP(C454,'Neraca Saldo'!$B$6:$C$56,2,0),"")</f>
        <v>Bank</v>
      </c>
      <c r="E454" s="258" t="s">
        <v>1018</v>
      </c>
      <c r="F454" s="244" t="s">
        <v>77</v>
      </c>
      <c r="G454" s="218"/>
      <c r="H454" s="245">
        <v>350000</v>
      </c>
      <c r="I454" s="240">
        <v>0</v>
      </c>
    </row>
    <row r="455" spans="2:9" hidden="1" x14ac:dyDescent="0.2">
      <c r="B455" s="238">
        <v>45782</v>
      </c>
      <c r="C455" s="239">
        <v>212</v>
      </c>
      <c r="D455" s="239" t="str">
        <f>IFERROR(VLOOKUP(C455,'Neraca Saldo'!$B$6:$C$56,2,0),"")</f>
        <v>Simpanan Karyawan</v>
      </c>
      <c r="E455" s="258" t="s">
        <v>1018</v>
      </c>
      <c r="F455" s="244" t="s">
        <v>77</v>
      </c>
      <c r="G455" s="218"/>
      <c r="H455" s="240">
        <f t="shared" si="6"/>
        <v>0</v>
      </c>
      <c r="I455" s="240">
        <f t="shared" si="7"/>
        <v>350000</v>
      </c>
    </row>
    <row r="456" spans="2:9" hidden="1" x14ac:dyDescent="0.2">
      <c r="B456" s="238">
        <v>45782</v>
      </c>
      <c r="C456" s="239">
        <v>111</v>
      </c>
      <c r="D456" s="239" t="str">
        <f>IFERROR(VLOOKUP(C456,'Neraca Saldo'!$B$6:$C$56,2,0),"")</f>
        <v>Bank</v>
      </c>
      <c r="E456" s="258" t="s">
        <v>988</v>
      </c>
      <c r="F456" s="244" t="s">
        <v>77</v>
      </c>
      <c r="G456" s="218"/>
      <c r="H456" s="245">
        <v>200000</v>
      </c>
      <c r="I456" s="240">
        <v>0</v>
      </c>
    </row>
    <row r="457" spans="2:9" hidden="1" x14ac:dyDescent="0.2">
      <c r="B457" s="238">
        <v>45782</v>
      </c>
      <c r="C457" s="239">
        <v>212</v>
      </c>
      <c r="D457" s="239" t="str">
        <f>IFERROR(VLOOKUP(C457,'Neraca Saldo'!$B$6:$C$56,2,0),"")</f>
        <v>Simpanan Karyawan</v>
      </c>
      <c r="E457" s="258" t="s">
        <v>988</v>
      </c>
      <c r="F457" s="244" t="s">
        <v>77</v>
      </c>
      <c r="G457" s="218"/>
      <c r="H457" s="240">
        <f t="shared" si="6"/>
        <v>0</v>
      </c>
      <c r="I457" s="240">
        <f t="shared" si="7"/>
        <v>200000</v>
      </c>
    </row>
    <row r="458" spans="2:9" hidden="1" x14ac:dyDescent="0.2">
      <c r="B458" s="238">
        <v>45782</v>
      </c>
      <c r="C458" s="239">
        <v>111</v>
      </c>
      <c r="D458" s="239" t="str">
        <f>IFERROR(VLOOKUP(C458,'Neraca Saldo'!$B$6:$C$56,2,0),"")</f>
        <v>Bank</v>
      </c>
      <c r="E458" s="258" t="s">
        <v>1019</v>
      </c>
      <c r="F458" s="244" t="s">
        <v>77</v>
      </c>
      <c r="G458" s="218"/>
      <c r="H458" s="245">
        <v>350000</v>
      </c>
      <c r="I458" s="240">
        <v>0</v>
      </c>
    </row>
    <row r="459" spans="2:9" hidden="1" x14ac:dyDescent="0.2">
      <c r="B459" s="238">
        <v>45782</v>
      </c>
      <c r="C459" s="239">
        <v>212</v>
      </c>
      <c r="D459" s="239" t="str">
        <f>IFERROR(VLOOKUP(C459,'Neraca Saldo'!$B$6:$C$56,2,0),"")</f>
        <v>Simpanan Karyawan</v>
      </c>
      <c r="E459" s="258" t="s">
        <v>1019</v>
      </c>
      <c r="F459" s="244" t="s">
        <v>77</v>
      </c>
      <c r="G459" s="218"/>
      <c r="H459" s="240">
        <f t="shared" si="6"/>
        <v>0</v>
      </c>
      <c r="I459" s="240">
        <f t="shared" si="7"/>
        <v>350000</v>
      </c>
    </row>
    <row r="460" spans="2:9" hidden="1" x14ac:dyDescent="0.2">
      <c r="B460" s="238">
        <v>45782</v>
      </c>
      <c r="C460" s="239">
        <v>111</v>
      </c>
      <c r="D460" s="239" t="str">
        <f>IFERROR(VLOOKUP(C460,'Neraca Saldo'!$B$6:$C$56,2,0),"")</f>
        <v>Bank</v>
      </c>
      <c r="E460" s="258" t="s">
        <v>1020</v>
      </c>
      <c r="F460" s="244" t="s">
        <v>77</v>
      </c>
      <c r="G460" s="218"/>
      <c r="H460" s="245">
        <v>350000</v>
      </c>
      <c r="I460" s="240">
        <v>0</v>
      </c>
    </row>
    <row r="461" spans="2:9" hidden="1" x14ac:dyDescent="0.2">
      <c r="B461" s="238">
        <v>45782</v>
      </c>
      <c r="C461" s="239">
        <v>212</v>
      </c>
      <c r="D461" s="239" t="str">
        <f>IFERROR(VLOOKUP(C461,'Neraca Saldo'!$B$6:$C$56,2,0),"")</f>
        <v>Simpanan Karyawan</v>
      </c>
      <c r="E461" s="258" t="s">
        <v>1020</v>
      </c>
      <c r="F461" s="244" t="s">
        <v>77</v>
      </c>
      <c r="G461" s="218"/>
      <c r="H461" s="240">
        <f t="shared" si="6"/>
        <v>0</v>
      </c>
      <c r="I461" s="240">
        <f t="shared" si="7"/>
        <v>350000</v>
      </c>
    </row>
    <row r="462" spans="2:9" hidden="1" x14ac:dyDescent="0.2">
      <c r="B462" s="238">
        <v>45782</v>
      </c>
      <c r="C462" s="239">
        <v>111</v>
      </c>
      <c r="D462" s="239" t="str">
        <f>IFERROR(VLOOKUP(C462,'Neraca Saldo'!$B$6:$C$56,2,0),"")</f>
        <v>Bank</v>
      </c>
      <c r="E462" s="258" t="s">
        <v>1021</v>
      </c>
      <c r="F462" s="244" t="s">
        <v>77</v>
      </c>
      <c r="G462" s="218"/>
      <c r="H462" s="245">
        <v>350000</v>
      </c>
      <c r="I462" s="240">
        <v>0</v>
      </c>
    </row>
    <row r="463" spans="2:9" hidden="1" x14ac:dyDescent="0.2">
      <c r="B463" s="238">
        <v>45782</v>
      </c>
      <c r="C463" s="239">
        <v>212</v>
      </c>
      <c r="D463" s="239" t="str">
        <f>IFERROR(VLOOKUP(C463,'Neraca Saldo'!$B$6:$C$56,2,0),"")</f>
        <v>Simpanan Karyawan</v>
      </c>
      <c r="E463" s="258" t="s">
        <v>1021</v>
      </c>
      <c r="F463" s="244" t="s">
        <v>77</v>
      </c>
      <c r="G463" s="218"/>
      <c r="H463" s="240">
        <f t="shared" si="6"/>
        <v>0</v>
      </c>
      <c r="I463" s="240">
        <f t="shared" si="7"/>
        <v>350000</v>
      </c>
    </row>
    <row r="464" spans="2:9" hidden="1" x14ac:dyDescent="0.2">
      <c r="B464" s="238">
        <v>45782</v>
      </c>
      <c r="C464" s="239">
        <v>111</v>
      </c>
      <c r="D464" s="239" t="str">
        <f>IFERROR(VLOOKUP(C464,'Neraca Saldo'!$B$6:$C$56,2,0),"")</f>
        <v>Bank</v>
      </c>
      <c r="E464" s="258" t="s">
        <v>1022</v>
      </c>
      <c r="F464" s="244" t="s">
        <v>77</v>
      </c>
      <c r="G464" s="218"/>
      <c r="H464" s="245">
        <v>350000</v>
      </c>
      <c r="I464" s="240">
        <v>0</v>
      </c>
    </row>
    <row r="465" spans="2:9" hidden="1" x14ac:dyDescent="0.2">
      <c r="B465" s="238">
        <v>45782</v>
      </c>
      <c r="C465" s="239">
        <v>212</v>
      </c>
      <c r="D465" s="239" t="str">
        <f>IFERROR(VLOOKUP(C465,'Neraca Saldo'!$B$6:$C$56,2,0),"")</f>
        <v>Simpanan Karyawan</v>
      </c>
      <c r="E465" s="258" t="s">
        <v>1022</v>
      </c>
      <c r="F465" s="244" t="s">
        <v>77</v>
      </c>
      <c r="G465" s="218"/>
      <c r="H465" s="240">
        <f t="shared" si="6"/>
        <v>0</v>
      </c>
      <c r="I465" s="240">
        <f t="shared" si="7"/>
        <v>350000</v>
      </c>
    </row>
    <row r="466" spans="2:9" hidden="1" x14ac:dyDescent="0.2">
      <c r="B466" s="238">
        <v>45782</v>
      </c>
      <c r="C466" s="239">
        <v>111</v>
      </c>
      <c r="D466" s="239" t="str">
        <f>IFERROR(VLOOKUP(C466,'Neraca Saldo'!$B$6:$C$56,2,0),"")</f>
        <v>Bank</v>
      </c>
      <c r="E466" s="258" t="s">
        <v>1023</v>
      </c>
      <c r="F466" s="244" t="s">
        <v>77</v>
      </c>
      <c r="G466" s="218"/>
      <c r="H466" s="245">
        <v>350000</v>
      </c>
      <c r="I466" s="240">
        <v>0</v>
      </c>
    </row>
    <row r="467" spans="2:9" hidden="1" x14ac:dyDescent="0.2">
      <c r="B467" s="238">
        <v>45782</v>
      </c>
      <c r="C467" s="239">
        <v>212</v>
      </c>
      <c r="D467" s="239" t="str">
        <f>IFERROR(VLOOKUP(C467,'Neraca Saldo'!$B$6:$C$56,2,0),"")</f>
        <v>Simpanan Karyawan</v>
      </c>
      <c r="E467" s="258" t="s">
        <v>1023</v>
      </c>
      <c r="F467" s="244" t="s">
        <v>77</v>
      </c>
      <c r="G467" s="218"/>
      <c r="H467" s="240">
        <f t="shared" si="6"/>
        <v>0</v>
      </c>
      <c r="I467" s="240">
        <f t="shared" si="7"/>
        <v>350000</v>
      </c>
    </row>
    <row r="468" spans="2:9" hidden="1" x14ac:dyDescent="0.2">
      <c r="B468" s="238">
        <v>45782</v>
      </c>
      <c r="C468" s="239">
        <v>111</v>
      </c>
      <c r="D468" s="239" t="str">
        <f>IFERROR(VLOOKUP(C468,'Neraca Saldo'!$B$6:$C$56,2,0),"")</f>
        <v>Bank</v>
      </c>
      <c r="E468" s="258" t="s">
        <v>1024</v>
      </c>
      <c r="F468" s="244" t="s">
        <v>77</v>
      </c>
      <c r="G468" s="218"/>
      <c r="H468" s="245">
        <v>350000</v>
      </c>
      <c r="I468" s="240">
        <v>0</v>
      </c>
    </row>
    <row r="469" spans="2:9" hidden="1" x14ac:dyDescent="0.2">
      <c r="B469" s="238">
        <v>45782</v>
      </c>
      <c r="C469" s="239">
        <v>212</v>
      </c>
      <c r="D469" s="239" t="str">
        <f>IFERROR(VLOOKUP(C469,'Neraca Saldo'!$B$6:$C$56,2,0),"")</f>
        <v>Simpanan Karyawan</v>
      </c>
      <c r="E469" s="258" t="s">
        <v>1024</v>
      </c>
      <c r="F469" s="244" t="s">
        <v>77</v>
      </c>
      <c r="G469" s="218"/>
      <c r="H469" s="240">
        <f t="shared" si="6"/>
        <v>0</v>
      </c>
      <c r="I469" s="240">
        <f t="shared" si="7"/>
        <v>350000</v>
      </c>
    </row>
    <row r="470" spans="2:9" hidden="1" x14ac:dyDescent="0.2">
      <c r="B470" s="238">
        <v>45782</v>
      </c>
      <c r="C470" s="239">
        <v>111</v>
      </c>
      <c r="D470" s="239" t="str">
        <f>IFERROR(VLOOKUP(C470,'Neraca Saldo'!$B$6:$C$56,2,0),"")</f>
        <v>Bank</v>
      </c>
      <c r="E470" s="258" t="s">
        <v>1025</v>
      </c>
      <c r="F470" s="244" t="s">
        <v>77</v>
      </c>
      <c r="G470" s="218"/>
      <c r="H470" s="245">
        <v>350000</v>
      </c>
      <c r="I470" s="240">
        <v>0</v>
      </c>
    </row>
    <row r="471" spans="2:9" hidden="1" x14ac:dyDescent="0.2">
      <c r="B471" s="238">
        <v>45782</v>
      </c>
      <c r="C471" s="239">
        <v>212</v>
      </c>
      <c r="D471" s="239" t="str">
        <f>IFERROR(VLOOKUP(C471,'Neraca Saldo'!$B$6:$C$56,2,0),"")</f>
        <v>Simpanan Karyawan</v>
      </c>
      <c r="E471" s="258" t="s">
        <v>1025</v>
      </c>
      <c r="F471" s="244" t="s">
        <v>77</v>
      </c>
      <c r="G471" s="218"/>
      <c r="H471" s="240">
        <f t="shared" si="6"/>
        <v>0</v>
      </c>
      <c r="I471" s="240">
        <f t="shared" si="7"/>
        <v>350000</v>
      </c>
    </row>
    <row r="472" spans="2:9" hidden="1" x14ac:dyDescent="0.2">
      <c r="B472" s="238">
        <v>45782</v>
      </c>
      <c r="C472" s="239">
        <v>111</v>
      </c>
      <c r="D472" s="239" t="str">
        <f>IFERROR(VLOOKUP(C472,'Neraca Saldo'!$B$6:$C$56,2,0),"")</f>
        <v>Bank</v>
      </c>
      <c r="E472" s="258" t="s">
        <v>1026</v>
      </c>
      <c r="F472" s="244" t="s">
        <v>77</v>
      </c>
      <c r="G472" s="218"/>
      <c r="H472" s="245">
        <v>241000</v>
      </c>
      <c r="I472" s="240">
        <v>0</v>
      </c>
    </row>
    <row r="473" spans="2:9" hidden="1" x14ac:dyDescent="0.2">
      <c r="B473" s="238">
        <v>45782</v>
      </c>
      <c r="C473" s="239">
        <v>212</v>
      </c>
      <c r="D473" s="239" t="str">
        <f>IFERROR(VLOOKUP(C473,'Neraca Saldo'!$B$6:$C$56,2,0),"")</f>
        <v>Simpanan Karyawan</v>
      </c>
      <c r="E473" s="258" t="s">
        <v>1026</v>
      </c>
      <c r="F473" s="244" t="s">
        <v>77</v>
      </c>
      <c r="G473" s="218"/>
      <c r="H473" s="240">
        <f t="shared" si="6"/>
        <v>0</v>
      </c>
      <c r="I473" s="240">
        <f t="shared" si="7"/>
        <v>241000</v>
      </c>
    </row>
    <row r="474" spans="2:9" hidden="1" x14ac:dyDescent="0.2">
      <c r="B474" s="231">
        <v>45787</v>
      </c>
      <c r="C474" s="232">
        <v>515</v>
      </c>
      <c r="D474" s="232" t="str">
        <f>IFERROR(VLOOKUP(C474,'Neraca Saldo'!$B$6:$C$56,2,0),"")</f>
        <v>Beban Gaji</v>
      </c>
      <c r="E474" s="194" t="s">
        <v>1027</v>
      </c>
      <c r="F474" s="234" t="s">
        <v>838</v>
      </c>
      <c r="G474" s="217"/>
      <c r="H474" s="188">
        <v>5500000</v>
      </c>
      <c r="I474" s="236">
        <v>0</v>
      </c>
    </row>
    <row r="475" spans="2:9" hidden="1" x14ac:dyDescent="0.2">
      <c r="B475" s="231">
        <v>45787</v>
      </c>
      <c r="C475" s="232">
        <v>112</v>
      </c>
      <c r="D475" s="232" t="str">
        <f>IFERROR(VLOOKUP(C475,'Neraca Saldo'!$B$6:$C$56,2,0),"")</f>
        <v>Kas</v>
      </c>
      <c r="E475" s="194" t="s">
        <v>1027</v>
      </c>
      <c r="F475" s="234" t="s">
        <v>838</v>
      </c>
      <c r="G475" s="217"/>
      <c r="H475" s="236">
        <f t="shared" si="6"/>
        <v>0</v>
      </c>
      <c r="I475" s="236">
        <f t="shared" si="7"/>
        <v>5500000</v>
      </c>
    </row>
    <row r="476" spans="2:9" hidden="1" x14ac:dyDescent="0.2">
      <c r="B476" s="254">
        <v>45787</v>
      </c>
      <c r="C476" s="195">
        <v>213</v>
      </c>
      <c r="D476" s="195" t="str">
        <f>IFERROR(VLOOKUP(C476,'Neraca Saldo'!$B$6:$C$56,2,0),"")</f>
        <v>Hutang Lain-lain</v>
      </c>
      <c r="E476" s="195" t="s">
        <v>1028</v>
      </c>
      <c r="F476" s="255" t="s">
        <v>838</v>
      </c>
      <c r="G476" s="219"/>
      <c r="H476" s="189">
        <v>250000</v>
      </c>
      <c r="I476" s="256">
        <v>0</v>
      </c>
    </row>
    <row r="477" spans="2:9" hidden="1" x14ac:dyDescent="0.2">
      <c r="B477" s="254">
        <v>45787</v>
      </c>
      <c r="C477" s="195">
        <v>112</v>
      </c>
      <c r="D477" s="195" t="str">
        <f>IFERROR(VLOOKUP(C477,'Neraca Saldo'!$B$6:$C$56,2,0),"")</f>
        <v>Kas</v>
      </c>
      <c r="E477" s="195" t="s">
        <v>1028</v>
      </c>
      <c r="F477" s="255" t="s">
        <v>838</v>
      </c>
      <c r="G477" s="219"/>
      <c r="H477" s="256">
        <f t="shared" si="6"/>
        <v>0</v>
      </c>
      <c r="I477" s="256">
        <f t="shared" si="7"/>
        <v>250000</v>
      </c>
    </row>
    <row r="478" spans="2:9" x14ac:dyDescent="0.2">
      <c r="B478" s="231">
        <v>45791</v>
      </c>
      <c r="C478" s="232">
        <v>513</v>
      </c>
      <c r="D478" s="232" t="str">
        <f>IFERROR(VLOOKUP(C478,'Neraca Saldo'!$B$6:$C$56,2,0),"")</f>
        <v>Beban Pengurus dan Anggota</v>
      </c>
      <c r="E478" s="194" t="s">
        <v>841</v>
      </c>
      <c r="F478" s="234" t="s">
        <v>838</v>
      </c>
      <c r="G478" s="217"/>
      <c r="H478" s="188">
        <v>752000</v>
      </c>
      <c r="I478" s="236">
        <v>0</v>
      </c>
    </row>
    <row r="479" spans="2:9" hidden="1" x14ac:dyDescent="0.2">
      <c r="B479" s="231">
        <v>45791</v>
      </c>
      <c r="C479" s="232">
        <v>112</v>
      </c>
      <c r="D479" s="232" t="str">
        <f>IFERROR(VLOOKUP(C479,'Neraca Saldo'!$B$6:$C$56,2,0),"")</f>
        <v>Kas</v>
      </c>
      <c r="E479" s="194" t="s">
        <v>841</v>
      </c>
      <c r="F479" s="234" t="s">
        <v>838</v>
      </c>
      <c r="G479" s="217"/>
      <c r="H479" s="236">
        <f t="shared" si="6"/>
        <v>0</v>
      </c>
      <c r="I479" s="236">
        <f t="shared" si="7"/>
        <v>752000</v>
      </c>
    </row>
    <row r="480" spans="2:9" hidden="1" x14ac:dyDescent="0.2">
      <c r="B480" s="238">
        <v>45793</v>
      </c>
      <c r="C480" s="239">
        <v>111</v>
      </c>
      <c r="D480" s="239" t="str">
        <f>IFERROR(VLOOKUP(C480,'Neraca Saldo'!$B$6:$C$56,2,0),"")</f>
        <v>Bank</v>
      </c>
      <c r="E480" s="258" t="s">
        <v>1029</v>
      </c>
      <c r="F480" s="244" t="s">
        <v>77</v>
      </c>
      <c r="G480" s="218"/>
      <c r="H480" s="245">
        <v>350000</v>
      </c>
      <c r="I480" s="240">
        <v>0</v>
      </c>
    </row>
    <row r="481" spans="2:9" hidden="1" x14ac:dyDescent="0.2">
      <c r="B481" s="238">
        <v>45793</v>
      </c>
      <c r="C481" s="239">
        <v>212</v>
      </c>
      <c r="D481" s="239" t="str">
        <f>IFERROR(VLOOKUP(C481,'Neraca Saldo'!$B$6:$C$56,2,0),"")</f>
        <v>Simpanan Karyawan</v>
      </c>
      <c r="E481" s="258" t="s">
        <v>1029</v>
      </c>
      <c r="F481" s="244" t="s">
        <v>77</v>
      </c>
      <c r="G481" s="218"/>
      <c r="H481" s="240">
        <f t="shared" si="6"/>
        <v>0</v>
      </c>
      <c r="I481" s="240">
        <f t="shared" si="7"/>
        <v>350000</v>
      </c>
    </row>
    <row r="482" spans="2:9" hidden="1" x14ac:dyDescent="0.2">
      <c r="B482" s="231">
        <v>45799</v>
      </c>
      <c r="C482" s="232">
        <v>313</v>
      </c>
      <c r="D482" s="232" t="str">
        <f>IFERROR(VLOOKUP(C482,'Neraca Saldo'!$B$6:$C$56,2,0),"")</f>
        <v>(Laba)/Rugi ditahan</v>
      </c>
      <c r="E482" s="194" t="s">
        <v>1030</v>
      </c>
      <c r="F482" s="234" t="s">
        <v>838</v>
      </c>
      <c r="G482" s="217"/>
      <c r="H482" s="188">
        <v>300000</v>
      </c>
      <c r="I482" s="236">
        <v>0</v>
      </c>
    </row>
    <row r="483" spans="2:9" hidden="1" x14ac:dyDescent="0.2">
      <c r="B483" s="231">
        <v>45799</v>
      </c>
      <c r="C483" s="232">
        <v>112</v>
      </c>
      <c r="D483" s="232" t="str">
        <f>IFERROR(VLOOKUP(C483,'Neraca Saldo'!$B$6:$C$56,2,0),"")</f>
        <v>Kas</v>
      </c>
      <c r="E483" s="194" t="s">
        <v>1030</v>
      </c>
      <c r="F483" s="234" t="s">
        <v>838</v>
      </c>
      <c r="G483" s="217"/>
      <c r="H483" s="236">
        <f t="shared" si="6"/>
        <v>0</v>
      </c>
      <c r="I483" s="236">
        <f t="shared" si="7"/>
        <v>300000</v>
      </c>
    </row>
    <row r="484" spans="2:9" hidden="1" x14ac:dyDescent="0.2">
      <c r="B484" s="238">
        <v>45800</v>
      </c>
      <c r="C484" s="239">
        <v>111</v>
      </c>
      <c r="D484" s="239" t="str">
        <f>IFERROR(VLOOKUP(C484,'Neraca Saldo'!$B$6:$C$56,2,0),"")</f>
        <v>Bank</v>
      </c>
      <c r="E484" s="258" t="s">
        <v>1031</v>
      </c>
      <c r="F484" s="244" t="s">
        <v>77</v>
      </c>
      <c r="G484" s="218"/>
      <c r="H484" s="245">
        <v>350000</v>
      </c>
      <c r="I484" s="240">
        <v>0</v>
      </c>
    </row>
    <row r="485" spans="2:9" hidden="1" x14ac:dyDescent="0.2">
      <c r="B485" s="238">
        <v>45800</v>
      </c>
      <c r="C485" s="239">
        <v>212</v>
      </c>
      <c r="D485" s="239" t="str">
        <f>IFERROR(VLOOKUP(C485,'Neraca Saldo'!$B$6:$C$56,2,0),"")</f>
        <v>Simpanan Karyawan</v>
      </c>
      <c r="E485" s="258" t="s">
        <v>1031</v>
      </c>
      <c r="F485" s="244" t="s">
        <v>77</v>
      </c>
      <c r="G485" s="218"/>
      <c r="H485" s="240">
        <f t="shared" si="6"/>
        <v>0</v>
      </c>
      <c r="I485" s="240">
        <f t="shared" si="7"/>
        <v>350000</v>
      </c>
    </row>
    <row r="486" spans="2:9" hidden="1" x14ac:dyDescent="0.2">
      <c r="B486" s="238">
        <v>45800</v>
      </c>
      <c r="C486" s="239">
        <v>111</v>
      </c>
      <c r="D486" s="239" t="str">
        <f>IFERROR(VLOOKUP(C486,'Neraca Saldo'!$B$6:$C$56,2,0),"")</f>
        <v>Bank</v>
      </c>
      <c r="E486" s="258" t="s">
        <v>1032</v>
      </c>
      <c r="F486" s="244" t="s">
        <v>77</v>
      </c>
      <c r="G486" s="218"/>
      <c r="H486" s="245">
        <v>5867750</v>
      </c>
      <c r="I486" s="240">
        <v>0</v>
      </c>
    </row>
    <row r="487" spans="2:9" hidden="1" x14ac:dyDescent="0.2">
      <c r="B487" s="238">
        <v>45800</v>
      </c>
      <c r="C487" s="239">
        <v>411</v>
      </c>
      <c r="D487" s="239" t="str">
        <f>IFERROR(VLOOKUP(C487,'Neraca Saldo'!$B$6:$C$56,2,0),"")</f>
        <v>Pendapatan Toko</v>
      </c>
      <c r="E487" s="258" t="s">
        <v>1032</v>
      </c>
      <c r="F487" s="244" t="s">
        <v>77</v>
      </c>
      <c r="G487" s="218"/>
      <c r="H487" s="240">
        <f t="shared" si="6"/>
        <v>0</v>
      </c>
      <c r="I487" s="240">
        <f t="shared" si="7"/>
        <v>5867750</v>
      </c>
    </row>
    <row r="488" spans="2:9" hidden="1" x14ac:dyDescent="0.2">
      <c r="B488" s="238">
        <v>45800</v>
      </c>
      <c r="C488" s="239">
        <v>111</v>
      </c>
      <c r="D488" s="239" t="str">
        <f>IFERROR(VLOOKUP(C488,'Neraca Saldo'!$B$6:$C$56,2,0),"")</f>
        <v>Bank</v>
      </c>
      <c r="E488" s="206" t="s">
        <v>1033</v>
      </c>
      <c r="F488" s="244" t="s">
        <v>77</v>
      </c>
      <c r="G488" s="218"/>
      <c r="H488" s="245">
        <v>150000</v>
      </c>
      <c r="I488" s="240">
        <v>0</v>
      </c>
    </row>
    <row r="489" spans="2:9" hidden="1" x14ac:dyDescent="0.2">
      <c r="B489" s="238">
        <v>45800</v>
      </c>
      <c r="C489" s="239">
        <v>212</v>
      </c>
      <c r="D489" s="239" t="str">
        <f>IFERROR(VLOOKUP(C489,'Neraca Saldo'!$B$6:$C$56,2,0),"")</f>
        <v>Simpanan Karyawan</v>
      </c>
      <c r="E489" s="206" t="s">
        <v>1033</v>
      </c>
      <c r="F489" s="244" t="s">
        <v>77</v>
      </c>
      <c r="G489" s="218"/>
      <c r="H489" s="240">
        <f t="shared" si="6"/>
        <v>0</v>
      </c>
      <c r="I489" s="240">
        <f t="shared" si="7"/>
        <v>150000</v>
      </c>
    </row>
    <row r="490" spans="2:9" hidden="1" x14ac:dyDescent="0.2">
      <c r="B490" s="238">
        <v>45800</v>
      </c>
      <c r="C490" s="239">
        <v>111</v>
      </c>
      <c r="D490" s="239" t="str">
        <f>IFERROR(VLOOKUP(C490,'Neraca Saldo'!$B$6:$C$56,2,0),"")</f>
        <v>Bank</v>
      </c>
      <c r="E490" s="206" t="s">
        <v>1034</v>
      </c>
      <c r="F490" s="244" t="s">
        <v>77</v>
      </c>
      <c r="G490" s="218"/>
      <c r="H490" s="245">
        <v>61600000</v>
      </c>
      <c r="I490" s="240">
        <v>0</v>
      </c>
    </row>
    <row r="491" spans="2:9" hidden="1" x14ac:dyDescent="0.2">
      <c r="B491" s="238">
        <v>45800</v>
      </c>
      <c r="C491" s="239">
        <v>212</v>
      </c>
      <c r="D491" s="239" t="str">
        <f>IFERROR(VLOOKUP(C491,'Neraca Saldo'!$B$6:$C$56,2,0),"")</f>
        <v>Simpanan Karyawan</v>
      </c>
      <c r="E491" s="206" t="s">
        <v>1034</v>
      </c>
      <c r="F491" s="244" t="s">
        <v>77</v>
      </c>
      <c r="G491" s="218"/>
      <c r="H491" s="240">
        <f t="shared" si="6"/>
        <v>0</v>
      </c>
      <c r="I491" s="240">
        <f t="shared" si="7"/>
        <v>61600000</v>
      </c>
    </row>
    <row r="492" spans="2:9" hidden="1" x14ac:dyDescent="0.2">
      <c r="B492" s="238">
        <v>45800</v>
      </c>
      <c r="C492" s="239">
        <v>111</v>
      </c>
      <c r="D492" s="239" t="str">
        <f>IFERROR(VLOOKUP(C492,'Neraca Saldo'!$B$6:$C$56,2,0),"")</f>
        <v>Bank</v>
      </c>
      <c r="E492" s="206" t="s">
        <v>1035</v>
      </c>
      <c r="F492" s="244" t="s">
        <v>77</v>
      </c>
      <c r="G492" s="218"/>
      <c r="H492" s="245">
        <v>25984000</v>
      </c>
      <c r="I492" s="240">
        <v>0</v>
      </c>
    </row>
    <row r="493" spans="2:9" hidden="1" x14ac:dyDescent="0.2">
      <c r="B493" s="238">
        <v>45800</v>
      </c>
      <c r="C493" s="239">
        <v>212</v>
      </c>
      <c r="D493" s="239" t="str">
        <f>IFERROR(VLOOKUP(C493,'Neraca Saldo'!$B$6:$C$56,2,0),"")</f>
        <v>Simpanan Karyawan</v>
      </c>
      <c r="E493" s="206" t="s">
        <v>1035</v>
      </c>
      <c r="F493" s="244" t="s">
        <v>77</v>
      </c>
      <c r="G493" s="218"/>
      <c r="H493" s="240">
        <f t="shared" si="6"/>
        <v>0</v>
      </c>
      <c r="I493" s="240">
        <f t="shared" si="7"/>
        <v>25984000</v>
      </c>
    </row>
    <row r="494" spans="2:9" hidden="1" x14ac:dyDescent="0.2">
      <c r="B494" s="238">
        <v>45800</v>
      </c>
      <c r="C494" s="239">
        <v>111</v>
      </c>
      <c r="D494" s="239" t="str">
        <f>IFERROR(VLOOKUP(C494,'Neraca Saldo'!$B$6:$C$56,2,0),"")</f>
        <v>Bank</v>
      </c>
      <c r="E494" s="206" t="s">
        <v>1037</v>
      </c>
      <c r="F494" s="244" t="s">
        <v>77</v>
      </c>
      <c r="G494" s="218"/>
      <c r="H494" s="245">
        <v>5720000</v>
      </c>
      <c r="I494" s="240">
        <v>0</v>
      </c>
    </row>
    <row r="495" spans="2:9" hidden="1" x14ac:dyDescent="0.2">
      <c r="B495" s="238">
        <v>45800</v>
      </c>
      <c r="C495" s="239">
        <v>222</v>
      </c>
      <c r="D495" s="239" t="str">
        <f>IFERROR(VLOOKUP(C495,'Neraca Saldo'!$B$6:$C$56,2,0),"")</f>
        <v>Hutang SPN</v>
      </c>
      <c r="E495" s="206" t="s">
        <v>1037</v>
      </c>
      <c r="F495" s="244" t="s">
        <v>77</v>
      </c>
      <c r="G495" s="218"/>
      <c r="H495" s="240">
        <f t="shared" si="6"/>
        <v>0</v>
      </c>
      <c r="I495" s="240">
        <f t="shared" si="7"/>
        <v>5720000</v>
      </c>
    </row>
    <row r="496" spans="2:9" hidden="1" x14ac:dyDescent="0.2">
      <c r="B496" s="238">
        <v>45800</v>
      </c>
      <c r="C496" s="239">
        <v>111</v>
      </c>
      <c r="D496" s="239" t="str">
        <f>IFERROR(VLOOKUP(C496,'Neraca Saldo'!$B$6:$C$56,2,0),"")</f>
        <v>Bank</v>
      </c>
      <c r="E496" s="206" t="s">
        <v>1038</v>
      </c>
      <c r="F496" s="244" t="s">
        <v>77</v>
      </c>
      <c r="G496" s="218"/>
      <c r="H496" s="245">
        <v>72691564</v>
      </c>
      <c r="I496" s="240">
        <v>0</v>
      </c>
    </row>
    <row r="497" spans="2:9" hidden="1" x14ac:dyDescent="0.2">
      <c r="B497" s="238">
        <v>45800</v>
      </c>
      <c r="C497" s="239">
        <v>121</v>
      </c>
      <c r="D497" s="239" t="str">
        <f>IFERROR(VLOOKUP(C497,'Neraca Saldo'!$B$6:$C$56,2,0),"")</f>
        <v>Piutang Anggota</v>
      </c>
      <c r="E497" s="206" t="s">
        <v>1038</v>
      </c>
      <c r="F497" s="244" t="s">
        <v>77</v>
      </c>
      <c r="G497" s="218"/>
      <c r="H497" s="240">
        <f t="shared" si="6"/>
        <v>0</v>
      </c>
      <c r="I497" s="240">
        <f t="shared" si="7"/>
        <v>72691564</v>
      </c>
    </row>
    <row r="498" spans="2:9" hidden="1" x14ac:dyDescent="0.2">
      <c r="B498" s="238">
        <v>45800</v>
      </c>
      <c r="C498" s="239">
        <v>111</v>
      </c>
      <c r="D498" s="239" t="str">
        <f>IFERROR(VLOOKUP(C498,'Neraca Saldo'!$B$6:$C$56,2,0),"")</f>
        <v>Bank</v>
      </c>
      <c r="E498" s="206" t="s">
        <v>1039</v>
      </c>
      <c r="F498" s="244" t="s">
        <v>77</v>
      </c>
      <c r="G498" s="218"/>
      <c r="H498" s="245">
        <v>154166708</v>
      </c>
      <c r="I498" s="240">
        <v>0</v>
      </c>
    </row>
    <row r="499" spans="2:9" hidden="1" x14ac:dyDescent="0.2">
      <c r="B499" s="238">
        <v>45800</v>
      </c>
      <c r="C499" s="239">
        <v>121</v>
      </c>
      <c r="D499" s="239" t="str">
        <f>IFERROR(VLOOKUP(C499,'Neraca Saldo'!$B$6:$C$56,2,0),"")</f>
        <v>Piutang Anggota</v>
      </c>
      <c r="E499" s="206" t="s">
        <v>1039</v>
      </c>
      <c r="F499" s="244" t="s">
        <v>77</v>
      </c>
      <c r="G499" s="218"/>
      <c r="H499" s="240">
        <f t="shared" ref="H499:H559" si="8">I498</f>
        <v>0</v>
      </c>
      <c r="I499" s="240">
        <f t="shared" ref="I499:I559" si="9">H498</f>
        <v>154166708</v>
      </c>
    </row>
    <row r="500" spans="2:9" hidden="1" x14ac:dyDescent="0.2">
      <c r="B500" s="231">
        <v>45803</v>
      </c>
      <c r="C500" s="232">
        <v>411</v>
      </c>
      <c r="D500" s="232" t="str">
        <f>IFERROR(VLOOKUP(C500,'Neraca Saldo'!$B$6:$C$56,2,0),"")</f>
        <v>Pendapatan Toko</v>
      </c>
      <c r="E500" s="259" t="s">
        <v>1032</v>
      </c>
      <c r="F500" s="234" t="s">
        <v>77</v>
      </c>
      <c r="G500" s="217"/>
      <c r="H500" s="246">
        <v>5867750</v>
      </c>
      <c r="I500" s="236">
        <v>0</v>
      </c>
    </row>
    <row r="501" spans="2:9" hidden="1" x14ac:dyDescent="0.2">
      <c r="B501" s="231">
        <v>45803</v>
      </c>
      <c r="C501" s="232">
        <v>111</v>
      </c>
      <c r="D501" s="232" t="str">
        <f>IFERROR(VLOOKUP(C501,'Neraca Saldo'!$B$6:$C$56,2,0),"")</f>
        <v>Bank</v>
      </c>
      <c r="E501" s="259" t="s">
        <v>1032</v>
      </c>
      <c r="F501" s="234" t="s">
        <v>77</v>
      </c>
      <c r="G501" s="217"/>
      <c r="H501" s="236">
        <f t="shared" si="8"/>
        <v>0</v>
      </c>
      <c r="I501" s="236">
        <f t="shared" si="9"/>
        <v>5867750</v>
      </c>
    </row>
    <row r="502" spans="2:9" hidden="1" x14ac:dyDescent="0.2">
      <c r="B502" s="231">
        <v>45803</v>
      </c>
      <c r="C502" s="232">
        <v>124</v>
      </c>
      <c r="D502" s="232" t="str">
        <f>IFERROR(VLOOKUP(C502,'Neraca Saldo'!$B$6:$C$56,2,0),"")</f>
        <v>Piutang USP</v>
      </c>
      <c r="E502" s="205" t="s">
        <v>1035</v>
      </c>
      <c r="F502" s="234" t="s">
        <v>77</v>
      </c>
      <c r="G502" s="217"/>
      <c r="H502" s="246">
        <v>25984000</v>
      </c>
      <c r="I502" s="236">
        <v>0</v>
      </c>
    </row>
    <row r="503" spans="2:9" hidden="1" x14ac:dyDescent="0.2">
      <c r="B503" s="231">
        <v>45803</v>
      </c>
      <c r="C503" s="232">
        <v>111</v>
      </c>
      <c r="D503" s="232" t="str">
        <f>IFERROR(VLOOKUP(C503,'Neraca Saldo'!$B$6:$C$56,2,0),"")</f>
        <v>Bank</v>
      </c>
      <c r="E503" s="205" t="s">
        <v>1035</v>
      </c>
      <c r="F503" s="234" t="s">
        <v>77</v>
      </c>
      <c r="G503" s="217"/>
      <c r="H503" s="236">
        <f t="shared" si="8"/>
        <v>0</v>
      </c>
      <c r="I503" s="236">
        <f t="shared" si="9"/>
        <v>25984000</v>
      </c>
    </row>
    <row r="504" spans="2:9" hidden="1" x14ac:dyDescent="0.2">
      <c r="B504" s="231">
        <v>45803</v>
      </c>
      <c r="C504" s="232">
        <v>222</v>
      </c>
      <c r="D504" s="232" t="str">
        <f>IFERROR(VLOOKUP(C504,'Neraca Saldo'!$B$6:$C$56,2,0),"")</f>
        <v>Hutang SPN</v>
      </c>
      <c r="E504" s="205" t="s">
        <v>1037</v>
      </c>
      <c r="F504" s="234" t="s">
        <v>77</v>
      </c>
      <c r="G504" s="217"/>
      <c r="H504" s="246">
        <v>5720000</v>
      </c>
      <c r="I504" s="236">
        <v>0</v>
      </c>
    </row>
    <row r="505" spans="2:9" hidden="1" x14ac:dyDescent="0.2">
      <c r="B505" s="231">
        <v>45803</v>
      </c>
      <c r="C505" s="232">
        <v>111</v>
      </c>
      <c r="D505" s="232" t="str">
        <f>IFERROR(VLOOKUP(C505,'Neraca Saldo'!$B$6:$C$56,2,0),"")</f>
        <v>Bank</v>
      </c>
      <c r="E505" s="205" t="s">
        <v>1037</v>
      </c>
      <c r="F505" s="234" t="s">
        <v>77</v>
      </c>
      <c r="G505" s="217"/>
      <c r="H505" s="236">
        <f t="shared" si="8"/>
        <v>0</v>
      </c>
      <c r="I505" s="236">
        <f t="shared" si="9"/>
        <v>5720000</v>
      </c>
    </row>
    <row r="506" spans="2:9" hidden="1" x14ac:dyDescent="0.2">
      <c r="B506" s="231">
        <v>45803</v>
      </c>
      <c r="C506" s="232">
        <v>126</v>
      </c>
      <c r="D506" s="232" t="str">
        <f>IFERROR(VLOOKUP(C506,'Neraca Saldo'!$B$6:$C$56,2,0),"")</f>
        <v>Piutang Pengadaan</v>
      </c>
      <c r="E506" s="205" t="s">
        <v>1038</v>
      </c>
      <c r="F506" s="234" t="s">
        <v>77</v>
      </c>
      <c r="G506" s="217"/>
      <c r="H506" s="246">
        <v>72691564</v>
      </c>
      <c r="I506" s="236">
        <v>0</v>
      </c>
    </row>
    <row r="507" spans="2:9" hidden="1" x14ac:dyDescent="0.2">
      <c r="B507" s="231">
        <v>45803</v>
      </c>
      <c r="C507" s="232">
        <v>111</v>
      </c>
      <c r="D507" s="232" t="str">
        <f>IFERROR(VLOOKUP(C507,'Neraca Saldo'!$B$6:$C$56,2,0),"")</f>
        <v>Bank</v>
      </c>
      <c r="E507" s="205" t="s">
        <v>1038</v>
      </c>
      <c r="F507" s="234" t="s">
        <v>77</v>
      </c>
      <c r="G507" s="217"/>
      <c r="H507" s="236">
        <f t="shared" si="8"/>
        <v>0</v>
      </c>
      <c r="I507" s="236">
        <f t="shared" si="9"/>
        <v>72691564</v>
      </c>
    </row>
    <row r="508" spans="2:9" hidden="1" x14ac:dyDescent="0.2">
      <c r="B508" s="231">
        <v>45803</v>
      </c>
      <c r="C508" s="232">
        <v>124</v>
      </c>
      <c r="D508" s="232" t="str">
        <f>IFERROR(VLOOKUP(C508,'Neraca Saldo'!$B$6:$C$56,2,0),"")</f>
        <v>Piutang USP</v>
      </c>
      <c r="E508" s="205" t="s">
        <v>1039</v>
      </c>
      <c r="F508" s="234" t="s">
        <v>77</v>
      </c>
      <c r="G508" s="217"/>
      <c r="H508" s="246">
        <v>154166708</v>
      </c>
      <c r="I508" s="236">
        <v>0</v>
      </c>
    </row>
    <row r="509" spans="2:9" hidden="1" x14ac:dyDescent="0.2">
      <c r="B509" s="231">
        <v>45803</v>
      </c>
      <c r="C509" s="232">
        <v>111</v>
      </c>
      <c r="D509" s="232" t="str">
        <f>IFERROR(VLOOKUP(C509,'Neraca Saldo'!$B$6:$C$56,2,0),"")</f>
        <v>Bank</v>
      </c>
      <c r="E509" s="205" t="s">
        <v>1039</v>
      </c>
      <c r="F509" s="234" t="s">
        <v>77</v>
      </c>
      <c r="G509" s="217"/>
      <c r="H509" s="236">
        <f t="shared" si="8"/>
        <v>0</v>
      </c>
      <c r="I509" s="236">
        <f t="shared" si="9"/>
        <v>154166708</v>
      </c>
    </row>
    <row r="510" spans="2:9" hidden="1" x14ac:dyDescent="0.2">
      <c r="B510" s="231">
        <v>45803</v>
      </c>
      <c r="C510" s="232">
        <v>126</v>
      </c>
      <c r="D510" s="232" t="str">
        <f>IFERROR(VLOOKUP(C510,'Neraca Saldo'!$B$6:$C$56,2,0),"")</f>
        <v>Piutang Pengadaan</v>
      </c>
      <c r="E510" s="259" t="s">
        <v>836</v>
      </c>
      <c r="F510" s="234" t="s">
        <v>77</v>
      </c>
      <c r="G510" s="217"/>
      <c r="H510" s="196">
        <v>50000000</v>
      </c>
      <c r="I510" s="236">
        <v>0</v>
      </c>
    </row>
    <row r="511" spans="2:9" hidden="1" x14ac:dyDescent="0.2">
      <c r="B511" s="231">
        <v>45803</v>
      </c>
      <c r="C511" s="232">
        <v>111</v>
      </c>
      <c r="D511" s="232" t="str">
        <f>IFERROR(VLOOKUP(C511,'Neraca Saldo'!$B$6:$C$56,2,0),"")</f>
        <v>Bank</v>
      </c>
      <c r="E511" s="259" t="s">
        <v>836</v>
      </c>
      <c r="F511" s="234" t="s">
        <v>77</v>
      </c>
      <c r="G511" s="217"/>
      <c r="H511" s="236">
        <f t="shared" si="8"/>
        <v>0</v>
      </c>
      <c r="I511" s="236">
        <f t="shared" si="9"/>
        <v>50000000</v>
      </c>
    </row>
    <row r="512" spans="2:9" hidden="1" x14ac:dyDescent="0.2">
      <c r="B512" s="231">
        <v>45803</v>
      </c>
      <c r="C512" s="232">
        <v>112</v>
      </c>
      <c r="D512" s="232" t="str">
        <f>IFERROR(VLOOKUP(C512,'Neraca Saldo'!$B$6:$C$56,2,0),"")</f>
        <v>Kas</v>
      </c>
      <c r="E512" s="232" t="s">
        <v>838</v>
      </c>
      <c r="F512" s="234" t="s">
        <v>77</v>
      </c>
      <c r="G512" s="217"/>
      <c r="H512" s="188">
        <v>15000000</v>
      </c>
      <c r="I512" s="236">
        <v>0</v>
      </c>
    </row>
    <row r="513" spans="2:9" hidden="1" x14ac:dyDescent="0.2">
      <c r="B513" s="231">
        <v>45803</v>
      </c>
      <c r="C513" s="232">
        <v>111</v>
      </c>
      <c r="D513" s="232" t="str">
        <f>IFERROR(VLOOKUP(C513,'Neraca Saldo'!$B$6:$C$56,2,0),"")</f>
        <v>Bank</v>
      </c>
      <c r="E513" s="232" t="s">
        <v>838</v>
      </c>
      <c r="F513" s="234" t="s">
        <v>77</v>
      </c>
      <c r="G513" s="217"/>
      <c r="H513" s="236">
        <f t="shared" si="8"/>
        <v>0</v>
      </c>
      <c r="I513" s="236">
        <f t="shared" si="9"/>
        <v>15000000</v>
      </c>
    </row>
    <row r="514" spans="2:9" hidden="1" x14ac:dyDescent="0.2">
      <c r="B514" s="247">
        <v>45804</v>
      </c>
      <c r="C514" s="248">
        <v>111</v>
      </c>
      <c r="D514" s="248" t="str">
        <f>IFERROR(VLOOKUP(C514,'Neraca Saldo'!$B$6:$C$56,2,0),"")</f>
        <v>Bank</v>
      </c>
      <c r="E514" s="261" t="s">
        <v>1040</v>
      </c>
      <c r="F514" s="250" t="s">
        <v>77</v>
      </c>
      <c r="G514" s="220"/>
      <c r="H514" s="251">
        <v>131000</v>
      </c>
      <c r="I514" s="253">
        <v>0</v>
      </c>
    </row>
    <row r="515" spans="2:9" hidden="1" x14ac:dyDescent="0.2">
      <c r="B515" s="247">
        <v>45804</v>
      </c>
      <c r="C515" s="248">
        <v>415</v>
      </c>
      <c r="D515" s="248" t="str">
        <f>IFERROR(VLOOKUP(C515,'Neraca Saldo'!$B$6:$C$56,2,0),"")</f>
        <v>Pendapatan Lain-lain</v>
      </c>
      <c r="E515" s="261" t="s">
        <v>1040</v>
      </c>
      <c r="F515" s="250" t="s">
        <v>77</v>
      </c>
      <c r="G515" s="220"/>
      <c r="H515" s="253">
        <f t="shared" si="8"/>
        <v>0</v>
      </c>
      <c r="I515" s="253">
        <f t="shared" si="9"/>
        <v>131000</v>
      </c>
    </row>
    <row r="516" spans="2:9" hidden="1" x14ac:dyDescent="0.2">
      <c r="B516" s="238">
        <v>45807</v>
      </c>
      <c r="C516" s="239">
        <v>111</v>
      </c>
      <c r="D516" s="239" t="str">
        <f>IFERROR(VLOOKUP(C516,'Neraca Saldo'!$B$6:$C$56,2,0),"")</f>
        <v>Bank</v>
      </c>
      <c r="E516" s="258" t="s">
        <v>989</v>
      </c>
      <c r="F516" s="244" t="s">
        <v>77</v>
      </c>
      <c r="G516" s="218"/>
      <c r="H516" s="245">
        <v>200000</v>
      </c>
      <c r="I516" s="240">
        <v>0</v>
      </c>
    </row>
    <row r="517" spans="2:9" hidden="1" x14ac:dyDescent="0.2">
      <c r="B517" s="238">
        <v>45807</v>
      </c>
      <c r="C517" s="239">
        <v>212</v>
      </c>
      <c r="D517" s="239" t="str">
        <f>IFERROR(VLOOKUP(C517,'Neraca Saldo'!$B$6:$C$56,2,0),"")</f>
        <v>Simpanan Karyawan</v>
      </c>
      <c r="E517" s="258" t="s">
        <v>989</v>
      </c>
      <c r="F517" s="244" t="s">
        <v>77</v>
      </c>
      <c r="G517" s="218"/>
      <c r="H517" s="240">
        <f t="shared" si="8"/>
        <v>0</v>
      </c>
      <c r="I517" s="240">
        <f t="shared" si="9"/>
        <v>200000</v>
      </c>
    </row>
    <row r="518" spans="2:9" hidden="1" x14ac:dyDescent="0.2">
      <c r="B518" s="238">
        <v>45807</v>
      </c>
      <c r="C518" s="239">
        <v>111</v>
      </c>
      <c r="D518" s="239" t="str">
        <f>IFERROR(VLOOKUP(C518,'Neraca Saldo'!$B$6:$C$56,2,0),"")</f>
        <v>Bank</v>
      </c>
      <c r="E518" s="216" t="s">
        <v>57</v>
      </c>
      <c r="F518" s="239" t="s">
        <v>77</v>
      </c>
      <c r="G518" s="218"/>
      <c r="H518" s="245">
        <v>25349</v>
      </c>
      <c r="I518" s="240">
        <v>0</v>
      </c>
    </row>
    <row r="519" spans="2:9" hidden="1" x14ac:dyDescent="0.2">
      <c r="B519" s="238">
        <v>45807</v>
      </c>
      <c r="C519" s="239">
        <v>413</v>
      </c>
      <c r="D519" s="239" t="str">
        <f>IFERROR(VLOOKUP(C519,'Neraca Saldo'!$B$6:$C$56,2,0),"")</f>
        <v>Pendapatan Jasa Bank</v>
      </c>
      <c r="E519" s="216" t="s">
        <v>57</v>
      </c>
      <c r="F519" s="239" t="s">
        <v>77</v>
      </c>
      <c r="G519" s="218"/>
      <c r="H519" s="240">
        <f t="shared" si="8"/>
        <v>0</v>
      </c>
      <c r="I519" s="240">
        <f t="shared" si="9"/>
        <v>25349</v>
      </c>
    </row>
    <row r="520" spans="2:9" hidden="1" x14ac:dyDescent="0.2">
      <c r="B520" s="231">
        <v>45807</v>
      </c>
      <c r="C520" s="232">
        <v>521</v>
      </c>
      <c r="D520" s="232" t="str">
        <f>IFERROR(VLOOKUP(C520,'Neraca Saldo'!$B$6:$C$56,2,0),"")</f>
        <v>Beban Biaya Bank</v>
      </c>
      <c r="E520" s="260" t="s">
        <v>94</v>
      </c>
      <c r="F520" s="232" t="s">
        <v>77</v>
      </c>
      <c r="G520" s="217"/>
      <c r="H520" s="196">
        <v>5070</v>
      </c>
      <c r="I520" s="236">
        <v>0</v>
      </c>
    </row>
    <row r="521" spans="2:9" hidden="1" x14ac:dyDescent="0.2">
      <c r="B521" s="231">
        <v>45807</v>
      </c>
      <c r="C521" s="232">
        <v>111</v>
      </c>
      <c r="D521" s="232" t="str">
        <f>IFERROR(VLOOKUP(C521,'Neraca Saldo'!$B$6:$C$56,2,0),"")</f>
        <v>Bank</v>
      </c>
      <c r="E521" s="260" t="s">
        <v>94</v>
      </c>
      <c r="F521" s="232" t="s">
        <v>77</v>
      </c>
      <c r="G521" s="217"/>
      <c r="H521" s="236">
        <f t="shared" si="8"/>
        <v>0</v>
      </c>
      <c r="I521" s="236">
        <f t="shared" si="9"/>
        <v>5070</v>
      </c>
    </row>
    <row r="522" spans="2:9" hidden="1" x14ac:dyDescent="0.2">
      <c r="B522" s="231">
        <v>45807</v>
      </c>
      <c r="C522" s="232">
        <v>521</v>
      </c>
      <c r="D522" s="232" t="str">
        <f>IFERROR(VLOOKUP(C522,'Neraca Saldo'!$B$6:$C$56,2,0),"")</f>
        <v>Beban Biaya Bank</v>
      </c>
      <c r="E522" s="260" t="s">
        <v>95</v>
      </c>
      <c r="F522" s="232" t="s">
        <v>77</v>
      </c>
      <c r="G522" s="217"/>
      <c r="H522" s="196">
        <v>10000</v>
      </c>
      <c r="I522" s="236">
        <v>0</v>
      </c>
    </row>
    <row r="523" spans="2:9" hidden="1" x14ac:dyDescent="0.2">
      <c r="B523" s="231">
        <v>45807</v>
      </c>
      <c r="C523" s="232">
        <v>111</v>
      </c>
      <c r="D523" s="232" t="str">
        <f>IFERROR(VLOOKUP(C523,'Neraca Saldo'!$B$6:$C$56,2,0),"")</f>
        <v>Bank</v>
      </c>
      <c r="E523" s="260" t="s">
        <v>95</v>
      </c>
      <c r="F523" s="232" t="s">
        <v>77</v>
      </c>
      <c r="G523" s="217"/>
      <c r="H523" s="236">
        <f t="shared" si="8"/>
        <v>0</v>
      </c>
      <c r="I523" s="236">
        <f t="shared" si="9"/>
        <v>10000</v>
      </c>
    </row>
    <row r="524" spans="2:9" hidden="1" x14ac:dyDescent="0.2">
      <c r="B524" s="238">
        <v>45809</v>
      </c>
      <c r="C524" s="239">
        <v>111</v>
      </c>
      <c r="D524" s="239" t="str">
        <f>IFERROR(VLOOKUP(C524,'Neraca Saldo'!$B$6:$C$56,2,0),"")</f>
        <v>Bank</v>
      </c>
      <c r="E524" s="258" t="s">
        <v>1015</v>
      </c>
      <c r="F524" s="244" t="s">
        <v>77</v>
      </c>
      <c r="G524" s="218"/>
      <c r="H524" s="301">
        <v>200000</v>
      </c>
      <c r="I524" s="240">
        <v>0</v>
      </c>
    </row>
    <row r="525" spans="2:9" hidden="1" x14ac:dyDescent="0.2">
      <c r="B525" s="238">
        <v>45809</v>
      </c>
      <c r="C525" s="239">
        <v>212</v>
      </c>
      <c r="D525" s="239" t="str">
        <f>IFERROR(VLOOKUP(C525,'Neraca Saldo'!$B$6:$C$56,2,0),"")</f>
        <v>Simpanan Karyawan</v>
      </c>
      <c r="E525" s="258" t="s">
        <v>1015</v>
      </c>
      <c r="F525" s="244" t="s">
        <v>77</v>
      </c>
      <c r="G525" s="218"/>
      <c r="H525" s="240">
        <f t="shared" si="8"/>
        <v>0</v>
      </c>
      <c r="I525" s="240">
        <f t="shared" si="9"/>
        <v>200000</v>
      </c>
    </row>
    <row r="526" spans="2:9" hidden="1" x14ac:dyDescent="0.2">
      <c r="B526" s="238">
        <v>45809</v>
      </c>
      <c r="C526" s="239">
        <v>111</v>
      </c>
      <c r="D526" s="239" t="str">
        <f>IFERROR(VLOOKUP(C526,'Neraca Saldo'!$B$6:$C$56,2,0),"")</f>
        <v>Bank</v>
      </c>
      <c r="E526" s="258" t="s">
        <v>987</v>
      </c>
      <c r="F526" s="244" t="s">
        <v>77</v>
      </c>
      <c r="G526" s="218"/>
      <c r="H526" s="301">
        <v>200000</v>
      </c>
      <c r="I526" s="240">
        <v>0</v>
      </c>
    </row>
    <row r="527" spans="2:9" hidden="1" x14ac:dyDescent="0.2">
      <c r="B527" s="238">
        <v>45809</v>
      </c>
      <c r="C527" s="239">
        <v>212</v>
      </c>
      <c r="D527" s="239" t="str">
        <f>IFERROR(VLOOKUP(C527,'Neraca Saldo'!$B$6:$C$56,2,0),"")</f>
        <v>Simpanan Karyawan</v>
      </c>
      <c r="E527" s="258" t="s">
        <v>987</v>
      </c>
      <c r="F527" s="244" t="s">
        <v>77</v>
      </c>
      <c r="G527" s="218"/>
      <c r="H527" s="240">
        <f t="shared" si="8"/>
        <v>0</v>
      </c>
      <c r="I527" s="240">
        <f t="shared" si="9"/>
        <v>200000</v>
      </c>
    </row>
    <row r="528" spans="2:9" hidden="1" x14ac:dyDescent="0.2">
      <c r="B528" s="238">
        <v>45809</v>
      </c>
      <c r="C528" s="239">
        <v>111</v>
      </c>
      <c r="D528" s="239" t="str">
        <f>IFERROR(VLOOKUP(C528,'Neraca Saldo'!$B$6:$C$56,2,0),"")</f>
        <v>Bank</v>
      </c>
      <c r="E528" s="258" t="s">
        <v>1018</v>
      </c>
      <c r="F528" s="244" t="s">
        <v>77</v>
      </c>
      <c r="G528" s="218"/>
      <c r="H528" s="301">
        <v>200000</v>
      </c>
      <c r="I528" s="240">
        <v>0</v>
      </c>
    </row>
    <row r="529" spans="2:9" hidden="1" x14ac:dyDescent="0.2">
      <c r="B529" s="238">
        <v>45809</v>
      </c>
      <c r="C529" s="239">
        <v>212</v>
      </c>
      <c r="D529" s="239" t="str">
        <f>IFERROR(VLOOKUP(C529,'Neraca Saldo'!$B$6:$C$56,2,0),"")</f>
        <v>Simpanan Karyawan</v>
      </c>
      <c r="E529" s="258" t="s">
        <v>1018</v>
      </c>
      <c r="F529" s="244" t="s">
        <v>77</v>
      </c>
      <c r="G529" s="218"/>
      <c r="H529" s="240">
        <f t="shared" si="8"/>
        <v>0</v>
      </c>
      <c r="I529" s="240">
        <f t="shared" si="9"/>
        <v>200000</v>
      </c>
    </row>
    <row r="530" spans="2:9" hidden="1" x14ac:dyDescent="0.2">
      <c r="B530" s="231">
        <v>45809</v>
      </c>
      <c r="C530" s="232">
        <v>515</v>
      </c>
      <c r="D530" s="232" t="str">
        <f>IFERROR(VLOOKUP(C530,'Neraca Saldo'!$B$6:$C$56,2,0),"")</f>
        <v>Beban Gaji</v>
      </c>
      <c r="E530" s="194" t="s">
        <v>1042</v>
      </c>
      <c r="F530" s="234" t="s">
        <v>838</v>
      </c>
      <c r="G530" s="217"/>
      <c r="H530" s="188">
        <v>2760000</v>
      </c>
      <c r="I530" s="236">
        <v>0</v>
      </c>
    </row>
    <row r="531" spans="2:9" hidden="1" x14ac:dyDescent="0.2">
      <c r="B531" s="231">
        <v>45809</v>
      </c>
      <c r="C531" s="232">
        <v>112</v>
      </c>
      <c r="D531" s="232" t="str">
        <f>IFERROR(VLOOKUP(C531,'Neraca Saldo'!$B$6:$C$56,2,0),"")</f>
        <v>Kas</v>
      </c>
      <c r="E531" s="194" t="s">
        <v>1042</v>
      </c>
      <c r="F531" s="234" t="s">
        <v>838</v>
      </c>
      <c r="G531" s="217"/>
      <c r="H531" s="236">
        <f t="shared" si="8"/>
        <v>0</v>
      </c>
      <c r="I531" s="236">
        <f t="shared" si="9"/>
        <v>2760000</v>
      </c>
    </row>
    <row r="532" spans="2:9" hidden="1" x14ac:dyDescent="0.2">
      <c r="B532" s="231">
        <v>45809</v>
      </c>
      <c r="C532" s="232">
        <v>515</v>
      </c>
      <c r="D532" s="232" t="str">
        <f>IFERROR(VLOOKUP(C532,'Neraca Saldo'!$B$6:$C$56,2,0),"")</f>
        <v>Beban Gaji</v>
      </c>
      <c r="E532" s="194" t="s">
        <v>1043</v>
      </c>
      <c r="F532" s="234" t="s">
        <v>838</v>
      </c>
      <c r="G532" s="217"/>
      <c r="H532" s="188">
        <v>2600000</v>
      </c>
      <c r="I532" s="236">
        <v>0</v>
      </c>
    </row>
    <row r="533" spans="2:9" hidden="1" x14ac:dyDescent="0.2">
      <c r="B533" s="231">
        <v>45809</v>
      </c>
      <c r="C533" s="232">
        <v>112</v>
      </c>
      <c r="D533" s="232" t="str">
        <f>IFERROR(VLOOKUP(C533,'Neraca Saldo'!$B$6:$C$56,2,0),"")</f>
        <v>Kas</v>
      </c>
      <c r="E533" s="194" t="s">
        <v>1043</v>
      </c>
      <c r="F533" s="234" t="s">
        <v>838</v>
      </c>
      <c r="G533" s="217"/>
      <c r="H533" s="236">
        <f t="shared" si="8"/>
        <v>0</v>
      </c>
      <c r="I533" s="236">
        <f t="shared" si="9"/>
        <v>2600000</v>
      </c>
    </row>
    <row r="534" spans="2:9" hidden="1" x14ac:dyDescent="0.2">
      <c r="B534" s="231">
        <v>45810</v>
      </c>
      <c r="C534" s="232">
        <v>512</v>
      </c>
      <c r="D534" s="232" t="str">
        <f>IFERROR(VLOOKUP(C534,'Neraca Saldo'!$B$6:$C$56,2,0),"")</f>
        <v>Beban Jasa</v>
      </c>
      <c r="E534" s="194" t="s">
        <v>1044</v>
      </c>
      <c r="F534" s="234" t="s">
        <v>838</v>
      </c>
      <c r="G534" s="217"/>
      <c r="H534" s="188">
        <v>20000</v>
      </c>
      <c r="I534" s="236">
        <v>0</v>
      </c>
    </row>
    <row r="535" spans="2:9" hidden="1" x14ac:dyDescent="0.2">
      <c r="B535" s="231">
        <v>45810</v>
      </c>
      <c r="C535" s="232">
        <v>112</v>
      </c>
      <c r="D535" s="232" t="str">
        <f>IFERROR(VLOOKUP(C535,'Neraca Saldo'!$B$6:$C$56,2,0),"")</f>
        <v>Kas</v>
      </c>
      <c r="E535" s="194" t="s">
        <v>1044</v>
      </c>
      <c r="F535" s="234" t="s">
        <v>838</v>
      </c>
      <c r="G535" s="217"/>
      <c r="H535" s="236">
        <f t="shared" si="8"/>
        <v>0</v>
      </c>
      <c r="I535" s="236">
        <f t="shared" si="9"/>
        <v>20000</v>
      </c>
    </row>
    <row r="536" spans="2:9" hidden="1" x14ac:dyDescent="0.2">
      <c r="B536" s="238">
        <v>45810</v>
      </c>
      <c r="C536" s="239">
        <v>111</v>
      </c>
      <c r="D536" s="239" t="str">
        <f>IFERROR(VLOOKUP(C536,'Neraca Saldo'!$B$6:$C$56,2,0),"")</f>
        <v>Bank</v>
      </c>
      <c r="E536" s="258" t="s">
        <v>1016</v>
      </c>
      <c r="F536" s="244" t="s">
        <v>77</v>
      </c>
      <c r="G536" s="218"/>
      <c r="H536" s="301">
        <v>200000</v>
      </c>
      <c r="I536" s="240">
        <v>0</v>
      </c>
    </row>
    <row r="537" spans="2:9" hidden="1" x14ac:dyDescent="0.2">
      <c r="B537" s="238">
        <v>45810</v>
      </c>
      <c r="C537" s="239">
        <v>212</v>
      </c>
      <c r="D537" s="239" t="str">
        <f>IFERROR(VLOOKUP(C537,'Neraca Saldo'!$B$6:$C$56,2,0),"")</f>
        <v>Simpanan Karyawan</v>
      </c>
      <c r="E537" s="258" t="s">
        <v>1016</v>
      </c>
      <c r="F537" s="244" t="s">
        <v>77</v>
      </c>
      <c r="G537" s="218"/>
      <c r="H537" s="240">
        <f t="shared" si="8"/>
        <v>0</v>
      </c>
      <c r="I537" s="240">
        <f t="shared" si="9"/>
        <v>200000</v>
      </c>
    </row>
    <row r="538" spans="2:9" hidden="1" x14ac:dyDescent="0.2">
      <c r="B538" s="238">
        <v>45810</v>
      </c>
      <c r="C538" s="239">
        <v>111</v>
      </c>
      <c r="D538" s="239" t="str">
        <f>IFERROR(VLOOKUP(C538,'Neraca Saldo'!$B$6:$C$56,2,0),"")</f>
        <v>Bank</v>
      </c>
      <c r="E538" s="258" t="s">
        <v>1017</v>
      </c>
      <c r="F538" s="244" t="s">
        <v>77</v>
      </c>
      <c r="G538" s="218"/>
      <c r="H538" s="301">
        <v>164000</v>
      </c>
      <c r="I538" s="240">
        <v>0</v>
      </c>
    </row>
    <row r="539" spans="2:9" hidden="1" x14ac:dyDescent="0.2">
      <c r="B539" s="238">
        <v>45810</v>
      </c>
      <c r="C539" s="239">
        <v>212</v>
      </c>
      <c r="D539" s="239" t="str">
        <f>IFERROR(VLOOKUP(C539,'Neraca Saldo'!$B$6:$C$56,2,0),"")</f>
        <v>Simpanan Karyawan</v>
      </c>
      <c r="E539" s="258" t="s">
        <v>1017</v>
      </c>
      <c r="F539" s="244" t="s">
        <v>77</v>
      </c>
      <c r="G539" s="218"/>
      <c r="H539" s="240">
        <f t="shared" si="8"/>
        <v>0</v>
      </c>
      <c r="I539" s="240">
        <f t="shared" si="9"/>
        <v>164000</v>
      </c>
    </row>
    <row r="540" spans="2:9" hidden="1" x14ac:dyDescent="0.2">
      <c r="B540" s="238">
        <v>45810</v>
      </c>
      <c r="C540" s="239">
        <v>111</v>
      </c>
      <c r="D540" s="239" t="str">
        <f>IFERROR(VLOOKUP(C540,'Neraca Saldo'!$B$6:$C$56,2,0),"")</f>
        <v>Bank</v>
      </c>
      <c r="E540" s="258" t="s">
        <v>1019</v>
      </c>
      <c r="F540" s="244" t="s">
        <v>77</v>
      </c>
      <c r="G540" s="218"/>
      <c r="H540" s="301">
        <v>200000</v>
      </c>
      <c r="I540" s="240">
        <v>0</v>
      </c>
    </row>
    <row r="541" spans="2:9" hidden="1" x14ac:dyDescent="0.2">
      <c r="B541" s="238">
        <v>45810</v>
      </c>
      <c r="C541" s="239">
        <v>212</v>
      </c>
      <c r="D541" s="239" t="str">
        <f>IFERROR(VLOOKUP(C541,'Neraca Saldo'!$B$6:$C$56,2,0),"")</f>
        <v>Simpanan Karyawan</v>
      </c>
      <c r="E541" s="258" t="s">
        <v>1019</v>
      </c>
      <c r="F541" s="244" t="s">
        <v>77</v>
      </c>
      <c r="G541" s="218"/>
      <c r="H541" s="240">
        <f t="shared" si="8"/>
        <v>0</v>
      </c>
      <c r="I541" s="240">
        <f t="shared" si="9"/>
        <v>200000</v>
      </c>
    </row>
    <row r="542" spans="2:9" hidden="1" x14ac:dyDescent="0.2">
      <c r="B542" s="238">
        <v>45810</v>
      </c>
      <c r="C542" s="239">
        <v>111</v>
      </c>
      <c r="D542" s="239" t="str">
        <f>IFERROR(VLOOKUP(C542,'Neraca Saldo'!$B$6:$C$56,2,0),"")</f>
        <v>Bank</v>
      </c>
      <c r="E542" s="258" t="s">
        <v>1045</v>
      </c>
      <c r="F542" s="244" t="s">
        <v>77</v>
      </c>
      <c r="G542" s="218"/>
      <c r="H542" s="301">
        <v>821000</v>
      </c>
      <c r="I542" s="240">
        <v>0</v>
      </c>
    </row>
    <row r="543" spans="2:9" hidden="1" x14ac:dyDescent="0.2">
      <c r="B543" s="238">
        <v>45810</v>
      </c>
      <c r="C543" s="239">
        <v>212</v>
      </c>
      <c r="D543" s="239" t="str">
        <f>IFERROR(VLOOKUP(C543,'Neraca Saldo'!$B$6:$C$56,2,0),"")</f>
        <v>Simpanan Karyawan</v>
      </c>
      <c r="E543" s="258" t="s">
        <v>1045</v>
      </c>
      <c r="F543" s="244" t="s">
        <v>77</v>
      </c>
      <c r="G543" s="218"/>
      <c r="H543" s="240">
        <f t="shared" si="8"/>
        <v>0</v>
      </c>
      <c r="I543" s="240">
        <f t="shared" si="9"/>
        <v>821000</v>
      </c>
    </row>
    <row r="544" spans="2:9" hidden="1" x14ac:dyDescent="0.2">
      <c r="B544" s="238">
        <v>45810</v>
      </c>
      <c r="C544" s="239">
        <v>111</v>
      </c>
      <c r="D544" s="239" t="str">
        <f>IFERROR(VLOOKUP(C544,'Neraca Saldo'!$B$6:$C$56,2,0),"")</f>
        <v>Bank</v>
      </c>
      <c r="E544" s="258" t="s">
        <v>1020</v>
      </c>
      <c r="F544" s="244" t="s">
        <v>77</v>
      </c>
      <c r="G544" s="218"/>
      <c r="H544" s="301">
        <v>200000</v>
      </c>
      <c r="I544" s="240">
        <v>0</v>
      </c>
    </row>
    <row r="545" spans="2:9" hidden="1" x14ac:dyDescent="0.2">
      <c r="B545" s="238">
        <v>45810</v>
      </c>
      <c r="C545" s="239">
        <v>212</v>
      </c>
      <c r="D545" s="239" t="str">
        <f>IFERROR(VLOOKUP(C545,'Neraca Saldo'!$B$6:$C$56,2,0),"")</f>
        <v>Simpanan Karyawan</v>
      </c>
      <c r="E545" s="258" t="s">
        <v>1020</v>
      </c>
      <c r="F545" s="244" t="s">
        <v>77</v>
      </c>
      <c r="G545" s="218"/>
      <c r="H545" s="240">
        <f t="shared" si="8"/>
        <v>0</v>
      </c>
      <c r="I545" s="240">
        <f t="shared" si="9"/>
        <v>200000</v>
      </c>
    </row>
    <row r="546" spans="2:9" hidden="1" x14ac:dyDescent="0.2">
      <c r="B546" s="238">
        <v>45810</v>
      </c>
      <c r="C546" s="239">
        <v>111</v>
      </c>
      <c r="D546" s="239" t="str">
        <f>IFERROR(VLOOKUP(C546,'Neraca Saldo'!$B$6:$C$56,2,0),"")</f>
        <v>Bank</v>
      </c>
      <c r="E546" s="258" t="s">
        <v>1046</v>
      </c>
      <c r="F546" s="244" t="s">
        <v>77</v>
      </c>
      <c r="G546" s="218"/>
      <c r="H546" s="301">
        <v>328300</v>
      </c>
      <c r="I546" s="240">
        <v>0</v>
      </c>
    </row>
    <row r="547" spans="2:9" hidden="1" x14ac:dyDescent="0.2">
      <c r="B547" s="238">
        <v>45810</v>
      </c>
      <c r="C547" s="239">
        <v>212</v>
      </c>
      <c r="D547" s="239" t="str">
        <f>IFERROR(VLOOKUP(C547,'Neraca Saldo'!$B$6:$C$56,2,0),"")</f>
        <v>Simpanan Karyawan</v>
      </c>
      <c r="E547" s="258" t="s">
        <v>1046</v>
      </c>
      <c r="F547" s="244" t="s">
        <v>77</v>
      </c>
      <c r="G547" s="218"/>
      <c r="H547" s="240">
        <f t="shared" si="8"/>
        <v>0</v>
      </c>
      <c r="I547" s="240">
        <f t="shared" si="9"/>
        <v>328300</v>
      </c>
    </row>
    <row r="548" spans="2:9" hidden="1" x14ac:dyDescent="0.2">
      <c r="B548" s="238">
        <v>45810</v>
      </c>
      <c r="C548" s="239">
        <v>111</v>
      </c>
      <c r="D548" s="239" t="str">
        <f>IFERROR(VLOOKUP(C548,'Neraca Saldo'!$B$6:$C$56,2,0),"")</f>
        <v>Bank</v>
      </c>
      <c r="E548" s="258" t="s">
        <v>1021</v>
      </c>
      <c r="F548" s="244" t="s">
        <v>77</v>
      </c>
      <c r="G548" s="218"/>
      <c r="H548" s="301">
        <v>200000</v>
      </c>
      <c r="I548" s="240">
        <v>0</v>
      </c>
    </row>
    <row r="549" spans="2:9" hidden="1" x14ac:dyDescent="0.2">
      <c r="B549" s="238">
        <v>45810</v>
      </c>
      <c r="C549" s="239">
        <v>212</v>
      </c>
      <c r="D549" s="239" t="str">
        <f>IFERROR(VLOOKUP(C549,'Neraca Saldo'!$B$6:$C$56,2,0),"")</f>
        <v>Simpanan Karyawan</v>
      </c>
      <c r="E549" s="258" t="s">
        <v>1021</v>
      </c>
      <c r="F549" s="244" t="s">
        <v>77</v>
      </c>
      <c r="G549" s="218"/>
      <c r="H549" s="240">
        <f t="shared" si="8"/>
        <v>0</v>
      </c>
      <c r="I549" s="240">
        <f t="shared" si="9"/>
        <v>200000</v>
      </c>
    </row>
    <row r="550" spans="2:9" hidden="1" x14ac:dyDescent="0.2">
      <c r="B550" s="238">
        <v>45810</v>
      </c>
      <c r="C550" s="239">
        <v>111</v>
      </c>
      <c r="D550" s="239" t="str">
        <f>IFERROR(VLOOKUP(C550,'Neraca Saldo'!$B$6:$C$56,2,0),"")</f>
        <v>Bank</v>
      </c>
      <c r="E550" s="258" t="s">
        <v>1023</v>
      </c>
      <c r="F550" s="244" t="s">
        <v>77</v>
      </c>
      <c r="G550" s="218"/>
      <c r="H550" s="301">
        <v>200000</v>
      </c>
      <c r="I550" s="240">
        <v>0</v>
      </c>
    </row>
    <row r="551" spans="2:9" hidden="1" x14ac:dyDescent="0.2">
      <c r="B551" s="238">
        <v>45810</v>
      </c>
      <c r="C551" s="239">
        <v>212</v>
      </c>
      <c r="D551" s="239" t="str">
        <f>IFERROR(VLOOKUP(C551,'Neraca Saldo'!$B$6:$C$56,2,0),"")</f>
        <v>Simpanan Karyawan</v>
      </c>
      <c r="E551" s="258" t="s">
        <v>1023</v>
      </c>
      <c r="F551" s="244" t="s">
        <v>77</v>
      </c>
      <c r="G551" s="218"/>
      <c r="H551" s="240">
        <f t="shared" si="8"/>
        <v>0</v>
      </c>
      <c r="I551" s="240">
        <f t="shared" si="9"/>
        <v>200000</v>
      </c>
    </row>
    <row r="552" spans="2:9" hidden="1" x14ac:dyDescent="0.2">
      <c r="B552" s="238">
        <v>45811</v>
      </c>
      <c r="C552" s="239">
        <v>111</v>
      </c>
      <c r="D552" s="239" t="str">
        <f>IFERROR(VLOOKUP(C552,'Neraca Saldo'!$B$6:$C$56,2,0),"")</f>
        <v>Bank</v>
      </c>
      <c r="E552" s="258" t="s">
        <v>1022</v>
      </c>
      <c r="F552" s="244" t="s">
        <v>77</v>
      </c>
      <c r="G552" s="218"/>
      <c r="H552" s="301">
        <v>200000</v>
      </c>
      <c r="I552" s="240">
        <v>0</v>
      </c>
    </row>
    <row r="553" spans="2:9" hidden="1" x14ac:dyDescent="0.2">
      <c r="B553" s="238">
        <v>45811</v>
      </c>
      <c r="C553" s="239">
        <v>212</v>
      </c>
      <c r="D553" s="239" t="str">
        <f>IFERROR(VLOOKUP(C553,'Neraca Saldo'!$B$6:$C$56,2,0),"")</f>
        <v>Simpanan Karyawan</v>
      </c>
      <c r="E553" s="258" t="s">
        <v>1022</v>
      </c>
      <c r="F553" s="244" t="s">
        <v>77</v>
      </c>
      <c r="G553" s="218"/>
      <c r="H553" s="240">
        <f t="shared" si="8"/>
        <v>0</v>
      </c>
      <c r="I553" s="240">
        <f t="shared" si="9"/>
        <v>200000</v>
      </c>
    </row>
    <row r="554" spans="2:9" hidden="1" x14ac:dyDescent="0.2">
      <c r="B554" s="238">
        <v>45811</v>
      </c>
      <c r="C554" s="239">
        <v>111</v>
      </c>
      <c r="D554" s="239" t="str">
        <f>IFERROR(VLOOKUP(C554,'Neraca Saldo'!$B$6:$C$56,2,0),"")</f>
        <v>Bank</v>
      </c>
      <c r="E554" s="258" t="s">
        <v>1025</v>
      </c>
      <c r="F554" s="244" t="s">
        <v>77</v>
      </c>
      <c r="G554" s="218"/>
      <c r="H554" s="301">
        <v>200000</v>
      </c>
      <c r="I554" s="240">
        <v>0</v>
      </c>
    </row>
    <row r="555" spans="2:9" hidden="1" x14ac:dyDescent="0.2">
      <c r="B555" s="238">
        <v>45811</v>
      </c>
      <c r="C555" s="239">
        <v>212</v>
      </c>
      <c r="D555" s="239" t="str">
        <f>IFERROR(VLOOKUP(C555,'Neraca Saldo'!$B$6:$C$56,2,0),"")</f>
        <v>Simpanan Karyawan</v>
      </c>
      <c r="E555" s="258" t="s">
        <v>1025</v>
      </c>
      <c r="F555" s="244" t="s">
        <v>77</v>
      </c>
      <c r="G555" s="218"/>
      <c r="H555" s="240">
        <f t="shared" si="8"/>
        <v>0</v>
      </c>
      <c r="I555" s="240">
        <f t="shared" si="9"/>
        <v>200000</v>
      </c>
    </row>
    <row r="556" spans="2:9" hidden="1" x14ac:dyDescent="0.2">
      <c r="B556" s="238">
        <v>45811</v>
      </c>
      <c r="C556" s="239">
        <v>111</v>
      </c>
      <c r="D556" s="239" t="str">
        <f>IFERROR(VLOOKUP(C556,'Neraca Saldo'!$B$6:$C$56,2,0),"")</f>
        <v>Bank</v>
      </c>
      <c r="E556" s="258" t="s">
        <v>1026</v>
      </c>
      <c r="F556" s="244" t="s">
        <v>77</v>
      </c>
      <c r="G556" s="218"/>
      <c r="H556" s="301">
        <v>241000</v>
      </c>
      <c r="I556" s="240">
        <v>0</v>
      </c>
    </row>
    <row r="557" spans="2:9" hidden="1" x14ac:dyDescent="0.2">
      <c r="B557" s="238">
        <v>45811</v>
      </c>
      <c r="C557" s="239">
        <v>212</v>
      </c>
      <c r="D557" s="239" t="str">
        <f>IFERROR(VLOOKUP(C557,'Neraca Saldo'!$B$6:$C$56,2,0),"")</f>
        <v>Simpanan Karyawan</v>
      </c>
      <c r="E557" s="258" t="s">
        <v>1026</v>
      </c>
      <c r="F557" s="244" t="s">
        <v>77</v>
      </c>
      <c r="G557" s="218"/>
      <c r="H557" s="240">
        <f t="shared" si="8"/>
        <v>0</v>
      </c>
      <c r="I557" s="240">
        <f t="shared" si="9"/>
        <v>241000</v>
      </c>
    </row>
    <row r="558" spans="2:9" hidden="1" x14ac:dyDescent="0.2">
      <c r="B558" s="238">
        <v>45811</v>
      </c>
      <c r="C558" s="239">
        <v>111</v>
      </c>
      <c r="D558" s="239" t="str">
        <f>IFERROR(VLOOKUP(C558,'Neraca Saldo'!$B$6:$C$56,2,0),"")</f>
        <v>Bank</v>
      </c>
      <c r="E558" s="258" t="s">
        <v>1047</v>
      </c>
      <c r="F558" s="244" t="s">
        <v>77</v>
      </c>
      <c r="G558" s="218"/>
      <c r="H558" s="301">
        <v>350000</v>
      </c>
      <c r="I558" s="240">
        <v>0</v>
      </c>
    </row>
    <row r="559" spans="2:9" hidden="1" x14ac:dyDescent="0.2">
      <c r="B559" s="238">
        <v>45811</v>
      </c>
      <c r="C559" s="239">
        <v>212</v>
      </c>
      <c r="D559" s="239" t="str">
        <f>IFERROR(VLOOKUP(C559,'Neraca Saldo'!$B$6:$C$56,2,0),"")</f>
        <v>Simpanan Karyawan</v>
      </c>
      <c r="E559" s="258" t="s">
        <v>1047</v>
      </c>
      <c r="F559" s="244" t="s">
        <v>77</v>
      </c>
      <c r="G559" s="218"/>
      <c r="H559" s="240">
        <f t="shared" si="8"/>
        <v>0</v>
      </c>
      <c r="I559" s="240">
        <f t="shared" si="9"/>
        <v>350000</v>
      </c>
    </row>
    <row r="560" spans="2:9" hidden="1" x14ac:dyDescent="0.2">
      <c r="B560" s="238">
        <v>45811</v>
      </c>
      <c r="C560" s="239">
        <v>111</v>
      </c>
      <c r="D560" s="239" t="str">
        <f>IFERROR(VLOOKUP(C560,'Neraca Saldo'!$B$6:$C$56,2,0),"")</f>
        <v>Bank</v>
      </c>
      <c r="E560" s="258" t="s">
        <v>1024</v>
      </c>
      <c r="F560" s="244" t="s">
        <v>77</v>
      </c>
      <c r="G560" s="218"/>
      <c r="H560" s="301">
        <v>200000</v>
      </c>
      <c r="I560" s="240">
        <v>0</v>
      </c>
    </row>
    <row r="561" spans="2:9" hidden="1" x14ac:dyDescent="0.2">
      <c r="B561" s="238">
        <v>45811</v>
      </c>
      <c r="C561" s="239">
        <v>212</v>
      </c>
      <c r="D561" s="239" t="str">
        <f>IFERROR(VLOOKUP(C561,'Neraca Saldo'!$B$6:$C$56,2,0),"")</f>
        <v>Simpanan Karyawan</v>
      </c>
      <c r="E561" s="258" t="s">
        <v>1024</v>
      </c>
      <c r="F561" s="244" t="s">
        <v>77</v>
      </c>
      <c r="G561" s="218"/>
      <c r="H561" s="240">
        <f t="shared" ref="H561:H623" si="10">I560</f>
        <v>0</v>
      </c>
      <c r="I561" s="240">
        <f t="shared" ref="I561:I623" si="11">H560</f>
        <v>200000</v>
      </c>
    </row>
    <row r="562" spans="2:9" hidden="1" x14ac:dyDescent="0.2">
      <c r="B562" s="238">
        <v>45817</v>
      </c>
      <c r="C562" s="239">
        <v>111</v>
      </c>
      <c r="D562" s="239" t="str">
        <f>IFERROR(VLOOKUP(C562,'Neraca Saldo'!$B$6:$C$56,2,0),"")</f>
        <v>Bank</v>
      </c>
      <c r="E562" s="258" t="s">
        <v>1048</v>
      </c>
      <c r="F562" s="244" t="s">
        <v>77</v>
      </c>
      <c r="G562" s="218"/>
      <c r="H562" s="301">
        <v>350000</v>
      </c>
      <c r="I562" s="240">
        <v>0</v>
      </c>
    </row>
    <row r="563" spans="2:9" hidden="1" x14ac:dyDescent="0.2">
      <c r="B563" s="238">
        <v>45817</v>
      </c>
      <c r="C563" s="239">
        <v>212</v>
      </c>
      <c r="D563" s="239" t="str">
        <f>IFERROR(VLOOKUP(C563,'Neraca Saldo'!$B$6:$C$56,2,0),"")</f>
        <v>Simpanan Karyawan</v>
      </c>
      <c r="E563" s="258" t="s">
        <v>1048</v>
      </c>
      <c r="F563" s="244" t="s">
        <v>77</v>
      </c>
      <c r="G563" s="218"/>
      <c r="H563" s="240">
        <f t="shared" si="10"/>
        <v>0</v>
      </c>
      <c r="I563" s="240">
        <f t="shared" si="11"/>
        <v>350000</v>
      </c>
    </row>
    <row r="564" spans="2:9" hidden="1" x14ac:dyDescent="0.2">
      <c r="B564" s="238">
        <v>45817</v>
      </c>
      <c r="C564" s="239">
        <v>111</v>
      </c>
      <c r="D564" s="239" t="str">
        <f>IFERROR(VLOOKUP(C564,'Neraca Saldo'!$B$6:$C$56,2,0),"")</f>
        <v>Bank</v>
      </c>
      <c r="E564" s="258" t="s">
        <v>1029</v>
      </c>
      <c r="F564" s="244" t="s">
        <v>77</v>
      </c>
      <c r="G564" s="218"/>
      <c r="H564" s="301">
        <v>200000</v>
      </c>
      <c r="I564" s="240">
        <v>0</v>
      </c>
    </row>
    <row r="565" spans="2:9" hidden="1" x14ac:dyDescent="0.2">
      <c r="B565" s="238">
        <v>45817</v>
      </c>
      <c r="C565" s="239">
        <v>212</v>
      </c>
      <c r="D565" s="239" t="str">
        <f>IFERROR(VLOOKUP(C565,'Neraca Saldo'!$B$6:$C$56,2,0),"")</f>
        <v>Simpanan Karyawan</v>
      </c>
      <c r="E565" s="258" t="s">
        <v>1029</v>
      </c>
      <c r="F565" s="244" t="s">
        <v>77</v>
      </c>
      <c r="G565" s="218"/>
      <c r="H565" s="240">
        <f t="shared" si="10"/>
        <v>0</v>
      </c>
      <c r="I565" s="240">
        <f t="shared" si="11"/>
        <v>200000</v>
      </c>
    </row>
    <row r="566" spans="2:9" hidden="1" x14ac:dyDescent="0.2">
      <c r="B566" s="238">
        <v>45817</v>
      </c>
      <c r="C566" s="239">
        <v>111</v>
      </c>
      <c r="D566" s="239" t="str">
        <f>IFERROR(VLOOKUP(C566,'Neraca Saldo'!$B$6:$C$56,2,0),"")</f>
        <v>Bank</v>
      </c>
      <c r="E566" s="258" t="s">
        <v>1031</v>
      </c>
      <c r="F566" s="244" t="s">
        <v>77</v>
      </c>
      <c r="G566" s="218"/>
      <c r="H566" s="301">
        <v>200000</v>
      </c>
      <c r="I566" s="240">
        <v>0</v>
      </c>
    </row>
    <row r="567" spans="2:9" hidden="1" x14ac:dyDescent="0.2">
      <c r="B567" s="238">
        <v>45817</v>
      </c>
      <c r="C567" s="239">
        <v>212</v>
      </c>
      <c r="D567" s="239" t="str">
        <f>IFERROR(VLOOKUP(C567,'Neraca Saldo'!$B$6:$C$56,2,0),"")</f>
        <v>Simpanan Karyawan</v>
      </c>
      <c r="E567" s="258" t="s">
        <v>1031</v>
      </c>
      <c r="F567" s="244" t="s">
        <v>77</v>
      </c>
      <c r="G567" s="218"/>
      <c r="H567" s="240">
        <f t="shared" si="10"/>
        <v>0</v>
      </c>
      <c r="I567" s="240">
        <f t="shared" si="11"/>
        <v>200000</v>
      </c>
    </row>
    <row r="568" spans="2:9" hidden="1" x14ac:dyDescent="0.2">
      <c r="B568" s="238">
        <v>45817</v>
      </c>
      <c r="C568" s="239">
        <v>111</v>
      </c>
      <c r="D568" s="239" t="str">
        <f>IFERROR(VLOOKUP(C568,'Neraca Saldo'!$B$6:$C$56,2,0),"")</f>
        <v>Bank</v>
      </c>
      <c r="E568" s="258" t="s">
        <v>927</v>
      </c>
      <c r="F568" s="244" t="s">
        <v>77</v>
      </c>
      <c r="G568" s="218" t="s">
        <v>1224</v>
      </c>
      <c r="H568" s="245">
        <v>0</v>
      </c>
      <c r="I568" s="240">
        <v>0</v>
      </c>
    </row>
    <row r="569" spans="2:9" hidden="1" x14ac:dyDescent="0.2">
      <c r="B569" s="238">
        <v>45817</v>
      </c>
      <c r="C569" s="239">
        <v>212</v>
      </c>
      <c r="D569" s="239" t="str">
        <f>IFERROR(VLOOKUP(C569,'Neraca Saldo'!$B$6:$C$56,2,0),"")</f>
        <v>Simpanan Karyawan</v>
      </c>
      <c r="E569" s="258" t="s">
        <v>927</v>
      </c>
      <c r="F569" s="244" t="s">
        <v>77</v>
      </c>
      <c r="G569" s="218" t="s">
        <v>1224</v>
      </c>
      <c r="H569" s="240">
        <f t="shared" si="10"/>
        <v>0</v>
      </c>
      <c r="I569" s="240">
        <f t="shared" si="11"/>
        <v>0</v>
      </c>
    </row>
    <row r="570" spans="2:9" hidden="1" x14ac:dyDescent="0.2">
      <c r="B570" s="231">
        <v>45818</v>
      </c>
      <c r="C570" s="232">
        <v>515</v>
      </c>
      <c r="D570" s="232" t="str">
        <f>IFERROR(VLOOKUP(C570,'Neraca Saldo'!$B$6:$C$56,2,0),"")</f>
        <v>Beban Gaji</v>
      </c>
      <c r="E570" s="194" t="s">
        <v>1051</v>
      </c>
      <c r="F570" s="234" t="s">
        <v>838</v>
      </c>
      <c r="G570" s="217" t="s">
        <v>1224</v>
      </c>
      <c r="H570" s="188">
        <v>2500000</v>
      </c>
      <c r="I570" s="236">
        <v>0</v>
      </c>
    </row>
    <row r="571" spans="2:9" hidden="1" x14ac:dyDescent="0.2">
      <c r="B571" s="231">
        <v>45818</v>
      </c>
      <c r="C571" s="232">
        <v>112</v>
      </c>
      <c r="D571" s="232" t="str">
        <f>IFERROR(VLOOKUP(C571,'Neraca Saldo'!$B$6:$C$56,2,0),"")</f>
        <v>Kas</v>
      </c>
      <c r="E571" s="194" t="s">
        <v>1051</v>
      </c>
      <c r="F571" s="234" t="s">
        <v>838</v>
      </c>
      <c r="G571" s="217" t="s">
        <v>1224</v>
      </c>
      <c r="H571" s="236">
        <f t="shared" si="10"/>
        <v>0</v>
      </c>
      <c r="I571" s="236">
        <f t="shared" si="11"/>
        <v>2500000</v>
      </c>
    </row>
    <row r="572" spans="2:9" hidden="1" x14ac:dyDescent="0.2">
      <c r="B572" s="238">
        <v>45818</v>
      </c>
      <c r="C572" s="239">
        <v>111</v>
      </c>
      <c r="D572" s="239" t="str">
        <f>IFERROR(VLOOKUP(C572,'Neraca Saldo'!$B$6:$C$56,2,0),"")</f>
        <v>Bank</v>
      </c>
      <c r="E572" s="258" t="s">
        <v>927</v>
      </c>
      <c r="F572" s="244" t="s">
        <v>77</v>
      </c>
      <c r="G572" s="218" t="s">
        <v>1224</v>
      </c>
      <c r="H572" s="301">
        <v>700000</v>
      </c>
      <c r="I572" s="240">
        <v>0</v>
      </c>
    </row>
    <row r="573" spans="2:9" hidden="1" x14ac:dyDescent="0.2">
      <c r="B573" s="238">
        <v>45818</v>
      </c>
      <c r="C573" s="239">
        <v>212</v>
      </c>
      <c r="D573" s="239" t="str">
        <f>IFERROR(VLOOKUP(C573,'Neraca Saldo'!$B$6:$C$56,2,0),"")</f>
        <v>Simpanan Karyawan</v>
      </c>
      <c r="E573" s="258" t="s">
        <v>927</v>
      </c>
      <c r="F573" s="244" t="s">
        <v>77</v>
      </c>
      <c r="G573" s="218" t="s">
        <v>1224</v>
      </c>
      <c r="H573" s="240">
        <f t="shared" si="10"/>
        <v>0</v>
      </c>
      <c r="I573" s="240">
        <f t="shared" si="11"/>
        <v>700000</v>
      </c>
    </row>
    <row r="574" spans="2:9" hidden="1" x14ac:dyDescent="0.2">
      <c r="B574" s="238">
        <v>45818</v>
      </c>
      <c r="C574" s="239">
        <v>111</v>
      </c>
      <c r="D574" s="239" t="str">
        <f>IFERROR(VLOOKUP(C574,'Neraca Saldo'!$B$6:$C$56,2,0),"")</f>
        <v>Bank</v>
      </c>
      <c r="E574" s="258" t="s">
        <v>964</v>
      </c>
      <c r="F574" s="244" t="s">
        <v>77</v>
      </c>
      <c r="G574" s="218" t="s">
        <v>1224</v>
      </c>
      <c r="H574" s="301">
        <v>600000</v>
      </c>
      <c r="I574" s="240">
        <v>0</v>
      </c>
    </row>
    <row r="575" spans="2:9" hidden="1" x14ac:dyDescent="0.2">
      <c r="B575" s="238">
        <v>45818</v>
      </c>
      <c r="C575" s="239">
        <v>212</v>
      </c>
      <c r="D575" s="239" t="str">
        <f>IFERROR(VLOOKUP(C575,'Neraca Saldo'!$B$6:$C$56,2,0),"")</f>
        <v>Simpanan Karyawan</v>
      </c>
      <c r="E575" s="258" t="s">
        <v>964</v>
      </c>
      <c r="F575" s="244" t="s">
        <v>77</v>
      </c>
      <c r="G575" s="218" t="s">
        <v>1224</v>
      </c>
      <c r="H575" s="240">
        <f t="shared" si="10"/>
        <v>0</v>
      </c>
      <c r="I575" s="240">
        <f t="shared" si="11"/>
        <v>600000</v>
      </c>
    </row>
    <row r="576" spans="2:9" hidden="1" x14ac:dyDescent="0.2">
      <c r="B576" s="238">
        <v>45818</v>
      </c>
      <c r="C576" s="239">
        <v>111</v>
      </c>
      <c r="D576" s="239" t="str">
        <f>IFERROR(VLOOKUP(C576,'Neraca Saldo'!$B$6:$C$56,2,0),"")</f>
        <v>Bank</v>
      </c>
      <c r="E576" s="258" t="s">
        <v>965</v>
      </c>
      <c r="F576" s="244" t="s">
        <v>77</v>
      </c>
      <c r="G576" s="218" t="s">
        <v>1224</v>
      </c>
      <c r="H576" s="301">
        <v>650000</v>
      </c>
      <c r="I576" s="240">
        <v>0</v>
      </c>
    </row>
    <row r="577" spans="2:9" hidden="1" x14ac:dyDescent="0.2">
      <c r="B577" s="238">
        <v>45818</v>
      </c>
      <c r="C577" s="239">
        <v>212</v>
      </c>
      <c r="D577" s="239" t="str">
        <f>IFERROR(VLOOKUP(C577,'Neraca Saldo'!$B$6:$C$56,2,0),"")</f>
        <v>Simpanan Karyawan</v>
      </c>
      <c r="E577" s="258" t="s">
        <v>965</v>
      </c>
      <c r="F577" s="244" t="s">
        <v>77</v>
      </c>
      <c r="G577" s="218" t="s">
        <v>1224</v>
      </c>
      <c r="H577" s="240">
        <f t="shared" si="10"/>
        <v>0</v>
      </c>
      <c r="I577" s="240">
        <f t="shared" si="11"/>
        <v>650000</v>
      </c>
    </row>
    <row r="578" spans="2:9" hidden="1" x14ac:dyDescent="0.2">
      <c r="B578" s="238">
        <v>45818</v>
      </c>
      <c r="C578" s="239">
        <v>111</v>
      </c>
      <c r="D578" s="239" t="str">
        <f>IFERROR(VLOOKUP(C578,'Neraca Saldo'!$B$6:$C$56,2,0),"")</f>
        <v>Bank</v>
      </c>
      <c r="E578" s="258" t="s">
        <v>1049</v>
      </c>
      <c r="F578" s="244" t="s">
        <v>77</v>
      </c>
      <c r="G578" s="218" t="s">
        <v>1224</v>
      </c>
      <c r="H578" s="301">
        <v>600000</v>
      </c>
      <c r="I578" s="240">
        <v>0</v>
      </c>
    </row>
    <row r="579" spans="2:9" hidden="1" x14ac:dyDescent="0.2">
      <c r="B579" s="238">
        <v>45818</v>
      </c>
      <c r="C579" s="239">
        <v>212</v>
      </c>
      <c r="D579" s="239" t="str">
        <f>IFERROR(VLOOKUP(C579,'Neraca Saldo'!$B$6:$C$56,2,0),"")</f>
        <v>Simpanan Karyawan</v>
      </c>
      <c r="E579" s="258" t="s">
        <v>1049</v>
      </c>
      <c r="F579" s="244" t="s">
        <v>77</v>
      </c>
      <c r="G579" s="218" t="s">
        <v>1224</v>
      </c>
      <c r="H579" s="240">
        <f t="shared" si="10"/>
        <v>0</v>
      </c>
      <c r="I579" s="240">
        <f t="shared" si="11"/>
        <v>600000</v>
      </c>
    </row>
    <row r="580" spans="2:9" hidden="1" x14ac:dyDescent="0.2">
      <c r="B580" s="238">
        <v>45818</v>
      </c>
      <c r="C580" s="239">
        <v>111</v>
      </c>
      <c r="D580" s="239" t="str">
        <f>IFERROR(VLOOKUP(C580,'Neraca Saldo'!$B$6:$C$56,2,0),"")</f>
        <v>Bank</v>
      </c>
      <c r="E580" s="258" t="s">
        <v>1050</v>
      </c>
      <c r="F580" s="244" t="s">
        <v>77</v>
      </c>
      <c r="G580" s="218" t="s">
        <v>1224</v>
      </c>
      <c r="H580" s="301">
        <v>450000</v>
      </c>
      <c r="I580" s="240">
        <v>0</v>
      </c>
    </row>
    <row r="581" spans="2:9" hidden="1" x14ac:dyDescent="0.2">
      <c r="B581" s="238">
        <v>45818</v>
      </c>
      <c r="C581" s="239">
        <v>212</v>
      </c>
      <c r="D581" s="239" t="str">
        <f>IFERROR(VLOOKUP(C581,'Neraca Saldo'!$B$6:$C$56,2,0),"")</f>
        <v>Simpanan Karyawan</v>
      </c>
      <c r="E581" s="258" t="s">
        <v>1050</v>
      </c>
      <c r="F581" s="244" t="s">
        <v>77</v>
      </c>
      <c r="G581" s="218" t="s">
        <v>1224</v>
      </c>
      <c r="H581" s="240">
        <f t="shared" si="10"/>
        <v>0</v>
      </c>
      <c r="I581" s="240">
        <f t="shared" si="11"/>
        <v>450000</v>
      </c>
    </row>
    <row r="582" spans="2:9" x14ac:dyDescent="0.2">
      <c r="B582" s="231">
        <v>45819</v>
      </c>
      <c r="C582" s="232">
        <v>513</v>
      </c>
      <c r="D582" s="232" t="str">
        <f>IFERROR(VLOOKUP(C582,'Neraca Saldo'!$B$6:$C$56,2,0),"")</f>
        <v>Beban Pengurus dan Anggota</v>
      </c>
      <c r="E582" s="194" t="s">
        <v>1052</v>
      </c>
      <c r="F582" s="234" t="s">
        <v>838</v>
      </c>
      <c r="G582" s="217"/>
      <c r="H582" s="188">
        <v>1138000</v>
      </c>
      <c r="I582" s="236">
        <v>0</v>
      </c>
    </row>
    <row r="583" spans="2:9" hidden="1" x14ac:dyDescent="0.2">
      <c r="B583" s="231">
        <v>45819</v>
      </c>
      <c r="C583" s="232">
        <v>112</v>
      </c>
      <c r="D583" s="232" t="str">
        <f>IFERROR(VLOOKUP(C583,'Neraca Saldo'!$B$6:$C$56,2,0),"")</f>
        <v>Kas</v>
      </c>
      <c r="E583" s="194" t="s">
        <v>1052</v>
      </c>
      <c r="F583" s="234" t="s">
        <v>838</v>
      </c>
      <c r="G583" s="217"/>
      <c r="H583" s="236">
        <f t="shared" si="10"/>
        <v>0</v>
      </c>
      <c r="I583" s="236">
        <f t="shared" si="11"/>
        <v>1138000</v>
      </c>
    </row>
    <row r="584" spans="2:9" hidden="1" x14ac:dyDescent="0.2">
      <c r="B584" s="231">
        <v>45821</v>
      </c>
      <c r="C584" s="232">
        <v>313</v>
      </c>
      <c r="D584" s="232" t="str">
        <f>IFERROR(VLOOKUP(C584,'Neraca Saldo'!$B$6:$C$56,2,0),"")</f>
        <v>(Laba)/Rugi ditahan</v>
      </c>
      <c r="E584" s="194" t="s">
        <v>1053</v>
      </c>
      <c r="F584" s="234" t="s">
        <v>838</v>
      </c>
      <c r="G584" s="217"/>
      <c r="H584" s="188">
        <v>500000</v>
      </c>
      <c r="I584" s="236">
        <v>0</v>
      </c>
    </row>
    <row r="585" spans="2:9" hidden="1" x14ac:dyDescent="0.2">
      <c r="B585" s="231">
        <v>45821</v>
      </c>
      <c r="C585" s="232">
        <v>112</v>
      </c>
      <c r="D585" s="232" t="str">
        <f>IFERROR(VLOOKUP(C585,'Neraca Saldo'!$B$6:$C$56,2,0),"")</f>
        <v>Kas</v>
      </c>
      <c r="E585" s="194" t="s">
        <v>1053</v>
      </c>
      <c r="F585" s="234" t="s">
        <v>838</v>
      </c>
      <c r="G585" s="217"/>
      <c r="H585" s="236">
        <f t="shared" si="10"/>
        <v>0</v>
      </c>
      <c r="I585" s="236">
        <f t="shared" si="11"/>
        <v>500000</v>
      </c>
    </row>
    <row r="586" spans="2:9" hidden="1" x14ac:dyDescent="0.2">
      <c r="B586" s="231">
        <v>45821</v>
      </c>
      <c r="C586" s="232">
        <v>515</v>
      </c>
      <c r="D586" s="232" t="str">
        <f>IFERROR(VLOOKUP(C586,'Neraca Saldo'!$B$6:$C$56,2,0),"")</f>
        <v>Beban Gaji</v>
      </c>
      <c r="E586" s="194" t="s">
        <v>1054</v>
      </c>
      <c r="F586" s="234" t="s">
        <v>838</v>
      </c>
      <c r="G586" s="217" t="s">
        <v>1224</v>
      </c>
      <c r="H586" s="188">
        <v>100000</v>
      </c>
      <c r="I586" s="236">
        <v>0</v>
      </c>
    </row>
    <row r="587" spans="2:9" hidden="1" x14ac:dyDescent="0.2">
      <c r="B587" s="231">
        <v>45821</v>
      </c>
      <c r="C587" s="232">
        <v>112</v>
      </c>
      <c r="D587" s="232" t="str">
        <f>IFERROR(VLOOKUP(C587,'Neraca Saldo'!$B$6:$C$56,2,0),"")</f>
        <v>Kas</v>
      </c>
      <c r="E587" s="194" t="s">
        <v>1054</v>
      </c>
      <c r="F587" s="234" t="s">
        <v>838</v>
      </c>
      <c r="G587" s="217" t="s">
        <v>1224</v>
      </c>
      <c r="H587" s="236">
        <f t="shared" si="10"/>
        <v>0</v>
      </c>
      <c r="I587" s="236">
        <f t="shared" si="11"/>
        <v>100000</v>
      </c>
    </row>
    <row r="588" spans="2:9" hidden="1" x14ac:dyDescent="0.2">
      <c r="B588" s="231">
        <v>45824</v>
      </c>
      <c r="C588" s="232">
        <v>515</v>
      </c>
      <c r="D588" s="232" t="str">
        <f>IFERROR(VLOOKUP(C588,'Neraca Saldo'!$B$6:$C$56,2,0),"")</f>
        <v>Beban Gaji</v>
      </c>
      <c r="E588" s="259" t="s">
        <v>1055</v>
      </c>
      <c r="F588" s="234" t="s">
        <v>77</v>
      </c>
      <c r="G588" s="217" t="s">
        <v>1224</v>
      </c>
      <c r="H588" s="196">
        <v>1000000</v>
      </c>
      <c r="I588" s="236">
        <v>0</v>
      </c>
    </row>
    <row r="589" spans="2:9" hidden="1" x14ac:dyDescent="0.2">
      <c r="B589" s="231">
        <v>45824</v>
      </c>
      <c r="C589" s="232">
        <v>112</v>
      </c>
      <c r="D589" s="232" t="str">
        <f>IFERROR(VLOOKUP(C589,'Neraca Saldo'!$B$6:$C$56,2,0),"")</f>
        <v>Kas</v>
      </c>
      <c r="E589" s="259" t="s">
        <v>1055</v>
      </c>
      <c r="F589" s="234" t="s">
        <v>77</v>
      </c>
      <c r="G589" s="217" t="s">
        <v>1224</v>
      </c>
      <c r="H589" s="236">
        <f t="shared" si="10"/>
        <v>0</v>
      </c>
      <c r="I589" s="236">
        <f t="shared" si="11"/>
        <v>1000000</v>
      </c>
    </row>
    <row r="590" spans="2:9" hidden="1" x14ac:dyDescent="0.2">
      <c r="B590" s="238">
        <v>45827</v>
      </c>
      <c r="C590" s="239">
        <v>111</v>
      </c>
      <c r="D590" s="239" t="str">
        <f>IFERROR(VLOOKUP(C590,'Neraca Saldo'!$B$6:$C$56,2,0),"")</f>
        <v>Bank</v>
      </c>
      <c r="E590" s="258" t="s">
        <v>1056</v>
      </c>
      <c r="F590" s="244" t="s">
        <v>77</v>
      </c>
      <c r="G590" s="218"/>
      <c r="H590" s="301">
        <v>4718150</v>
      </c>
      <c r="I590" s="240">
        <v>0</v>
      </c>
    </row>
    <row r="591" spans="2:9" hidden="1" x14ac:dyDescent="0.2">
      <c r="B591" s="238">
        <v>45827</v>
      </c>
      <c r="C591" s="239">
        <v>411</v>
      </c>
      <c r="D591" s="239" t="str">
        <f>IFERROR(VLOOKUP(C591,'Neraca Saldo'!$B$6:$C$56,2,0),"")</f>
        <v>Pendapatan Toko</v>
      </c>
      <c r="E591" s="258" t="s">
        <v>1056</v>
      </c>
      <c r="F591" s="244" t="s">
        <v>77</v>
      </c>
      <c r="G591" s="218"/>
      <c r="H591" s="240">
        <f t="shared" si="10"/>
        <v>0</v>
      </c>
      <c r="I591" s="240">
        <f t="shared" si="11"/>
        <v>4718150</v>
      </c>
    </row>
    <row r="592" spans="2:9" hidden="1" x14ac:dyDescent="0.2">
      <c r="B592" s="238">
        <v>45827</v>
      </c>
      <c r="C592" s="239">
        <v>111</v>
      </c>
      <c r="D592" s="239" t="str">
        <f>IFERROR(VLOOKUP(C592,'Neraca Saldo'!$B$6:$C$56,2,0),"")</f>
        <v>Bank</v>
      </c>
      <c r="E592" s="206" t="s">
        <v>1057</v>
      </c>
      <c r="F592" s="244" t="s">
        <v>77</v>
      </c>
      <c r="G592" s="218"/>
      <c r="H592" s="301">
        <v>450000</v>
      </c>
      <c r="I592" s="240">
        <v>0</v>
      </c>
    </row>
    <row r="593" spans="2:9" hidden="1" x14ac:dyDescent="0.2">
      <c r="B593" s="238">
        <v>45827</v>
      </c>
      <c r="C593" s="239">
        <v>212</v>
      </c>
      <c r="D593" s="239" t="str">
        <f>IFERROR(VLOOKUP(C593,'Neraca Saldo'!$B$6:$C$56,2,0),"")</f>
        <v>Simpanan Karyawan</v>
      </c>
      <c r="E593" s="206" t="s">
        <v>1057</v>
      </c>
      <c r="F593" s="244" t="s">
        <v>77</v>
      </c>
      <c r="G593" s="218"/>
      <c r="H593" s="240">
        <f t="shared" si="10"/>
        <v>0</v>
      </c>
      <c r="I593" s="240">
        <f t="shared" si="11"/>
        <v>450000</v>
      </c>
    </row>
    <row r="594" spans="2:9" hidden="1" x14ac:dyDescent="0.2">
      <c r="B594" s="238">
        <v>45827</v>
      </c>
      <c r="C594" s="239">
        <v>111</v>
      </c>
      <c r="D594" s="239" t="str">
        <f>IFERROR(VLOOKUP(C594,'Neraca Saldo'!$B$6:$C$56,2,0),"")</f>
        <v>Bank</v>
      </c>
      <c r="E594" s="206" t="s">
        <v>1058</v>
      </c>
      <c r="F594" s="244" t="s">
        <v>77</v>
      </c>
      <c r="G594" s="218"/>
      <c r="H594" s="301">
        <v>62200000</v>
      </c>
      <c r="I594" s="240">
        <v>0</v>
      </c>
    </row>
    <row r="595" spans="2:9" hidden="1" x14ac:dyDescent="0.2">
      <c r="B595" s="238">
        <v>45827</v>
      </c>
      <c r="C595" s="239">
        <v>212</v>
      </c>
      <c r="D595" s="239" t="str">
        <f>IFERROR(VLOOKUP(C595,'Neraca Saldo'!$B$6:$C$56,2,0),"")</f>
        <v>Simpanan Karyawan</v>
      </c>
      <c r="E595" s="206" t="s">
        <v>1058</v>
      </c>
      <c r="F595" s="244" t="s">
        <v>77</v>
      </c>
      <c r="G595" s="218"/>
      <c r="H595" s="240">
        <f t="shared" si="10"/>
        <v>0</v>
      </c>
      <c r="I595" s="240">
        <f t="shared" si="11"/>
        <v>62200000</v>
      </c>
    </row>
    <row r="596" spans="2:9" hidden="1" x14ac:dyDescent="0.2">
      <c r="B596" s="238">
        <v>45827</v>
      </c>
      <c r="C596" s="239">
        <v>111</v>
      </c>
      <c r="D596" s="239" t="str">
        <f>IFERROR(VLOOKUP(C596,'Neraca Saldo'!$B$6:$C$56,2,0),"")</f>
        <v>Bank</v>
      </c>
      <c r="E596" s="206" t="s">
        <v>1059</v>
      </c>
      <c r="F596" s="244" t="s">
        <v>77</v>
      </c>
      <c r="G596" s="218"/>
      <c r="H596" s="301">
        <v>29535000</v>
      </c>
      <c r="I596" s="240">
        <v>0</v>
      </c>
    </row>
    <row r="597" spans="2:9" hidden="1" x14ac:dyDescent="0.2">
      <c r="B597" s="238">
        <v>45827</v>
      </c>
      <c r="C597" s="239">
        <v>212</v>
      </c>
      <c r="D597" s="239" t="str">
        <f>IFERROR(VLOOKUP(C597,'Neraca Saldo'!$B$6:$C$56,2,0),"")</f>
        <v>Simpanan Karyawan</v>
      </c>
      <c r="E597" s="206" t="s">
        <v>1059</v>
      </c>
      <c r="F597" s="244" t="s">
        <v>77</v>
      </c>
      <c r="G597" s="218"/>
      <c r="H597" s="240">
        <f t="shared" si="10"/>
        <v>0</v>
      </c>
      <c r="I597" s="240">
        <f t="shared" si="11"/>
        <v>29535000</v>
      </c>
    </row>
    <row r="598" spans="2:9" hidden="1" x14ac:dyDescent="0.2">
      <c r="B598" s="238">
        <v>45827</v>
      </c>
      <c r="C598" s="239">
        <v>111</v>
      </c>
      <c r="D598" s="239" t="str">
        <f>IFERROR(VLOOKUP(C598,'Neraca Saldo'!$B$6:$C$56,2,0),"")</f>
        <v>Bank</v>
      </c>
      <c r="E598" s="206" t="s">
        <v>1060</v>
      </c>
      <c r="F598" s="244" t="s">
        <v>77</v>
      </c>
      <c r="G598" s="218"/>
      <c r="H598" s="301">
        <v>7350000</v>
      </c>
      <c r="I598" s="240">
        <v>0</v>
      </c>
    </row>
    <row r="599" spans="2:9" hidden="1" x14ac:dyDescent="0.2">
      <c r="B599" s="238">
        <v>45827</v>
      </c>
      <c r="C599" s="239">
        <v>222</v>
      </c>
      <c r="D599" s="239" t="str">
        <f>IFERROR(VLOOKUP(C599,'Neraca Saldo'!$B$6:$C$56,2,0),"")</f>
        <v>Hutang SPN</v>
      </c>
      <c r="E599" s="206" t="s">
        <v>1060</v>
      </c>
      <c r="F599" s="244" t="s">
        <v>77</v>
      </c>
      <c r="G599" s="218"/>
      <c r="H599" s="240">
        <f t="shared" si="10"/>
        <v>0</v>
      </c>
      <c r="I599" s="240">
        <f t="shared" si="11"/>
        <v>7350000</v>
      </c>
    </row>
    <row r="600" spans="2:9" hidden="1" x14ac:dyDescent="0.2">
      <c r="B600" s="238">
        <v>45827</v>
      </c>
      <c r="C600" s="239">
        <v>111</v>
      </c>
      <c r="D600" s="239" t="str">
        <f>IFERROR(VLOOKUP(C600,'Neraca Saldo'!$B$6:$C$56,2,0),"")</f>
        <v>Bank</v>
      </c>
      <c r="E600" s="206" t="s">
        <v>1061</v>
      </c>
      <c r="F600" s="244" t="s">
        <v>77</v>
      </c>
      <c r="G600" s="218"/>
      <c r="H600" s="301">
        <v>76054342</v>
      </c>
      <c r="I600" s="240">
        <v>0</v>
      </c>
    </row>
    <row r="601" spans="2:9" hidden="1" x14ac:dyDescent="0.2">
      <c r="B601" s="238">
        <v>45827</v>
      </c>
      <c r="C601" s="239">
        <v>121</v>
      </c>
      <c r="D601" s="239" t="str">
        <f>IFERROR(VLOOKUP(C601,'Neraca Saldo'!$B$6:$C$56,2,0),"")</f>
        <v>Piutang Anggota</v>
      </c>
      <c r="E601" s="206" t="s">
        <v>1061</v>
      </c>
      <c r="F601" s="244" t="s">
        <v>77</v>
      </c>
      <c r="G601" s="218"/>
      <c r="H601" s="240">
        <f t="shared" si="10"/>
        <v>0</v>
      </c>
      <c r="I601" s="240">
        <f t="shared" si="11"/>
        <v>76054342</v>
      </c>
    </row>
    <row r="602" spans="2:9" hidden="1" x14ac:dyDescent="0.2">
      <c r="B602" s="238">
        <v>45827</v>
      </c>
      <c r="C602" s="239">
        <v>111</v>
      </c>
      <c r="D602" s="239" t="str">
        <f>IFERROR(VLOOKUP(C602,'Neraca Saldo'!$B$6:$C$56,2,0),"")</f>
        <v>Bank</v>
      </c>
      <c r="E602" s="206" t="s">
        <v>1062</v>
      </c>
      <c r="F602" s="244" t="s">
        <v>77</v>
      </c>
      <c r="G602" s="218"/>
      <c r="H602" s="301">
        <v>164500208</v>
      </c>
      <c r="I602" s="240">
        <v>0</v>
      </c>
    </row>
    <row r="603" spans="2:9" hidden="1" x14ac:dyDescent="0.2">
      <c r="B603" s="238">
        <v>45827</v>
      </c>
      <c r="C603" s="239">
        <v>121</v>
      </c>
      <c r="D603" s="239" t="str">
        <f>IFERROR(VLOOKUP(C603,'Neraca Saldo'!$B$6:$C$56,2,0),"")</f>
        <v>Piutang Anggota</v>
      </c>
      <c r="E603" s="206" t="s">
        <v>1062</v>
      </c>
      <c r="F603" s="244" t="s">
        <v>77</v>
      </c>
      <c r="G603" s="218"/>
      <c r="H603" s="240">
        <f t="shared" si="10"/>
        <v>0</v>
      </c>
      <c r="I603" s="240">
        <f t="shared" si="11"/>
        <v>164500208</v>
      </c>
    </row>
    <row r="604" spans="2:9" hidden="1" x14ac:dyDescent="0.2">
      <c r="B604" s="247">
        <v>45827</v>
      </c>
      <c r="C604" s="248">
        <v>111</v>
      </c>
      <c r="D604" s="248" t="str">
        <f>IFERROR(VLOOKUP(C604,'Neraca Saldo'!$B$6:$C$56,2,0),"")</f>
        <v>Bank</v>
      </c>
      <c r="E604" s="261" t="s">
        <v>1063</v>
      </c>
      <c r="F604" s="250" t="s">
        <v>77</v>
      </c>
      <c r="G604" s="220"/>
      <c r="H604" s="302">
        <v>250000</v>
      </c>
      <c r="I604" s="253">
        <v>0</v>
      </c>
    </row>
    <row r="605" spans="2:9" hidden="1" x14ac:dyDescent="0.2">
      <c r="B605" s="247">
        <v>45827</v>
      </c>
      <c r="C605" s="248">
        <v>213</v>
      </c>
      <c r="D605" s="248" t="str">
        <f>IFERROR(VLOOKUP(C605,'Neraca Saldo'!$B$6:$C$56,2,0),"")</f>
        <v>Hutang Lain-lain</v>
      </c>
      <c r="E605" s="261" t="s">
        <v>1063</v>
      </c>
      <c r="F605" s="250" t="s">
        <v>77</v>
      </c>
      <c r="G605" s="220"/>
      <c r="H605" s="253">
        <f t="shared" si="10"/>
        <v>0</v>
      </c>
      <c r="I605" s="253">
        <f t="shared" si="11"/>
        <v>250000</v>
      </c>
    </row>
    <row r="606" spans="2:9" hidden="1" x14ac:dyDescent="0.2">
      <c r="B606" s="231">
        <v>45833</v>
      </c>
      <c r="C606" s="232">
        <v>112</v>
      </c>
      <c r="D606" s="232" t="str">
        <f>IFERROR(VLOOKUP(C606,'Neraca Saldo'!$B$6:$C$56,2,0),"")</f>
        <v>Kas</v>
      </c>
      <c r="E606" s="232" t="s">
        <v>838</v>
      </c>
      <c r="F606" s="234" t="s">
        <v>77</v>
      </c>
      <c r="G606" s="217" t="s">
        <v>1224</v>
      </c>
      <c r="H606" s="196">
        <v>0</v>
      </c>
      <c r="I606" s="236">
        <v>0</v>
      </c>
    </row>
    <row r="607" spans="2:9" hidden="1" x14ac:dyDescent="0.2">
      <c r="B607" s="231">
        <v>45833</v>
      </c>
      <c r="C607" s="232">
        <v>111</v>
      </c>
      <c r="D607" s="232" t="str">
        <f>IFERROR(VLOOKUP(C607,'Neraca Saldo'!$B$6:$C$56,2,0),"")</f>
        <v>Bank</v>
      </c>
      <c r="E607" s="232" t="s">
        <v>838</v>
      </c>
      <c r="F607" s="234" t="s">
        <v>77</v>
      </c>
      <c r="G607" s="217" t="s">
        <v>1224</v>
      </c>
      <c r="H607" s="236">
        <f t="shared" si="10"/>
        <v>0</v>
      </c>
      <c r="I607" s="236">
        <f t="shared" si="11"/>
        <v>0</v>
      </c>
    </row>
    <row r="608" spans="2:9" hidden="1" x14ac:dyDescent="0.2">
      <c r="B608" s="238">
        <v>45833</v>
      </c>
      <c r="C608" s="239">
        <v>111</v>
      </c>
      <c r="D608" s="239" t="str">
        <f>IFERROR(VLOOKUP(C608,'Neraca Saldo'!$B$6:$C$56,2,0),"")</f>
        <v>Bank</v>
      </c>
      <c r="E608" s="258" t="s">
        <v>940</v>
      </c>
      <c r="F608" s="244" t="s">
        <v>77</v>
      </c>
      <c r="G608" s="218"/>
      <c r="H608" s="301">
        <v>4000000</v>
      </c>
      <c r="I608" s="240">
        <v>0</v>
      </c>
    </row>
    <row r="609" spans="2:9" hidden="1" x14ac:dyDescent="0.2">
      <c r="B609" s="238">
        <v>45833</v>
      </c>
      <c r="C609" s="239">
        <v>212</v>
      </c>
      <c r="D609" s="239" t="str">
        <f>IFERROR(VLOOKUP(C609,'Neraca Saldo'!$B$6:$C$56,2,0),"")</f>
        <v>Simpanan Karyawan</v>
      </c>
      <c r="E609" s="258" t="s">
        <v>940</v>
      </c>
      <c r="F609" s="244" t="s">
        <v>77</v>
      </c>
      <c r="G609" s="218"/>
      <c r="H609" s="240">
        <f t="shared" si="10"/>
        <v>0</v>
      </c>
      <c r="I609" s="240">
        <f t="shared" si="11"/>
        <v>4000000</v>
      </c>
    </row>
    <row r="610" spans="2:9" hidden="1" x14ac:dyDescent="0.2">
      <c r="B610" s="231">
        <v>45833</v>
      </c>
      <c r="C610" s="232">
        <v>411</v>
      </c>
      <c r="D610" s="232" t="str">
        <f>IFERROR(VLOOKUP(C610,'Neraca Saldo'!$B$6:$C$56,2,0),"")</f>
        <v>Pendapatan Toko</v>
      </c>
      <c r="E610" s="259" t="s">
        <v>1056</v>
      </c>
      <c r="F610" s="234" t="s">
        <v>77</v>
      </c>
      <c r="G610" s="217"/>
      <c r="H610" s="246">
        <v>4718150</v>
      </c>
      <c r="I610" s="236">
        <v>0</v>
      </c>
    </row>
    <row r="611" spans="2:9" hidden="1" x14ac:dyDescent="0.2">
      <c r="B611" s="231">
        <v>45833</v>
      </c>
      <c r="C611" s="232">
        <v>111</v>
      </c>
      <c r="D611" s="232" t="str">
        <f>IFERROR(VLOOKUP(C611,'Neraca Saldo'!$B$6:$C$56,2,0),"")</f>
        <v>Bank</v>
      </c>
      <c r="E611" s="259" t="s">
        <v>1056</v>
      </c>
      <c r="F611" s="234" t="s">
        <v>77</v>
      </c>
      <c r="G611" s="217"/>
      <c r="H611" s="236">
        <f t="shared" si="10"/>
        <v>0</v>
      </c>
      <c r="I611" s="236">
        <f t="shared" si="11"/>
        <v>4718150</v>
      </c>
    </row>
    <row r="612" spans="2:9" hidden="1" x14ac:dyDescent="0.2">
      <c r="B612" s="231">
        <v>45833</v>
      </c>
      <c r="C612" s="232">
        <v>124</v>
      </c>
      <c r="D612" s="232" t="str">
        <f>IFERROR(VLOOKUP(C612,'Neraca Saldo'!$B$6:$C$56,2,0),"")</f>
        <v>Piutang USP</v>
      </c>
      <c r="E612" s="205" t="s">
        <v>1059</v>
      </c>
      <c r="F612" s="234" t="s">
        <v>77</v>
      </c>
      <c r="G612" s="217"/>
      <c r="H612" s="246">
        <v>29535000</v>
      </c>
      <c r="I612" s="236">
        <v>0</v>
      </c>
    </row>
    <row r="613" spans="2:9" hidden="1" x14ac:dyDescent="0.2">
      <c r="B613" s="231">
        <v>45833</v>
      </c>
      <c r="C613" s="232">
        <v>111</v>
      </c>
      <c r="D613" s="232" t="str">
        <f>IFERROR(VLOOKUP(C613,'Neraca Saldo'!$B$6:$C$56,2,0),"")</f>
        <v>Bank</v>
      </c>
      <c r="E613" s="205" t="s">
        <v>1059</v>
      </c>
      <c r="F613" s="234" t="s">
        <v>77</v>
      </c>
      <c r="G613" s="217"/>
      <c r="H613" s="236">
        <f t="shared" si="10"/>
        <v>0</v>
      </c>
      <c r="I613" s="236">
        <f t="shared" si="11"/>
        <v>29535000</v>
      </c>
    </row>
    <row r="614" spans="2:9" hidden="1" x14ac:dyDescent="0.2">
      <c r="B614" s="231">
        <v>45833</v>
      </c>
      <c r="C614" s="232">
        <v>222</v>
      </c>
      <c r="D614" s="232" t="str">
        <f>IFERROR(VLOOKUP(C614,'Neraca Saldo'!$B$6:$C$56,2,0),"")</f>
        <v>Hutang SPN</v>
      </c>
      <c r="E614" s="205" t="s">
        <v>1059</v>
      </c>
      <c r="F614" s="234" t="s">
        <v>77</v>
      </c>
      <c r="G614" s="217"/>
      <c r="H614" s="246">
        <v>7350000</v>
      </c>
      <c r="I614" s="236">
        <v>0</v>
      </c>
    </row>
    <row r="615" spans="2:9" hidden="1" x14ac:dyDescent="0.2">
      <c r="B615" s="231">
        <v>45833</v>
      </c>
      <c r="C615" s="232">
        <v>111</v>
      </c>
      <c r="D615" s="232" t="str">
        <f>IFERROR(VLOOKUP(C615,'Neraca Saldo'!$B$6:$C$56,2,0),"")</f>
        <v>Bank</v>
      </c>
      <c r="E615" s="205" t="s">
        <v>1059</v>
      </c>
      <c r="F615" s="234" t="s">
        <v>77</v>
      </c>
      <c r="G615" s="217"/>
      <c r="H615" s="236">
        <f t="shared" si="10"/>
        <v>0</v>
      </c>
      <c r="I615" s="236">
        <f t="shared" si="11"/>
        <v>7350000</v>
      </c>
    </row>
    <row r="616" spans="2:9" hidden="1" x14ac:dyDescent="0.2">
      <c r="B616" s="231">
        <v>45833</v>
      </c>
      <c r="C616" s="232">
        <v>126</v>
      </c>
      <c r="D616" s="232" t="str">
        <f>IFERROR(VLOOKUP(C616,'Neraca Saldo'!$B$6:$C$56,2,0),"")</f>
        <v>Piutang Pengadaan</v>
      </c>
      <c r="E616" s="205" t="s">
        <v>1061</v>
      </c>
      <c r="F616" s="234" t="s">
        <v>77</v>
      </c>
      <c r="G616" s="217"/>
      <c r="H616" s="246">
        <v>76054342</v>
      </c>
      <c r="I616" s="236">
        <v>0</v>
      </c>
    </row>
    <row r="617" spans="2:9" hidden="1" x14ac:dyDescent="0.2">
      <c r="B617" s="231">
        <v>45833</v>
      </c>
      <c r="C617" s="232">
        <v>111</v>
      </c>
      <c r="D617" s="232" t="str">
        <f>IFERROR(VLOOKUP(C617,'Neraca Saldo'!$B$6:$C$56,2,0),"")</f>
        <v>Bank</v>
      </c>
      <c r="E617" s="205" t="s">
        <v>1061</v>
      </c>
      <c r="F617" s="234" t="s">
        <v>77</v>
      </c>
      <c r="G617" s="217"/>
      <c r="H617" s="236">
        <f t="shared" si="10"/>
        <v>0</v>
      </c>
      <c r="I617" s="236">
        <f t="shared" si="11"/>
        <v>76054342</v>
      </c>
    </row>
    <row r="618" spans="2:9" hidden="1" x14ac:dyDescent="0.2">
      <c r="B618" s="231">
        <v>45833</v>
      </c>
      <c r="C618" s="232">
        <v>124</v>
      </c>
      <c r="D618" s="232" t="str">
        <f>IFERROR(VLOOKUP(C618,'Neraca Saldo'!$B$6:$C$56,2,0),"")</f>
        <v>Piutang USP</v>
      </c>
      <c r="E618" s="205" t="s">
        <v>1062</v>
      </c>
      <c r="F618" s="234" t="s">
        <v>77</v>
      </c>
      <c r="G618" s="217"/>
      <c r="H618" s="246">
        <v>164500208</v>
      </c>
      <c r="I618" s="236">
        <v>0</v>
      </c>
    </row>
    <row r="619" spans="2:9" hidden="1" x14ac:dyDescent="0.2">
      <c r="B619" s="231">
        <v>45833</v>
      </c>
      <c r="C619" s="232">
        <v>111</v>
      </c>
      <c r="D619" s="232" t="str">
        <f>IFERROR(VLOOKUP(C619,'Neraca Saldo'!$B$6:$C$56,2,0),"")</f>
        <v>Bank</v>
      </c>
      <c r="E619" s="205" t="s">
        <v>1062</v>
      </c>
      <c r="F619" s="234" t="s">
        <v>77</v>
      </c>
      <c r="G619" s="217"/>
      <c r="H619" s="236">
        <f t="shared" si="10"/>
        <v>0</v>
      </c>
      <c r="I619" s="236">
        <f t="shared" si="11"/>
        <v>164500208</v>
      </c>
    </row>
    <row r="620" spans="2:9" hidden="1" x14ac:dyDescent="0.2">
      <c r="B620" s="231">
        <v>45833</v>
      </c>
      <c r="C620" s="232">
        <v>126</v>
      </c>
      <c r="D620" s="232" t="str">
        <f>IFERROR(VLOOKUP(C620,'Neraca Saldo'!$B$6:$C$56,2,0),"")</f>
        <v>Piutang Pengadaan</v>
      </c>
      <c r="E620" s="259" t="s">
        <v>836</v>
      </c>
      <c r="F620" s="234" t="s">
        <v>77</v>
      </c>
      <c r="G620" s="217"/>
      <c r="H620" s="196">
        <v>50000000</v>
      </c>
      <c r="I620" s="236">
        <v>0</v>
      </c>
    </row>
    <row r="621" spans="2:9" hidden="1" x14ac:dyDescent="0.2">
      <c r="B621" s="231">
        <v>45833</v>
      </c>
      <c r="C621" s="232">
        <v>111</v>
      </c>
      <c r="D621" s="232" t="str">
        <f>IFERROR(VLOOKUP(C621,'Neraca Saldo'!$B$6:$C$56,2,0),"")</f>
        <v>Bank</v>
      </c>
      <c r="E621" s="259" t="s">
        <v>836</v>
      </c>
      <c r="F621" s="234" t="s">
        <v>77</v>
      </c>
      <c r="G621" s="217"/>
      <c r="H621" s="236">
        <f t="shared" si="10"/>
        <v>0</v>
      </c>
      <c r="I621" s="236">
        <f t="shared" si="11"/>
        <v>50000000</v>
      </c>
    </row>
    <row r="622" spans="2:9" hidden="1" x14ac:dyDescent="0.2">
      <c r="B622" s="238">
        <v>45833</v>
      </c>
      <c r="C622" s="239">
        <v>112</v>
      </c>
      <c r="D622" s="239" t="str">
        <f>IFERROR(VLOOKUP(C622,'Neraca Saldo'!$B$6:$C$56,2,0),"")</f>
        <v>Kas</v>
      </c>
      <c r="E622" s="258" t="s">
        <v>964</v>
      </c>
      <c r="F622" s="244" t="s">
        <v>77</v>
      </c>
      <c r="G622" s="218" t="s">
        <v>1224</v>
      </c>
      <c r="H622" s="245">
        <v>1800000</v>
      </c>
      <c r="I622" s="240">
        <v>0</v>
      </c>
    </row>
    <row r="623" spans="2:9" hidden="1" x14ac:dyDescent="0.2">
      <c r="B623" s="238">
        <v>45833</v>
      </c>
      <c r="C623" s="239">
        <v>212</v>
      </c>
      <c r="D623" s="239" t="str">
        <f>IFERROR(VLOOKUP(C623,'Neraca Saldo'!$B$6:$C$56,2,0),"")</f>
        <v>Simpanan Karyawan</v>
      </c>
      <c r="E623" s="258" t="s">
        <v>964</v>
      </c>
      <c r="F623" s="244" t="s">
        <v>77</v>
      </c>
      <c r="G623" s="218" t="s">
        <v>1224</v>
      </c>
      <c r="H623" s="240">
        <f t="shared" si="10"/>
        <v>0</v>
      </c>
      <c r="I623" s="240">
        <f t="shared" si="11"/>
        <v>1800000</v>
      </c>
    </row>
    <row r="624" spans="2:9" hidden="1" x14ac:dyDescent="0.2">
      <c r="B624" s="231">
        <v>45833</v>
      </c>
      <c r="C624" s="232">
        <v>112</v>
      </c>
      <c r="D624" s="232" t="str">
        <f>IFERROR(VLOOKUP(C624,'Neraca Saldo'!$B$6:$C$56,2,0),"")</f>
        <v>Kas</v>
      </c>
      <c r="E624" s="232" t="s">
        <v>838</v>
      </c>
      <c r="F624" s="234" t="s">
        <v>77</v>
      </c>
      <c r="G624" s="217" t="s">
        <v>1224</v>
      </c>
      <c r="H624" s="196">
        <v>11000000</v>
      </c>
      <c r="I624" s="236">
        <v>0</v>
      </c>
    </row>
    <row r="625" spans="2:9" hidden="1" x14ac:dyDescent="0.2">
      <c r="B625" s="231">
        <v>45833</v>
      </c>
      <c r="C625" s="232">
        <v>111</v>
      </c>
      <c r="D625" s="232" t="str">
        <f>IFERROR(VLOOKUP(C625,'Neraca Saldo'!$B$6:$C$56,2,0),"")</f>
        <v>Bank</v>
      </c>
      <c r="E625" s="232" t="s">
        <v>838</v>
      </c>
      <c r="F625" s="234" t="s">
        <v>77</v>
      </c>
      <c r="G625" s="217" t="s">
        <v>1224</v>
      </c>
      <c r="H625" s="236">
        <f t="shared" ref="H625:H683" si="12">I624</f>
        <v>0</v>
      </c>
      <c r="I625" s="236">
        <f t="shared" ref="I625:I683" si="13">H624</f>
        <v>11000000</v>
      </c>
    </row>
    <row r="626" spans="2:9" hidden="1" x14ac:dyDescent="0.2">
      <c r="B626" s="238">
        <v>45838</v>
      </c>
      <c r="C626" s="239">
        <v>111</v>
      </c>
      <c r="D626" s="239" t="str">
        <f>IFERROR(VLOOKUP(C626,'Neraca Saldo'!$B$6:$C$56,2,0),"")</f>
        <v>Bank</v>
      </c>
      <c r="E626" s="258" t="s">
        <v>927</v>
      </c>
      <c r="F626" s="244" t="s">
        <v>77</v>
      </c>
      <c r="G626" s="218"/>
      <c r="H626" s="301">
        <v>10000000</v>
      </c>
      <c r="I626" s="240">
        <v>0</v>
      </c>
    </row>
    <row r="627" spans="2:9" hidden="1" x14ac:dyDescent="0.2">
      <c r="B627" s="238">
        <v>45838</v>
      </c>
      <c r="C627" s="239">
        <v>212</v>
      </c>
      <c r="D627" s="239" t="str">
        <f>IFERROR(VLOOKUP(C627,'Neraca Saldo'!$B$6:$C$56,2,0),"")</f>
        <v>Simpanan Karyawan</v>
      </c>
      <c r="E627" s="258" t="s">
        <v>927</v>
      </c>
      <c r="F627" s="244" t="s">
        <v>77</v>
      </c>
      <c r="G627" s="218"/>
      <c r="H627" s="240">
        <f t="shared" si="12"/>
        <v>0</v>
      </c>
      <c r="I627" s="240">
        <f t="shared" si="13"/>
        <v>10000000</v>
      </c>
    </row>
    <row r="628" spans="2:9" hidden="1" x14ac:dyDescent="0.2">
      <c r="B628" s="238">
        <v>45838</v>
      </c>
      <c r="C628" s="239">
        <v>111</v>
      </c>
      <c r="D628" s="239" t="str">
        <f>IFERROR(VLOOKUP(C628,'Neraca Saldo'!$B$6:$C$56,2,0),"")</f>
        <v>Bank</v>
      </c>
      <c r="E628" s="258" t="s">
        <v>1048</v>
      </c>
      <c r="F628" s="244" t="s">
        <v>77</v>
      </c>
      <c r="G628" s="218"/>
      <c r="H628" s="301">
        <v>200000</v>
      </c>
      <c r="I628" s="240">
        <v>0</v>
      </c>
    </row>
    <row r="629" spans="2:9" hidden="1" x14ac:dyDescent="0.2">
      <c r="B629" s="238">
        <v>45838</v>
      </c>
      <c r="C629" s="239">
        <v>212</v>
      </c>
      <c r="D629" s="239" t="str">
        <f>IFERROR(VLOOKUP(C629,'Neraca Saldo'!$B$6:$C$56,2,0),"")</f>
        <v>Simpanan Karyawan</v>
      </c>
      <c r="E629" s="258" t="s">
        <v>1048</v>
      </c>
      <c r="F629" s="244" t="s">
        <v>77</v>
      </c>
      <c r="G629" s="218"/>
      <c r="H629" s="240">
        <f t="shared" si="12"/>
        <v>0</v>
      </c>
      <c r="I629" s="240">
        <f t="shared" si="13"/>
        <v>200000</v>
      </c>
    </row>
    <row r="630" spans="2:9" hidden="1" x14ac:dyDescent="0.2">
      <c r="B630" s="238">
        <v>45838</v>
      </c>
      <c r="C630" s="239">
        <v>111</v>
      </c>
      <c r="D630" s="239" t="str">
        <f>IFERROR(VLOOKUP(C630,'Neraca Saldo'!$B$6:$C$56,2,0),"")</f>
        <v>Bank</v>
      </c>
      <c r="E630" s="216" t="s">
        <v>57</v>
      </c>
      <c r="F630" s="239" t="s">
        <v>77</v>
      </c>
      <c r="G630" s="218"/>
      <c r="H630" s="245">
        <v>57413</v>
      </c>
      <c r="I630" s="240">
        <v>0</v>
      </c>
    </row>
    <row r="631" spans="2:9" hidden="1" x14ac:dyDescent="0.2">
      <c r="B631" s="238">
        <v>45838</v>
      </c>
      <c r="C631" s="239">
        <v>413</v>
      </c>
      <c r="D631" s="239" t="str">
        <f>IFERROR(VLOOKUP(C631,'Neraca Saldo'!$B$6:$C$56,2,0),"")</f>
        <v>Pendapatan Jasa Bank</v>
      </c>
      <c r="E631" s="216" t="s">
        <v>57</v>
      </c>
      <c r="F631" s="239" t="s">
        <v>77</v>
      </c>
      <c r="G631" s="218"/>
      <c r="H631" s="240">
        <f t="shared" si="12"/>
        <v>0</v>
      </c>
      <c r="I631" s="240">
        <f t="shared" si="13"/>
        <v>57413</v>
      </c>
    </row>
    <row r="632" spans="2:9" hidden="1" x14ac:dyDescent="0.2">
      <c r="B632" s="231">
        <v>45838</v>
      </c>
      <c r="C632" s="232">
        <v>521</v>
      </c>
      <c r="D632" s="232" t="str">
        <f>IFERROR(VLOOKUP(C632,'Neraca Saldo'!$B$6:$C$56,2,0),"")</f>
        <v>Beban Biaya Bank</v>
      </c>
      <c r="E632" s="260" t="s">
        <v>94</v>
      </c>
      <c r="F632" s="232" t="s">
        <v>77</v>
      </c>
      <c r="G632" s="217"/>
      <c r="H632" s="196">
        <v>11483</v>
      </c>
      <c r="I632" s="236">
        <v>0</v>
      </c>
    </row>
    <row r="633" spans="2:9" hidden="1" x14ac:dyDescent="0.2">
      <c r="B633" s="231">
        <v>45838</v>
      </c>
      <c r="C633" s="232">
        <v>111</v>
      </c>
      <c r="D633" s="232" t="str">
        <f>IFERROR(VLOOKUP(C633,'Neraca Saldo'!$B$6:$C$56,2,0),"")</f>
        <v>Bank</v>
      </c>
      <c r="E633" s="260" t="s">
        <v>94</v>
      </c>
      <c r="F633" s="232" t="s">
        <v>77</v>
      </c>
      <c r="G633" s="217"/>
      <c r="H633" s="236">
        <f t="shared" si="12"/>
        <v>0</v>
      </c>
      <c r="I633" s="236">
        <f t="shared" si="13"/>
        <v>11483</v>
      </c>
    </row>
    <row r="634" spans="2:9" hidden="1" x14ac:dyDescent="0.2">
      <c r="B634" s="231">
        <v>45838</v>
      </c>
      <c r="C634" s="232">
        <v>521</v>
      </c>
      <c r="D634" s="232" t="str">
        <f>IFERROR(VLOOKUP(C634,'Neraca Saldo'!$B$6:$C$56,2,0),"")</f>
        <v>Beban Biaya Bank</v>
      </c>
      <c r="E634" s="260" t="s">
        <v>95</v>
      </c>
      <c r="F634" s="232" t="s">
        <v>77</v>
      </c>
      <c r="G634" s="217"/>
      <c r="H634" s="196">
        <v>10000</v>
      </c>
      <c r="I634" s="236">
        <v>0</v>
      </c>
    </row>
    <row r="635" spans="2:9" hidden="1" x14ac:dyDescent="0.2">
      <c r="B635" s="231">
        <v>45838</v>
      </c>
      <c r="C635" s="232">
        <v>111</v>
      </c>
      <c r="D635" s="232" t="str">
        <f>IFERROR(VLOOKUP(C635,'Neraca Saldo'!$B$6:$C$56,2,0),"")</f>
        <v>Bank</v>
      </c>
      <c r="E635" s="260" t="s">
        <v>95</v>
      </c>
      <c r="F635" s="232" t="s">
        <v>77</v>
      </c>
      <c r="G635" s="217"/>
      <c r="H635" s="236">
        <f t="shared" si="12"/>
        <v>0</v>
      </c>
      <c r="I635" s="236">
        <f t="shared" si="13"/>
        <v>10000</v>
      </c>
    </row>
    <row r="636" spans="2:9" hidden="1" x14ac:dyDescent="0.2">
      <c r="B636" s="231">
        <v>45839</v>
      </c>
      <c r="C636" s="232">
        <v>515</v>
      </c>
      <c r="D636" s="232" t="str">
        <f>IFERROR(VLOOKUP(C636,'Neraca Saldo'!$B$6:$C$56,2,0),"")</f>
        <v>Beban Gaji</v>
      </c>
      <c r="E636" s="194" t="s">
        <v>1064</v>
      </c>
      <c r="F636" s="234" t="s">
        <v>838</v>
      </c>
      <c r="G636" s="217"/>
      <c r="H636" s="188">
        <v>2900000</v>
      </c>
      <c r="I636" s="236">
        <v>0</v>
      </c>
    </row>
    <row r="637" spans="2:9" hidden="1" x14ac:dyDescent="0.2">
      <c r="B637" s="231">
        <v>45839</v>
      </c>
      <c r="C637" s="232">
        <v>112</v>
      </c>
      <c r="D637" s="232" t="str">
        <f>IFERROR(VLOOKUP(C637,'Neraca Saldo'!$B$6:$C$56,2,0),"")</f>
        <v>Kas</v>
      </c>
      <c r="E637" s="194" t="s">
        <v>1064</v>
      </c>
      <c r="F637" s="234" t="s">
        <v>838</v>
      </c>
      <c r="G637" s="217"/>
      <c r="H637" s="236">
        <f t="shared" si="12"/>
        <v>0</v>
      </c>
      <c r="I637" s="236">
        <f t="shared" si="13"/>
        <v>2900000</v>
      </c>
    </row>
    <row r="638" spans="2:9" hidden="1" x14ac:dyDescent="0.2">
      <c r="B638" s="231">
        <v>45839</v>
      </c>
      <c r="C638" s="232">
        <v>515</v>
      </c>
      <c r="D638" s="232" t="str">
        <f>IFERROR(VLOOKUP(C638,'Neraca Saldo'!$B$6:$C$56,2,0),"")</f>
        <v>Beban Gaji</v>
      </c>
      <c r="E638" s="194" t="s">
        <v>1065</v>
      </c>
      <c r="F638" s="234" t="s">
        <v>838</v>
      </c>
      <c r="G638" s="217"/>
      <c r="H638" s="188">
        <v>2340000</v>
      </c>
      <c r="I638" s="236">
        <v>0</v>
      </c>
    </row>
    <row r="639" spans="2:9" hidden="1" x14ac:dyDescent="0.2">
      <c r="B639" s="231">
        <v>45839</v>
      </c>
      <c r="C639" s="232">
        <v>112</v>
      </c>
      <c r="D639" s="232" t="str">
        <f>IFERROR(VLOOKUP(C639,'Neraca Saldo'!$B$6:$C$56,2,0),"")</f>
        <v>Kas</v>
      </c>
      <c r="E639" s="194" t="s">
        <v>1065</v>
      </c>
      <c r="F639" s="234" t="s">
        <v>838</v>
      </c>
      <c r="G639" s="217"/>
      <c r="H639" s="236">
        <f t="shared" si="12"/>
        <v>0</v>
      </c>
      <c r="I639" s="236">
        <f t="shared" si="13"/>
        <v>2340000</v>
      </c>
    </row>
    <row r="640" spans="2:9" hidden="1" x14ac:dyDescent="0.2">
      <c r="B640" s="238">
        <v>45839</v>
      </c>
      <c r="C640" s="239">
        <v>111</v>
      </c>
      <c r="D640" s="239" t="str">
        <f>IFERROR(VLOOKUP(C640,'Neraca Saldo'!$B$6:$C$56,2,0),"")</f>
        <v>Bank</v>
      </c>
      <c r="E640" s="258" t="s">
        <v>1021</v>
      </c>
      <c r="F640" s="244" t="s">
        <v>77</v>
      </c>
      <c r="G640" s="218"/>
      <c r="H640" s="245">
        <v>200000</v>
      </c>
      <c r="I640" s="240">
        <v>0</v>
      </c>
    </row>
    <row r="641" spans="2:9" hidden="1" x14ac:dyDescent="0.2">
      <c r="B641" s="238">
        <v>45839</v>
      </c>
      <c r="C641" s="239">
        <v>212</v>
      </c>
      <c r="D641" s="239" t="str">
        <f>IFERROR(VLOOKUP(C641,'Neraca Saldo'!$B$6:$C$56,2,0),"")</f>
        <v>Simpanan Karyawan</v>
      </c>
      <c r="E641" s="258" t="s">
        <v>1021</v>
      </c>
      <c r="F641" s="244" t="s">
        <v>77</v>
      </c>
      <c r="G641" s="218"/>
      <c r="H641" s="240">
        <f t="shared" si="12"/>
        <v>0</v>
      </c>
      <c r="I641" s="240">
        <f t="shared" si="13"/>
        <v>200000</v>
      </c>
    </row>
    <row r="642" spans="2:9" hidden="1" x14ac:dyDescent="0.2">
      <c r="B642" s="238">
        <v>45839</v>
      </c>
      <c r="C642" s="239">
        <v>111</v>
      </c>
      <c r="D642" s="239" t="str">
        <f>IFERROR(VLOOKUP(C642,'Neraca Saldo'!$B$6:$C$56,2,0),"")</f>
        <v>Bank</v>
      </c>
      <c r="E642" s="258" t="s">
        <v>1020</v>
      </c>
      <c r="F642" s="244" t="s">
        <v>77</v>
      </c>
      <c r="G642" s="218"/>
      <c r="H642" s="245">
        <v>200000</v>
      </c>
      <c r="I642" s="240">
        <v>0</v>
      </c>
    </row>
    <row r="643" spans="2:9" hidden="1" x14ac:dyDescent="0.2">
      <c r="B643" s="238">
        <v>45839</v>
      </c>
      <c r="C643" s="239">
        <v>212</v>
      </c>
      <c r="D643" s="239" t="str">
        <f>IFERROR(VLOOKUP(C643,'Neraca Saldo'!$B$6:$C$56,2,0),"")</f>
        <v>Simpanan Karyawan</v>
      </c>
      <c r="E643" s="258" t="s">
        <v>1020</v>
      </c>
      <c r="F643" s="244" t="s">
        <v>77</v>
      </c>
      <c r="G643" s="218"/>
      <c r="H643" s="240">
        <f t="shared" si="12"/>
        <v>0</v>
      </c>
      <c r="I643" s="240">
        <f t="shared" si="13"/>
        <v>200000</v>
      </c>
    </row>
    <row r="644" spans="2:9" hidden="1" x14ac:dyDescent="0.2">
      <c r="B644" s="238">
        <v>45839</v>
      </c>
      <c r="C644" s="239">
        <v>111</v>
      </c>
      <c r="D644" s="239" t="str">
        <f>IFERROR(VLOOKUP(C644,'Neraca Saldo'!$B$6:$C$56,2,0),"")</f>
        <v>Bank</v>
      </c>
      <c r="E644" s="258" t="s">
        <v>1046</v>
      </c>
      <c r="F644" s="244" t="s">
        <v>77</v>
      </c>
      <c r="G644" s="218"/>
      <c r="H644" s="245">
        <v>328300</v>
      </c>
      <c r="I644" s="240">
        <v>0</v>
      </c>
    </row>
    <row r="645" spans="2:9" hidden="1" x14ac:dyDescent="0.2">
      <c r="B645" s="238">
        <v>45839</v>
      </c>
      <c r="C645" s="239">
        <v>212</v>
      </c>
      <c r="D645" s="239" t="str">
        <f>IFERROR(VLOOKUP(C645,'Neraca Saldo'!$B$6:$C$56,2,0),"")</f>
        <v>Simpanan Karyawan</v>
      </c>
      <c r="E645" s="258" t="s">
        <v>1046</v>
      </c>
      <c r="F645" s="244" t="s">
        <v>77</v>
      </c>
      <c r="G645" s="218"/>
      <c r="H645" s="240">
        <f t="shared" si="12"/>
        <v>0</v>
      </c>
      <c r="I645" s="240">
        <f t="shared" si="13"/>
        <v>328300</v>
      </c>
    </row>
    <row r="646" spans="2:9" hidden="1" x14ac:dyDescent="0.2">
      <c r="B646" s="238">
        <v>45839</v>
      </c>
      <c r="C646" s="239">
        <v>111</v>
      </c>
      <c r="D646" s="239" t="str">
        <f>IFERROR(VLOOKUP(C646,'Neraca Saldo'!$B$6:$C$56,2,0),"")</f>
        <v>Bank</v>
      </c>
      <c r="E646" s="258" t="s">
        <v>1029</v>
      </c>
      <c r="F646" s="244" t="s">
        <v>77</v>
      </c>
      <c r="G646" s="218"/>
      <c r="H646" s="245">
        <v>200000</v>
      </c>
      <c r="I646" s="240">
        <v>0</v>
      </c>
    </row>
    <row r="647" spans="2:9" hidden="1" x14ac:dyDescent="0.2">
      <c r="B647" s="238">
        <v>45839</v>
      </c>
      <c r="C647" s="239">
        <v>212</v>
      </c>
      <c r="D647" s="239" t="str">
        <f>IFERROR(VLOOKUP(C647,'Neraca Saldo'!$B$6:$C$56,2,0),"")</f>
        <v>Simpanan Karyawan</v>
      </c>
      <c r="E647" s="258" t="s">
        <v>1029</v>
      </c>
      <c r="F647" s="244" t="s">
        <v>77</v>
      </c>
      <c r="G647" s="218"/>
      <c r="H647" s="240">
        <f t="shared" si="12"/>
        <v>0</v>
      </c>
      <c r="I647" s="240">
        <f t="shared" si="13"/>
        <v>200000</v>
      </c>
    </row>
    <row r="648" spans="2:9" hidden="1" x14ac:dyDescent="0.2">
      <c r="B648" s="238">
        <v>45839</v>
      </c>
      <c r="C648" s="239">
        <v>111</v>
      </c>
      <c r="D648" s="239" t="str">
        <f>IFERROR(VLOOKUP(C648,'Neraca Saldo'!$B$6:$C$56,2,0),"")</f>
        <v>Bank</v>
      </c>
      <c r="E648" s="258" t="s">
        <v>989</v>
      </c>
      <c r="F648" s="244" t="s">
        <v>77</v>
      </c>
      <c r="G648" s="218"/>
      <c r="H648" s="245">
        <v>200000</v>
      </c>
      <c r="I648" s="240">
        <v>0</v>
      </c>
    </row>
    <row r="649" spans="2:9" hidden="1" x14ac:dyDescent="0.2">
      <c r="B649" s="238">
        <v>45839</v>
      </c>
      <c r="C649" s="239">
        <v>212</v>
      </c>
      <c r="D649" s="239" t="str">
        <f>IFERROR(VLOOKUP(C649,'Neraca Saldo'!$B$6:$C$56,2,0),"")</f>
        <v>Simpanan Karyawan</v>
      </c>
      <c r="E649" s="258" t="s">
        <v>989</v>
      </c>
      <c r="F649" s="244" t="s">
        <v>77</v>
      </c>
      <c r="G649" s="218"/>
      <c r="H649" s="240">
        <f t="shared" si="12"/>
        <v>0</v>
      </c>
      <c r="I649" s="240">
        <f t="shared" si="13"/>
        <v>200000</v>
      </c>
    </row>
    <row r="650" spans="2:9" hidden="1" x14ac:dyDescent="0.2">
      <c r="B650" s="238">
        <v>45839</v>
      </c>
      <c r="C650" s="239">
        <v>111</v>
      </c>
      <c r="D650" s="239" t="str">
        <f>IFERROR(VLOOKUP(C650,'Neraca Saldo'!$B$6:$C$56,2,0),"")</f>
        <v>Bank</v>
      </c>
      <c r="E650" s="258" t="s">
        <v>1024</v>
      </c>
      <c r="F650" s="244" t="s">
        <v>77</v>
      </c>
      <c r="G650" s="218"/>
      <c r="H650" s="245">
        <v>200000</v>
      </c>
      <c r="I650" s="240">
        <v>0</v>
      </c>
    </row>
    <row r="651" spans="2:9" hidden="1" x14ac:dyDescent="0.2">
      <c r="B651" s="238">
        <v>45839</v>
      </c>
      <c r="C651" s="239">
        <v>212</v>
      </c>
      <c r="D651" s="239" t="str">
        <f>IFERROR(VLOOKUP(C651,'Neraca Saldo'!$B$6:$C$56,2,0),"")</f>
        <v>Simpanan Karyawan</v>
      </c>
      <c r="E651" s="258" t="s">
        <v>1024</v>
      </c>
      <c r="F651" s="244" t="s">
        <v>77</v>
      </c>
      <c r="G651" s="218"/>
      <c r="H651" s="240">
        <f t="shared" si="12"/>
        <v>0</v>
      </c>
      <c r="I651" s="240">
        <f t="shared" si="13"/>
        <v>200000</v>
      </c>
    </row>
    <row r="652" spans="2:9" hidden="1" x14ac:dyDescent="0.2">
      <c r="B652" s="238">
        <v>45839</v>
      </c>
      <c r="C652" s="239">
        <v>111</v>
      </c>
      <c r="D652" s="239" t="str">
        <f>IFERROR(VLOOKUP(C652,'Neraca Saldo'!$B$6:$C$56,2,0),"")</f>
        <v>Bank</v>
      </c>
      <c r="E652" s="258" t="s">
        <v>1016</v>
      </c>
      <c r="F652" s="244" t="s">
        <v>77</v>
      </c>
      <c r="G652" s="218"/>
      <c r="H652" s="245">
        <v>200000</v>
      </c>
      <c r="I652" s="240">
        <v>0</v>
      </c>
    </row>
    <row r="653" spans="2:9" hidden="1" x14ac:dyDescent="0.2">
      <c r="B653" s="238">
        <v>45839</v>
      </c>
      <c r="C653" s="239">
        <v>212</v>
      </c>
      <c r="D653" s="239" t="str">
        <f>IFERROR(VLOOKUP(C653,'Neraca Saldo'!$B$6:$C$56,2,0),"")</f>
        <v>Simpanan Karyawan</v>
      </c>
      <c r="E653" s="258" t="s">
        <v>1016</v>
      </c>
      <c r="F653" s="244" t="s">
        <v>77</v>
      </c>
      <c r="G653" s="218"/>
      <c r="H653" s="240">
        <f t="shared" si="12"/>
        <v>0</v>
      </c>
      <c r="I653" s="240">
        <f t="shared" si="13"/>
        <v>200000</v>
      </c>
    </row>
    <row r="654" spans="2:9" hidden="1" x14ac:dyDescent="0.2">
      <c r="B654" s="238">
        <v>45839</v>
      </c>
      <c r="C654" s="239">
        <v>111</v>
      </c>
      <c r="D654" s="239" t="str">
        <f>IFERROR(VLOOKUP(C654,'Neraca Saldo'!$B$6:$C$56,2,0),"")</f>
        <v>Bank</v>
      </c>
      <c r="E654" s="258" t="s">
        <v>1017</v>
      </c>
      <c r="F654" s="244" t="s">
        <v>77</v>
      </c>
      <c r="G654" s="218"/>
      <c r="H654" s="245">
        <v>164000</v>
      </c>
      <c r="I654" s="240">
        <v>0</v>
      </c>
    </row>
    <row r="655" spans="2:9" hidden="1" x14ac:dyDescent="0.2">
      <c r="B655" s="238">
        <v>45839</v>
      </c>
      <c r="C655" s="239">
        <v>212</v>
      </c>
      <c r="D655" s="239" t="str">
        <f>IFERROR(VLOOKUP(C655,'Neraca Saldo'!$B$6:$C$56,2,0),"")</f>
        <v>Simpanan Karyawan</v>
      </c>
      <c r="E655" s="258" t="s">
        <v>1017</v>
      </c>
      <c r="F655" s="244" t="s">
        <v>77</v>
      </c>
      <c r="G655" s="218"/>
      <c r="H655" s="240">
        <f t="shared" si="12"/>
        <v>0</v>
      </c>
      <c r="I655" s="240">
        <f t="shared" si="13"/>
        <v>164000</v>
      </c>
    </row>
    <row r="656" spans="2:9" hidden="1" x14ac:dyDescent="0.2">
      <c r="B656" s="238">
        <v>45839</v>
      </c>
      <c r="C656" s="239">
        <v>111</v>
      </c>
      <c r="D656" s="239" t="str">
        <f>IFERROR(VLOOKUP(C656,'Neraca Saldo'!$B$6:$C$56,2,0),"")</f>
        <v>Bank</v>
      </c>
      <c r="E656" s="258" t="s">
        <v>1047</v>
      </c>
      <c r="F656" s="244" t="s">
        <v>77</v>
      </c>
      <c r="G656" s="218"/>
      <c r="H656" s="245">
        <v>200000</v>
      </c>
      <c r="I656" s="240">
        <v>0</v>
      </c>
    </row>
    <row r="657" spans="2:9" hidden="1" x14ac:dyDescent="0.2">
      <c r="B657" s="238">
        <v>45839</v>
      </c>
      <c r="C657" s="239">
        <v>212</v>
      </c>
      <c r="D657" s="239" t="str">
        <f>IFERROR(VLOOKUP(C657,'Neraca Saldo'!$B$6:$C$56,2,0),"")</f>
        <v>Simpanan Karyawan</v>
      </c>
      <c r="E657" s="258" t="s">
        <v>1047</v>
      </c>
      <c r="F657" s="244" t="s">
        <v>77</v>
      </c>
      <c r="G657" s="218"/>
      <c r="H657" s="240">
        <f t="shared" si="12"/>
        <v>0</v>
      </c>
      <c r="I657" s="240">
        <f t="shared" si="13"/>
        <v>200000</v>
      </c>
    </row>
    <row r="658" spans="2:9" hidden="1" x14ac:dyDescent="0.2">
      <c r="B658" s="238">
        <v>45839</v>
      </c>
      <c r="C658" s="239">
        <v>111</v>
      </c>
      <c r="D658" s="239" t="str">
        <f>IFERROR(VLOOKUP(C658,'Neraca Saldo'!$B$6:$C$56,2,0),"")</f>
        <v>Bank</v>
      </c>
      <c r="E658" s="258" t="s">
        <v>1022</v>
      </c>
      <c r="F658" s="244" t="s">
        <v>77</v>
      </c>
      <c r="G658" s="218"/>
      <c r="H658" s="245">
        <v>200000</v>
      </c>
      <c r="I658" s="240">
        <v>0</v>
      </c>
    </row>
    <row r="659" spans="2:9" hidden="1" x14ac:dyDescent="0.2">
      <c r="B659" s="238">
        <v>45839</v>
      </c>
      <c r="C659" s="239">
        <v>212</v>
      </c>
      <c r="D659" s="239" t="str">
        <f>IFERROR(VLOOKUP(C659,'Neraca Saldo'!$B$6:$C$56,2,0),"")</f>
        <v>Simpanan Karyawan</v>
      </c>
      <c r="E659" s="258" t="s">
        <v>1022</v>
      </c>
      <c r="F659" s="244" t="s">
        <v>77</v>
      </c>
      <c r="G659" s="218"/>
      <c r="H659" s="240">
        <f t="shared" si="12"/>
        <v>0</v>
      </c>
      <c r="I659" s="240">
        <f t="shared" si="13"/>
        <v>200000</v>
      </c>
    </row>
    <row r="660" spans="2:9" hidden="1" x14ac:dyDescent="0.2">
      <c r="B660" s="238">
        <v>45839</v>
      </c>
      <c r="C660" s="239">
        <v>111</v>
      </c>
      <c r="D660" s="239" t="str">
        <f>IFERROR(VLOOKUP(C660,'Neraca Saldo'!$B$6:$C$56,2,0),"")</f>
        <v>Bank</v>
      </c>
      <c r="E660" s="258" t="s">
        <v>987</v>
      </c>
      <c r="F660" s="244" t="s">
        <v>77</v>
      </c>
      <c r="G660" s="218"/>
      <c r="H660" s="245">
        <v>200000</v>
      </c>
      <c r="I660" s="240">
        <v>0</v>
      </c>
    </row>
    <row r="661" spans="2:9" hidden="1" x14ac:dyDescent="0.2">
      <c r="B661" s="238">
        <v>45839</v>
      </c>
      <c r="C661" s="239">
        <v>212</v>
      </c>
      <c r="D661" s="239" t="str">
        <f>IFERROR(VLOOKUP(C661,'Neraca Saldo'!$B$6:$C$56,2,0),"")</f>
        <v>Simpanan Karyawan</v>
      </c>
      <c r="E661" s="258" t="s">
        <v>987</v>
      </c>
      <c r="F661" s="244" t="s">
        <v>77</v>
      </c>
      <c r="G661" s="218"/>
      <c r="H661" s="240">
        <f t="shared" si="12"/>
        <v>0</v>
      </c>
      <c r="I661" s="240">
        <f t="shared" si="13"/>
        <v>200000</v>
      </c>
    </row>
    <row r="662" spans="2:9" hidden="1" x14ac:dyDescent="0.2">
      <c r="B662" s="238">
        <v>45839</v>
      </c>
      <c r="C662" s="239">
        <v>111</v>
      </c>
      <c r="D662" s="239" t="str">
        <f>IFERROR(VLOOKUP(C662,'Neraca Saldo'!$B$6:$C$56,2,0),"")</f>
        <v>Bank</v>
      </c>
      <c r="E662" s="258" t="s">
        <v>1066</v>
      </c>
      <c r="F662" s="244" t="s">
        <v>77</v>
      </c>
      <c r="G662" s="218"/>
      <c r="H662" s="245">
        <v>985000</v>
      </c>
      <c r="I662" s="240">
        <v>0</v>
      </c>
    </row>
    <row r="663" spans="2:9" hidden="1" x14ac:dyDescent="0.2">
      <c r="B663" s="238">
        <v>45839</v>
      </c>
      <c r="C663" s="239">
        <v>212</v>
      </c>
      <c r="D663" s="239" t="str">
        <f>IFERROR(VLOOKUP(C663,'Neraca Saldo'!$B$6:$C$56,2,0),"")</f>
        <v>Simpanan Karyawan</v>
      </c>
      <c r="E663" s="258" t="s">
        <v>1066</v>
      </c>
      <c r="F663" s="244" t="s">
        <v>77</v>
      </c>
      <c r="G663" s="218"/>
      <c r="H663" s="240">
        <f t="shared" si="12"/>
        <v>0</v>
      </c>
      <c r="I663" s="240">
        <f t="shared" si="13"/>
        <v>985000</v>
      </c>
    </row>
    <row r="664" spans="2:9" hidden="1" x14ac:dyDescent="0.2">
      <c r="B664" s="238">
        <v>45839</v>
      </c>
      <c r="C664" s="239">
        <v>111</v>
      </c>
      <c r="D664" s="239" t="str">
        <f>IFERROR(VLOOKUP(C664,'Neraca Saldo'!$B$6:$C$56,2,0),"")</f>
        <v>Bank</v>
      </c>
      <c r="E664" s="258" t="s">
        <v>1067</v>
      </c>
      <c r="F664" s="244" t="s">
        <v>77</v>
      </c>
      <c r="G664" s="218"/>
      <c r="H664" s="245">
        <v>350000</v>
      </c>
      <c r="I664" s="240">
        <v>0</v>
      </c>
    </row>
    <row r="665" spans="2:9" hidden="1" x14ac:dyDescent="0.2">
      <c r="B665" s="238">
        <v>45839</v>
      </c>
      <c r="C665" s="239">
        <v>212</v>
      </c>
      <c r="D665" s="239" t="str">
        <f>IFERROR(VLOOKUP(C665,'Neraca Saldo'!$B$6:$C$56,2,0),"")</f>
        <v>Simpanan Karyawan</v>
      </c>
      <c r="E665" s="258" t="s">
        <v>1067</v>
      </c>
      <c r="F665" s="244" t="s">
        <v>77</v>
      </c>
      <c r="G665" s="218"/>
      <c r="H665" s="240">
        <f t="shared" si="12"/>
        <v>0</v>
      </c>
      <c r="I665" s="240">
        <f t="shared" si="13"/>
        <v>350000</v>
      </c>
    </row>
    <row r="666" spans="2:9" hidden="1" x14ac:dyDescent="0.2">
      <c r="B666" s="238">
        <v>45839</v>
      </c>
      <c r="C666" s="239">
        <v>111</v>
      </c>
      <c r="D666" s="239" t="str">
        <f>IFERROR(VLOOKUP(C666,'Neraca Saldo'!$B$6:$C$56,2,0),"")</f>
        <v>Bank</v>
      </c>
      <c r="E666" s="258" t="s">
        <v>1019</v>
      </c>
      <c r="F666" s="244" t="s">
        <v>77</v>
      </c>
      <c r="G666" s="218"/>
      <c r="H666" s="245">
        <v>200000</v>
      </c>
      <c r="I666" s="240">
        <v>0</v>
      </c>
    </row>
    <row r="667" spans="2:9" hidden="1" x14ac:dyDescent="0.2">
      <c r="B667" s="238">
        <v>45839</v>
      </c>
      <c r="C667" s="239">
        <v>212</v>
      </c>
      <c r="D667" s="239" t="str">
        <f>IFERROR(VLOOKUP(C667,'Neraca Saldo'!$B$6:$C$56,2,0),"")</f>
        <v>Simpanan Karyawan</v>
      </c>
      <c r="E667" s="258" t="s">
        <v>1019</v>
      </c>
      <c r="F667" s="244" t="s">
        <v>77</v>
      </c>
      <c r="G667" s="218"/>
      <c r="H667" s="240">
        <f t="shared" si="12"/>
        <v>0</v>
      </c>
      <c r="I667" s="240">
        <f t="shared" si="13"/>
        <v>200000</v>
      </c>
    </row>
    <row r="668" spans="2:9" hidden="1" x14ac:dyDescent="0.2">
      <c r="B668" s="238">
        <v>45839</v>
      </c>
      <c r="C668" s="239">
        <v>111</v>
      </c>
      <c r="D668" s="239" t="str">
        <f>IFERROR(VLOOKUP(C668,'Neraca Saldo'!$B$6:$C$56,2,0),"")</f>
        <v>Bank</v>
      </c>
      <c r="E668" s="258" t="s">
        <v>1045</v>
      </c>
      <c r="F668" s="244" t="s">
        <v>77</v>
      </c>
      <c r="G668" s="218"/>
      <c r="H668" s="245">
        <v>821000</v>
      </c>
      <c r="I668" s="240">
        <v>0</v>
      </c>
    </row>
    <row r="669" spans="2:9" hidden="1" x14ac:dyDescent="0.2">
      <c r="B669" s="238">
        <v>45839</v>
      </c>
      <c r="C669" s="239">
        <v>212</v>
      </c>
      <c r="D669" s="239" t="str">
        <f>IFERROR(VLOOKUP(C669,'Neraca Saldo'!$B$6:$C$56,2,0),"")</f>
        <v>Simpanan Karyawan</v>
      </c>
      <c r="E669" s="258" t="s">
        <v>1045</v>
      </c>
      <c r="F669" s="244" t="s">
        <v>77</v>
      </c>
      <c r="G669" s="218"/>
      <c r="H669" s="240">
        <f t="shared" si="12"/>
        <v>0</v>
      </c>
      <c r="I669" s="240">
        <f t="shared" si="13"/>
        <v>821000</v>
      </c>
    </row>
    <row r="670" spans="2:9" hidden="1" x14ac:dyDescent="0.2">
      <c r="B670" s="238">
        <v>45839</v>
      </c>
      <c r="C670" s="239">
        <v>111</v>
      </c>
      <c r="D670" s="239" t="str">
        <f>IFERROR(VLOOKUP(C670,'Neraca Saldo'!$B$6:$C$56,2,0),"")</f>
        <v>Bank</v>
      </c>
      <c r="E670" s="258" t="s">
        <v>1025</v>
      </c>
      <c r="F670" s="244" t="s">
        <v>77</v>
      </c>
      <c r="G670" s="218"/>
      <c r="H670" s="245">
        <v>200000</v>
      </c>
      <c r="I670" s="240">
        <v>0</v>
      </c>
    </row>
    <row r="671" spans="2:9" hidden="1" x14ac:dyDescent="0.2">
      <c r="B671" s="238">
        <v>45839</v>
      </c>
      <c r="C671" s="239">
        <v>212</v>
      </c>
      <c r="D671" s="239" t="str">
        <f>IFERROR(VLOOKUP(C671,'Neraca Saldo'!$B$6:$C$56,2,0),"")</f>
        <v>Simpanan Karyawan</v>
      </c>
      <c r="E671" s="258" t="s">
        <v>1025</v>
      </c>
      <c r="F671" s="244" t="s">
        <v>77</v>
      </c>
      <c r="G671" s="218"/>
      <c r="H671" s="240">
        <f t="shared" si="12"/>
        <v>0</v>
      </c>
      <c r="I671" s="240">
        <f t="shared" si="13"/>
        <v>200000</v>
      </c>
    </row>
    <row r="672" spans="2:9" hidden="1" x14ac:dyDescent="0.2">
      <c r="B672" s="238">
        <v>45839</v>
      </c>
      <c r="C672" s="239">
        <v>111</v>
      </c>
      <c r="D672" s="239" t="str">
        <f>IFERROR(VLOOKUP(C672,'Neraca Saldo'!$B$6:$C$56,2,0),"")</f>
        <v>Bank</v>
      </c>
      <c r="E672" s="258" t="s">
        <v>1026</v>
      </c>
      <c r="F672" s="244" t="s">
        <v>77</v>
      </c>
      <c r="G672" s="218"/>
      <c r="H672" s="245">
        <v>241000</v>
      </c>
      <c r="I672" s="240">
        <v>0</v>
      </c>
    </row>
    <row r="673" spans="2:9" hidden="1" x14ac:dyDescent="0.2">
      <c r="B673" s="238">
        <v>45839</v>
      </c>
      <c r="C673" s="239">
        <v>212</v>
      </c>
      <c r="D673" s="239" t="str">
        <f>IFERROR(VLOOKUP(C673,'Neraca Saldo'!$B$6:$C$56,2,0),"")</f>
        <v>Simpanan Karyawan</v>
      </c>
      <c r="E673" s="258" t="s">
        <v>1026</v>
      </c>
      <c r="F673" s="244" t="s">
        <v>77</v>
      </c>
      <c r="G673" s="218"/>
      <c r="H673" s="240">
        <f t="shared" si="12"/>
        <v>0</v>
      </c>
      <c r="I673" s="240">
        <f t="shared" si="13"/>
        <v>241000</v>
      </c>
    </row>
    <row r="674" spans="2:9" hidden="1" x14ac:dyDescent="0.2">
      <c r="B674" s="238">
        <v>45839</v>
      </c>
      <c r="C674" s="239">
        <v>111</v>
      </c>
      <c r="D674" s="239" t="str">
        <f>IFERROR(VLOOKUP(C674,'Neraca Saldo'!$B$6:$C$56,2,0),"")</f>
        <v>Bank</v>
      </c>
      <c r="E674" s="258" t="s">
        <v>1031</v>
      </c>
      <c r="F674" s="244" t="s">
        <v>77</v>
      </c>
      <c r="G674" s="218"/>
      <c r="H674" s="245">
        <v>200000</v>
      </c>
      <c r="I674" s="240">
        <v>0</v>
      </c>
    </row>
    <row r="675" spans="2:9" hidden="1" x14ac:dyDescent="0.2">
      <c r="B675" s="238">
        <v>45839</v>
      </c>
      <c r="C675" s="239">
        <v>212</v>
      </c>
      <c r="D675" s="239" t="str">
        <f>IFERROR(VLOOKUP(C675,'Neraca Saldo'!$B$6:$C$56,2,0),"")</f>
        <v>Simpanan Karyawan</v>
      </c>
      <c r="E675" s="258" t="s">
        <v>1031</v>
      </c>
      <c r="F675" s="244" t="s">
        <v>77</v>
      </c>
      <c r="G675" s="218"/>
      <c r="H675" s="240">
        <f t="shared" si="12"/>
        <v>0</v>
      </c>
      <c r="I675" s="240">
        <f t="shared" si="13"/>
        <v>200000</v>
      </c>
    </row>
    <row r="676" spans="2:9" hidden="1" x14ac:dyDescent="0.2">
      <c r="B676" s="238">
        <v>45839</v>
      </c>
      <c r="C676" s="239">
        <v>111</v>
      </c>
      <c r="D676" s="239" t="str">
        <f>IFERROR(VLOOKUP(C676,'Neraca Saldo'!$B$6:$C$56,2,0),"")</f>
        <v>Bank</v>
      </c>
      <c r="E676" s="258" t="s">
        <v>1023</v>
      </c>
      <c r="F676" s="244" t="s">
        <v>77</v>
      </c>
      <c r="G676" s="218"/>
      <c r="H676" s="245">
        <v>200000</v>
      </c>
      <c r="I676" s="240">
        <v>0</v>
      </c>
    </row>
    <row r="677" spans="2:9" hidden="1" x14ac:dyDescent="0.2">
      <c r="B677" s="238">
        <v>45839</v>
      </c>
      <c r="C677" s="239">
        <v>212</v>
      </c>
      <c r="D677" s="239" t="str">
        <f>IFERROR(VLOOKUP(C677,'Neraca Saldo'!$B$6:$C$56,2,0),"")</f>
        <v>Simpanan Karyawan</v>
      </c>
      <c r="E677" s="258" t="s">
        <v>1023</v>
      </c>
      <c r="F677" s="244" t="s">
        <v>77</v>
      </c>
      <c r="G677" s="218"/>
      <c r="H677" s="240">
        <f t="shared" si="12"/>
        <v>0</v>
      </c>
      <c r="I677" s="240">
        <f t="shared" si="13"/>
        <v>200000</v>
      </c>
    </row>
    <row r="678" spans="2:9" hidden="1" x14ac:dyDescent="0.2">
      <c r="B678" s="238">
        <v>45839</v>
      </c>
      <c r="C678" s="239">
        <v>111</v>
      </c>
      <c r="D678" s="239" t="str">
        <f>IFERROR(VLOOKUP(C678,'Neraca Saldo'!$B$6:$C$56,2,0),"")</f>
        <v>Bank</v>
      </c>
      <c r="E678" s="258" t="s">
        <v>1068</v>
      </c>
      <c r="F678" s="244" t="s">
        <v>77</v>
      </c>
      <c r="G678" s="218"/>
      <c r="H678" s="245">
        <v>350000</v>
      </c>
      <c r="I678" s="240">
        <v>0</v>
      </c>
    </row>
    <row r="679" spans="2:9" hidden="1" x14ac:dyDescent="0.2">
      <c r="B679" s="238">
        <v>45839</v>
      </c>
      <c r="C679" s="239">
        <v>212</v>
      </c>
      <c r="D679" s="239" t="str">
        <f>IFERROR(VLOOKUP(C679,'Neraca Saldo'!$B$6:$C$56,2,0),"")</f>
        <v>Simpanan Karyawan</v>
      </c>
      <c r="E679" s="258" t="s">
        <v>1068</v>
      </c>
      <c r="F679" s="244" t="s">
        <v>77</v>
      </c>
      <c r="G679" s="218"/>
      <c r="H679" s="240">
        <f t="shared" si="12"/>
        <v>0</v>
      </c>
      <c r="I679" s="240">
        <f t="shared" si="13"/>
        <v>350000</v>
      </c>
    </row>
    <row r="680" spans="2:9" hidden="1" x14ac:dyDescent="0.2">
      <c r="B680" s="238">
        <v>45839</v>
      </c>
      <c r="C680" s="239">
        <v>111</v>
      </c>
      <c r="D680" s="239" t="str">
        <f>IFERROR(VLOOKUP(C680,'Neraca Saldo'!$B$6:$C$56,2,0),"")</f>
        <v>Bank</v>
      </c>
      <c r="E680" s="258" t="s">
        <v>1018</v>
      </c>
      <c r="F680" s="244" t="s">
        <v>77</v>
      </c>
      <c r="G680" s="218"/>
      <c r="H680" s="245">
        <v>200000</v>
      </c>
      <c r="I680" s="240">
        <v>0</v>
      </c>
    </row>
    <row r="681" spans="2:9" hidden="1" x14ac:dyDescent="0.2">
      <c r="B681" s="238">
        <v>45839</v>
      </c>
      <c r="C681" s="239">
        <v>212</v>
      </c>
      <c r="D681" s="239" t="str">
        <f>IFERROR(VLOOKUP(C681,'Neraca Saldo'!$B$6:$C$56,2,0),"")</f>
        <v>Simpanan Karyawan</v>
      </c>
      <c r="E681" s="258" t="s">
        <v>1018</v>
      </c>
      <c r="F681" s="244" t="s">
        <v>77</v>
      </c>
      <c r="G681" s="218"/>
      <c r="H681" s="240">
        <f t="shared" si="12"/>
        <v>0</v>
      </c>
      <c r="I681" s="240">
        <f t="shared" si="13"/>
        <v>200000</v>
      </c>
    </row>
    <row r="682" spans="2:9" hidden="1" x14ac:dyDescent="0.2">
      <c r="B682" s="238">
        <v>45839</v>
      </c>
      <c r="C682" s="239">
        <v>111</v>
      </c>
      <c r="D682" s="239" t="str">
        <f>IFERROR(VLOOKUP(C682,'Neraca Saldo'!$B$6:$C$56,2,0),"")</f>
        <v>Bank</v>
      </c>
      <c r="E682" s="258" t="s">
        <v>1015</v>
      </c>
      <c r="F682" s="244" t="s">
        <v>77</v>
      </c>
      <c r="G682" s="218"/>
      <c r="H682" s="245">
        <v>200000</v>
      </c>
      <c r="I682" s="240">
        <v>0</v>
      </c>
    </row>
    <row r="683" spans="2:9" hidden="1" x14ac:dyDescent="0.2">
      <c r="B683" s="238">
        <v>45839</v>
      </c>
      <c r="C683" s="239">
        <v>212</v>
      </c>
      <c r="D683" s="239" t="str">
        <f>IFERROR(VLOOKUP(C683,'Neraca Saldo'!$B$6:$C$56,2,0),"")</f>
        <v>Simpanan Karyawan</v>
      </c>
      <c r="E683" s="258" t="s">
        <v>1015</v>
      </c>
      <c r="F683" s="244" t="s">
        <v>77</v>
      </c>
      <c r="G683" s="218"/>
      <c r="H683" s="240">
        <f t="shared" si="12"/>
        <v>0</v>
      </c>
      <c r="I683" s="240">
        <f t="shared" si="13"/>
        <v>200000</v>
      </c>
    </row>
    <row r="684" spans="2:9" hidden="1" x14ac:dyDescent="0.2">
      <c r="B684" s="231">
        <v>45839</v>
      </c>
      <c r="C684" s="232">
        <v>124</v>
      </c>
      <c r="D684" s="232" t="str">
        <f>IFERROR(VLOOKUP(C684,'Neraca Saldo'!$B$6:$C$56,2,0),"")</f>
        <v>Piutang USP</v>
      </c>
      <c r="E684" s="233" t="s">
        <v>947</v>
      </c>
      <c r="F684" s="234" t="s">
        <v>77</v>
      </c>
      <c r="G684" s="217"/>
      <c r="H684" s="196">
        <v>5000000</v>
      </c>
      <c r="I684" s="236">
        <v>0</v>
      </c>
    </row>
    <row r="685" spans="2:9" hidden="1" x14ac:dyDescent="0.2">
      <c r="B685" s="231">
        <v>45839</v>
      </c>
      <c r="C685" s="232">
        <v>111</v>
      </c>
      <c r="D685" s="232" t="str">
        <f>IFERROR(VLOOKUP(C685,'Neraca Saldo'!$B$6:$C$56,2,0),"")</f>
        <v>Bank</v>
      </c>
      <c r="E685" s="233" t="s">
        <v>947</v>
      </c>
      <c r="F685" s="234" t="s">
        <v>77</v>
      </c>
      <c r="G685" s="217"/>
      <c r="H685" s="236">
        <f t="shared" ref="H685:H743" si="14">I684</f>
        <v>0</v>
      </c>
      <c r="I685" s="236">
        <f t="shared" ref="I685:I743" si="15">H684</f>
        <v>5000000</v>
      </c>
    </row>
    <row r="686" spans="2:9" hidden="1" x14ac:dyDescent="0.2">
      <c r="B686" s="231">
        <v>45841</v>
      </c>
      <c r="C686" s="232">
        <v>516</v>
      </c>
      <c r="D686" s="232" t="str">
        <f>IFERROR(VLOOKUP(C686,'Neraca Saldo'!$B$6:$C$56,2,0),"")</f>
        <v>Beban ATK</v>
      </c>
      <c r="E686" s="194" t="s">
        <v>840</v>
      </c>
      <c r="F686" s="234" t="s">
        <v>838</v>
      </c>
      <c r="G686" s="217"/>
      <c r="H686" s="188">
        <v>150000</v>
      </c>
      <c r="I686" s="236">
        <v>0</v>
      </c>
    </row>
    <row r="687" spans="2:9" hidden="1" x14ac:dyDescent="0.2">
      <c r="B687" s="231">
        <v>45841</v>
      </c>
      <c r="C687" s="232">
        <v>112</v>
      </c>
      <c r="D687" s="232" t="str">
        <f>IFERROR(VLOOKUP(C687,'Neraca Saldo'!$B$6:$C$56,2,0),"")</f>
        <v>Kas</v>
      </c>
      <c r="E687" s="194" t="s">
        <v>840</v>
      </c>
      <c r="F687" s="234" t="s">
        <v>838</v>
      </c>
      <c r="G687" s="217"/>
      <c r="H687" s="236">
        <f t="shared" si="14"/>
        <v>0</v>
      </c>
      <c r="I687" s="236">
        <f t="shared" si="15"/>
        <v>150000</v>
      </c>
    </row>
    <row r="688" spans="2:9" hidden="1" x14ac:dyDescent="0.2">
      <c r="B688" s="231">
        <v>45841</v>
      </c>
      <c r="C688" s="232">
        <v>313</v>
      </c>
      <c r="D688" s="232" t="str">
        <f>IFERROR(VLOOKUP(C688,'Neraca Saldo'!$B$6:$C$56,2,0),"")</f>
        <v>(Laba)/Rugi ditahan</v>
      </c>
      <c r="E688" s="194" t="s">
        <v>1069</v>
      </c>
      <c r="F688" s="234" t="s">
        <v>838</v>
      </c>
      <c r="G688" s="217"/>
      <c r="H688" s="188">
        <v>1000000</v>
      </c>
      <c r="I688" s="236">
        <v>0</v>
      </c>
    </row>
    <row r="689" spans="2:9" hidden="1" x14ac:dyDescent="0.2">
      <c r="B689" s="231">
        <v>45841</v>
      </c>
      <c r="C689" s="232">
        <v>112</v>
      </c>
      <c r="D689" s="232" t="str">
        <f>IFERROR(VLOOKUP(C689,'Neraca Saldo'!$B$6:$C$56,2,0),"")</f>
        <v>Kas</v>
      </c>
      <c r="E689" s="194" t="s">
        <v>1069</v>
      </c>
      <c r="F689" s="234" t="s">
        <v>838</v>
      </c>
      <c r="G689" s="217"/>
      <c r="H689" s="236">
        <f t="shared" si="14"/>
        <v>0</v>
      </c>
      <c r="I689" s="236">
        <f t="shared" si="15"/>
        <v>1000000</v>
      </c>
    </row>
    <row r="690" spans="2:9" hidden="1" x14ac:dyDescent="0.2">
      <c r="B690" s="231">
        <v>45845</v>
      </c>
      <c r="C690" s="232">
        <v>516</v>
      </c>
      <c r="D690" s="232" t="str">
        <f>IFERROR(VLOOKUP(C690,'Neraca Saldo'!$B$6:$C$56,2,0),"")</f>
        <v>Beban ATK</v>
      </c>
      <c r="E690" s="194" t="s">
        <v>1070</v>
      </c>
      <c r="F690" s="234" t="s">
        <v>838</v>
      </c>
      <c r="G690" s="217"/>
      <c r="H690" s="188">
        <v>599923</v>
      </c>
      <c r="I690" s="236">
        <v>0</v>
      </c>
    </row>
    <row r="691" spans="2:9" hidden="1" x14ac:dyDescent="0.2">
      <c r="B691" s="231">
        <v>45845</v>
      </c>
      <c r="C691" s="232">
        <v>112</v>
      </c>
      <c r="D691" s="232" t="str">
        <f>IFERROR(VLOOKUP(C691,'Neraca Saldo'!$B$6:$C$56,2,0),"")</f>
        <v>Kas</v>
      </c>
      <c r="E691" s="194" t="s">
        <v>1070</v>
      </c>
      <c r="F691" s="234" t="s">
        <v>838</v>
      </c>
      <c r="G691" s="217"/>
      <c r="H691" s="236">
        <f t="shared" si="14"/>
        <v>0</v>
      </c>
      <c r="I691" s="236">
        <f t="shared" si="15"/>
        <v>599923</v>
      </c>
    </row>
    <row r="692" spans="2:9" x14ac:dyDescent="0.2">
      <c r="B692" s="231">
        <v>45845</v>
      </c>
      <c r="C692" s="232">
        <v>513</v>
      </c>
      <c r="D692" s="232" t="str">
        <f>IFERROR(VLOOKUP(C692,'Neraca Saldo'!$B$6:$C$56,2,0),"")</f>
        <v>Beban Pengurus dan Anggota</v>
      </c>
      <c r="E692" s="194" t="s">
        <v>1071</v>
      </c>
      <c r="F692" s="234" t="s">
        <v>838</v>
      </c>
      <c r="G692" s="217"/>
      <c r="H692" s="188">
        <v>261500</v>
      </c>
      <c r="I692" s="236">
        <v>0</v>
      </c>
    </row>
    <row r="693" spans="2:9" hidden="1" x14ac:dyDescent="0.2">
      <c r="B693" s="231">
        <v>45845</v>
      </c>
      <c r="C693" s="232">
        <v>112</v>
      </c>
      <c r="D693" s="232" t="str">
        <f>IFERROR(VLOOKUP(C693,'Neraca Saldo'!$B$6:$C$56,2,0),"")</f>
        <v>Kas</v>
      </c>
      <c r="E693" s="194" t="s">
        <v>1071</v>
      </c>
      <c r="F693" s="234" t="s">
        <v>838</v>
      </c>
      <c r="G693" s="217"/>
      <c r="H693" s="236">
        <f t="shared" si="14"/>
        <v>0</v>
      </c>
      <c r="I693" s="236">
        <f t="shared" si="15"/>
        <v>261500</v>
      </c>
    </row>
    <row r="694" spans="2:9" hidden="1" x14ac:dyDescent="0.2">
      <c r="B694" s="231">
        <v>45845</v>
      </c>
      <c r="C694" s="232">
        <v>518</v>
      </c>
      <c r="D694" s="232" t="str">
        <f>IFERROR(VLOOKUP(C694,'Neraca Saldo'!$B$6:$C$56,2,0),"")</f>
        <v>Beban Training</v>
      </c>
      <c r="E694" s="194" t="s">
        <v>1072</v>
      </c>
      <c r="F694" s="234" t="s">
        <v>838</v>
      </c>
      <c r="G694" s="217"/>
      <c r="H694" s="188">
        <v>1486109</v>
      </c>
      <c r="I694" s="236">
        <v>0</v>
      </c>
    </row>
    <row r="695" spans="2:9" hidden="1" x14ac:dyDescent="0.2">
      <c r="B695" s="231">
        <v>45845</v>
      </c>
      <c r="C695" s="232">
        <v>112</v>
      </c>
      <c r="D695" s="232" t="str">
        <f>IFERROR(VLOOKUP(C695,'Neraca Saldo'!$B$6:$C$56,2,0),"")</f>
        <v>Kas</v>
      </c>
      <c r="E695" s="194" t="s">
        <v>1072</v>
      </c>
      <c r="F695" s="234" t="s">
        <v>838</v>
      </c>
      <c r="G695" s="217"/>
      <c r="H695" s="236">
        <f t="shared" si="14"/>
        <v>0</v>
      </c>
      <c r="I695" s="236">
        <f t="shared" si="15"/>
        <v>1486109</v>
      </c>
    </row>
    <row r="696" spans="2:9" hidden="1" x14ac:dyDescent="0.2">
      <c r="B696" s="231">
        <v>45845</v>
      </c>
      <c r="C696" s="232">
        <v>518</v>
      </c>
      <c r="D696" s="232" t="str">
        <f>IFERROR(VLOOKUP(C696,'Neraca Saldo'!$B$6:$C$56,2,0),"")</f>
        <v>Beban Training</v>
      </c>
      <c r="E696" s="194" t="s">
        <v>1073</v>
      </c>
      <c r="F696" s="234" t="s">
        <v>838</v>
      </c>
      <c r="G696" s="217"/>
      <c r="H696" s="188">
        <v>482650</v>
      </c>
      <c r="I696" s="236">
        <v>0</v>
      </c>
    </row>
    <row r="697" spans="2:9" hidden="1" x14ac:dyDescent="0.2">
      <c r="B697" s="231">
        <v>45845</v>
      </c>
      <c r="C697" s="232">
        <v>112</v>
      </c>
      <c r="D697" s="232" t="str">
        <f>IFERROR(VLOOKUP(C697,'Neraca Saldo'!$B$6:$C$56,2,0),"")</f>
        <v>Kas</v>
      </c>
      <c r="E697" s="194" t="s">
        <v>1073</v>
      </c>
      <c r="F697" s="234" t="s">
        <v>838</v>
      </c>
      <c r="G697" s="217"/>
      <c r="H697" s="236">
        <f t="shared" si="14"/>
        <v>0</v>
      </c>
      <c r="I697" s="236">
        <f t="shared" si="15"/>
        <v>482650</v>
      </c>
    </row>
    <row r="698" spans="2:9" hidden="1" x14ac:dyDescent="0.2">
      <c r="B698" s="231">
        <v>45845</v>
      </c>
      <c r="C698" s="232">
        <v>518</v>
      </c>
      <c r="D698" s="232" t="str">
        <f>IFERROR(VLOOKUP(C698,'Neraca Saldo'!$B$6:$C$56,2,0),"")</f>
        <v>Beban Training</v>
      </c>
      <c r="E698" s="194" t="s">
        <v>1074</v>
      </c>
      <c r="F698" s="234" t="s">
        <v>838</v>
      </c>
      <c r="G698" s="217"/>
      <c r="H698" s="188">
        <v>1149650</v>
      </c>
      <c r="I698" s="236">
        <v>0</v>
      </c>
    </row>
    <row r="699" spans="2:9" hidden="1" x14ac:dyDescent="0.2">
      <c r="B699" s="231">
        <v>45845</v>
      </c>
      <c r="C699" s="232">
        <v>112</v>
      </c>
      <c r="D699" s="232" t="str">
        <f>IFERROR(VLOOKUP(C699,'Neraca Saldo'!$B$6:$C$56,2,0),"")</f>
        <v>Kas</v>
      </c>
      <c r="E699" s="194" t="s">
        <v>1074</v>
      </c>
      <c r="F699" s="234" t="s">
        <v>838</v>
      </c>
      <c r="G699" s="217"/>
      <c r="H699" s="236">
        <f t="shared" si="14"/>
        <v>0</v>
      </c>
      <c r="I699" s="236">
        <f t="shared" si="15"/>
        <v>1149650</v>
      </c>
    </row>
    <row r="700" spans="2:9" hidden="1" x14ac:dyDescent="0.2">
      <c r="B700" s="231">
        <v>45846</v>
      </c>
      <c r="C700" s="232">
        <v>518</v>
      </c>
      <c r="D700" s="232" t="str">
        <f>IFERROR(VLOOKUP(C700,'Neraca Saldo'!$B$6:$C$56,2,0),"")</f>
        <v>Beban Training</v>
      </c>
      <c r="E700" s="194" t="s">
        <v>1075</v>
      </c>
      <c r="F700" s="234" t="s">
        <v>838</v>
      </c>
      <c r="G700" s="217"/>
      <c r="H700" s="188">
        <v>1205000</v>
      </c>
      <c r="I700" s="236">
        <v>0</v>
      </c>
    </row>
    <row r="701" spans="2:9" hidden="1" x14ac:dyDescent="0.2">
      <c r="B701" s="231">
        <v>45846</v>
      </c>
      <c r="C701" s="232">
        <v>112</v>
      </c>
      <c r="D701" s="232" t="str">
        <f>IFERROR(VLOOKUP(C701,'Neraca Saldo'!$B$6:$C$56,2,0),"")</f>
        <v>Kas</v>
      </c>
      <c r="E701" s="194" t="s">
        <v>1075</v>
      </c>
      <c r="F701" s="234" t="s">
        <v>838</v>
      </c>
      <c r="G701" s="217"/>
      <c r="H701" s="236">
        <f t="shared" si="14"/>
        <v>0</v>
      </c>
      <c r="I701" s="236">
        <f t="shared" si="15"/>
        <v>1205000</v>
      </c>
    </row>
    <row r="702" spans="2:9" hidden="1" x14ac:dyDescent="0.2">
      <c r="B702" s="231">
        <v>45848</v>
      </c>
      <c r="C702" s="232">
        <v>515</v>
      </c>
      <c r="D702" s="232" t="str">
        <f>IFERROR(VLOOKUP(C702,'Neraca Saldo'!$B$6:$C$56,2,0),"")</f>
        <v>Beban Gaji</v>
      </c>
      <c r="E702" s="194" t="s">
        <v>1076</v>
      </c>
      <c r="F702" s="234" t="s">
        <v>838</v>
      </c>
      <c r="G702" s="217"/>
      <c r="H702" s="188">
        <v>5400000</v>
      </c>
      <c r="I702" s="236">
        <v>0</v>
      </c>
    </row>
    <row r="703" spans="2:9" hidden="1" x14ac:dyDescent="0.2">
      <c r="B703" s="231">
        <v>45848</v>
      </c>
      <c r="C703" s="232">
        <v>112</v>
      </c>
      <c r="D703" s="232" t="str">
        <f>IFERROR(VLOOKUP(C703,'Neraca Saldo'!$B$6:$C$56,2,0),"")</f>
        <v>Kas</v>
      </c>
      <c r="E703" s="194" t="s">
        <v>1076</v>
      </c>
      <c r="F703" s="234" t="s">
        <v>838</v>
      </c>
      <c r="G703" s="217"/>
      <c r="H703" s="236">
        <f t="shared" si="14"/>
        <v>0</v>
      </c>
      <c r="I703" s="236">
        <f t="shared" si="15"/>
        <v>5400000</v>
      </c>
    </row>
    <row r="704" spans="2:9" hidden="1" x14ac:dyDescent="0.2">
      <c r="B704" s="238">
        <v>45848</v>
      </c>
      <c r="C704" s="239">
        <v>111</v>
      </c>
      <c r="D704" s="239" t="str">
        <f>IFERROR(VLOOKUP(C704,'Neraca Saldo'!$B$6:$C$56,2,0),"")</f>
        <v>Bank</v>
      </c>
      <c r="E704" s="258" t="s">
        <v>927</v>
      </c>
      <c r="F704" s="244" t="s">
        <v>77</v>
      </c>
      <c r="G704" s="218"/>
      <c r="H704" s="245">
        <v>700000</v>
      </c>
      <c r="I704" s="240">
        <v>0</v>
      </c>
    </row>
    <row r="705" spans="2:9" hidden="1" x14ac:dyDescent="0.2">
      <c r="B705" s="238">
        <v>45848</v>
      </c>
      <c r="C705" s="239">
        <v>212</v>
      </c>
      <c r="D705" s="239" t="str">
        <f>IFERROR(VLOOKUP(C705,'Neraca Saldo'!$B$6:$C$56,2,0),"")</f>
        <v>Simpanan Karyawan</v>
      </c>
      <c r="E705" s="258" t="s">
        <v>927</v>
      </c>
      <c r="F705" s="244" t="s">
        <v>77</v>
      </c>
      <c r="G705" s="218"/>
      <c r="H705" s="240">
        <f t="shared" si="14"/>
        <v>0</v>
      </c>
      <c r="I705" s="240">
        <f t="shared" si="15"/>
        <v>700000</v>
      </c>
    </row>
    <row r="706" spans="2:9" hidden="1" x14ac:dyDescent="0.2">
      <c r="B706" s="238">
        <v>45848</v>
      </c>
      <c r="C706" s="239">
        <v>111</v>
      </c>
      <c r="D706" s="239" t="str">
        <f>IFERROR(VLOOKUP(C706,'Neraca Saldo'!$B$6:$C$56,2,0),"")</f>
        <v>Bank</v>
      </c>
      <c r="E706" s="258" t="s">
        <v>964</v>
      </c>
      <c r="F706" s="244" t="s">
        <v>77</v>
      </c>
      <c r="G706" s="218"/>
      <c r="H706" s="245">
        <v>500000</v>
      </c>
      <c r="I706" s="240">
        <v>0</v>
      </c>
    </row>
    <row r="707" spans="2:9" hidden="1" x14ac:dyDescent="0.2">
      <c r="B707" s="238">
        <v>45848</v>
      </c>
      <c r="C707" s="239">
        <v>212</v>
      </c>
      <c r="D707" s="239" t="str">
        <f>IFERROR(VLOOKUP(C707,'Neraca Saldo'!$B$6:$C$56,2,0),"")</f>
        <v>Simpanan Karyawan</v>
      </c>
      <c r="E707" s="258" t="s">
        <v>964</v>
      </c>
      <c r="F707" s="244" t="s">
        <v>77</v>
      </c>
      <c r="G707" s="218"/>
      <c r="H707" s="240">
        <f t="shared" si="14"/>
        <v>0</v>
      </c>
      <c r="I707" s="240">
        <f t="shared" si="15"/>
        <v>500000</v>
      </c>
    </row>
    <row r="708" spans="2:9" hidden="1" x14ac:dyDescent="0.2">
      <c r="B708" s="238">
        <v>45848</v>
      </c>
      <c r="C708" s="239">
        <v>111</v>
      </c>
      <c r="D708" s="239" t="str">
        <f>IFERROR(VLOOKUP(C708,'Neraca Saldo'!$B$6:$C$56,2,0),"")</f>
        <v>Bank</v>
      </c>
      <c r="E708" s="258" t="s">
        <v>965</v>
      </c>
      <c r="F708" s="244" t="s">
        <v>77</v>
      </c>
      <c r="G708" s="218"/>
      <c r="H708" s="245">
        <v>650000</v>
      </c>
      <c r="I708" s="240">
        <v>0</v>
      </c>
    </row>
    <row r="709" spans="2:9" hidden="1" x14ac:dyDescent="0.2">
      <c r="B709" s="238">
        <v>45848</v>
      </c>
      <c r="C709" s="239">
        <v>212</v>
      </c>
      <c r="D709" s="239" t="str">
        <f>IFERROR(VLOOKUP(C709,'Neraca Saldo'!$B$6:$C$56,2,0),"")</f>
        <v>Simpanan Karyawan</v>
      </c>
      <c r="E709" s="258" t="s">
        <v>965</v>
      </c>
      <c r="F709" s="244" t="s">
        <v>77</v>
      </c>
      <c r="G709" s="218"/>
      <c r="H709" s="240">
        <f t="shared" si="14"/>
        <v>0</v>
      </c>
      <c r="I709" s="240">
        <f t="shared" si="15"/>
        <v>650000</v>
      </c>
    </row>
    <row r="710" spans="2:9" hidden="1" x14ac:dyDescent="0.2">
      <c r="B710" s="238">
        <v>45848</v>
      </c>
      <c r="C710" s="239">
        <v>111</v>
      </c>
      <c r="D710" s="239" t="str">
        <f>IFERROR(VLOOKUP(C710,'Neraca Saldo'!$B$6:$C$56,2,0),"")</f>
        <v>Bank</v>
      </c>
      <c r="E710" s="258" t="s">
        <v>1049</v>
      </c>
      <c r="F710" s="244" t="s">
        <v>77</v>
      </c>
      <c r="G710" s="218"/>
      <c r="H710" s="245">
        <v>600000</v>
      </c>
      <c r="I710" s="240">
        <v>0</v>
      </c>
    </row>
    <row r="711" spans="2:9" hidden="1" x14ac:dyDescent="0.2">
      <c r="B711" s="238">
        <v>45848</v>
      </c>
      <c r="C711" s="239">
        <v>212</v>
      </c>
      <c r="D711" s="239" t="str">
        <f>IFERROR(VLOOKUP(C711,'Neraca Saldo'!$B$6:$C$56,2,0),"")</f>
        <v>Simpanan Karyawan</v>
      </c>
      <c r="E711" s="258" t="s">
        <v>1049</v>
      </c>
      <c r="F711" s="244" t="s">
        <v>77</v>
      </c>
      <c r="G711" s="218"/>
      <c r="H711" s="240">
        <f t="shared" si="14"/>
        <v>0</v>
      </c>
      <c r="I711" s="240">
        <f t="shared" si="15"/>
        <v>600000</v>
      </c>
    </row>
    <row r="712" spans="2:9" hidden="1" x14ac:dyDescent="0.2">
      <c r="B712" s="238">
        <v>45848</v>
      </c>
      <c r="C712" s="239">
        <v>111</v>
      </c>
      <c r="D712" s="239" t="str">
        <f>IFERROR(VLOOKUP(C712,'Neraca Saldo'!$B$6:$C$56,2,0),"")</f>
        <v>Bank</v>
      </c>
      <c r="E712" s="258" t="s">
        <v>1050</v>
      </c>
      <c r="F712" s="244" t="s">
        <v>77</v>
      </c>
      <c r="G712" s="218"/>
      <c r="H712" s="245">
        <v>450000</v>
      </c>
      <c r="I712" s="240">
        <v>0</v>
      </c>
    </row>
    <row r="713" spans="2:9" hidden="1" x14ac:dyDescent="0.2">
      <c r="B713" s="238">
        <v>45848</v>
      </c>
      <c r="C713" s="239">
        <v>212</v>
      </c>
      <c r="D713" s="239" t="str">
        <f>IFERROR(VLOOKUP(C713,'Neraca Saldo'!$B$6:$C$56,2,0),"")</f>
        <v>Simpanan Karyawan</v>
      </c>
      <c r="E713" s="258" t="s">
        <v>1050</v>
      </c>
      <c r="F713" s="244" t="s">
        <v>77</v>
      </c>
      <c r="G713" s="218"/>
      <c r="H713" s="240">
        <f t="shared" si="14"/>
        <v>0</v>
      </c>
      <c r="I713" s="240">
        <f t="shared" si="15"/>
        <v>450000</v>
      </c>
    </row>
    <row r="714" spans="2:9" hidden="1" x14ac:dyDescent="0.2">
      <c r="B714" s="238">
        <v>45848</v>
      </c>
      <c r="C714" s="239">
        <v>111</v>
      </c>
      <c r="D714" s="239" t="str">
        <f>IFERROR(VLOOKUP(C714,'Neraca Saldo'!$B$6:$C$56,2,0),"")</f>
        <v>Bank</v>
      </c>
      <c r="E714" s="258" t="s">
        <v>1077</v>
      </c>
      <c r="F714" s="244" t="s">
        <v>77</v>
      </c>
      <c r="G714" s="218"/>
      <c r="H714" s="245">
        <v>550000</v>
      </c>
      <c r="I714" s="240">
        <v>0</v>
      </c>
    </row>
    <row r="715" spans="2:9" hidden="1" x14ac:dyDescent="0.2">
      <c r="B715" s="238">
        <v>45848</v>
      </c>
      <c r="C715" s="239">
        <v>212</v>
      </c>
      <c r="D715" s="239" t="str">
        <f>IFERROR(VLOOKUP(C715,'Neraca Saldo'!$B$6:$C$56,2,0),"")</f>
        <v>Simpanan Karyawan</v>
      </c>
      <c r="E715" s="258" t="s">
        <v>1077</v>
      </c>
      <c r="F715" s="244" t="s">
        <v>77</v>
      </c>
      <c r="G715" s="218"/>
      <c r="H715" s="240">
        <f t="shared" si="14"/>
        <v>0</v>
      </c>
      <c r="I715" s="240">
        <f t="shared" si="15"/>
        <v>550000</v>
      </c>
    </row>
    <row r="716" spans="2:9" hidden="1" x14ac:dyDescent="0.2">
      <c r="B716" s="231">
        <v>45848</v>
      </c>
      <c r="C716" s="232">
        <v>112</v>
      </c>
      <c r="D716" s="232" t="str">
        <f>IFERROR(VLOOKUP(C716,'Neraca Saldo'!$B$6:$C$56,2,0),"")</f>
        <v>Kas</v>
      </c>
      <c r="E716" s="232" t="s">
        <v>838</v>
      </c>
      <c r="F716" s="234" t="s">
        <v>77</v>
      </c>
      <c r="G716" s="217"/>
      <c r="H716" s="196">
        <v>3450000</v>
      </c>
      <c r="I716" s="236">
        <v>0</v>
      </c>
    </row>
    <row r="717" spans="2:9" hidden="1" x14ac:dyDescent="0.2">
      <c r="B717" s="231">
        <v>45848</v>
      </c>
      <c r="C717" s="232">
        <v>111</v>
      </c>
      <c r="D717" s="232" t="str">
        <f>IFERROR(VLOOKUP(C717,'Neraca Saldo'!$B$6:$C$56,2,0),"")</f>
        <v>Bank</v>
      </c>
      <c r="E717" s="232" t="s">
        <v>838</v>
      </c>
      <c r="F717" s="234" t="s">
        <v>77</v>
      </c>
      <c r="G717" s="217"/>
      <c r="H717" s="236">
        <f t="shared" si="14"/>
        <v>0</v>
      </c>
      <c r="I717" s="236">
        <f t="shared" si="15"/>
        <v>3450000</v>
      </c>
    </row>
    <row r="718" spans="2:9" hidden="1" x14ac:dyDescent="0.2">
      <c r="B718" s="231">
        <v>45852</v>
      </c>
      <c r="C718" s="232">
        <v>517</v>
      </c>
      <c r="D718" s="232" t="str">
        <f>IFERROR(VLOOKUP(C718,'Neraca Saldo'!$B$6:$C$56,2,0),"")</f>
        <v>Beban Transport</v>
      </c>
      <c r="E718" s="194" t="s">
        <v>1078</v>
      </c>
      <c r="F718" s="234" t="s">
        <v>838</v>
      </c>
      <c r="G718" s="217"/>
      <c r="H718" s="188">
        <v>200000</v>
      </c>
      <c r="I718" s="236">
        <v>0</v>
      </c>
    </row>
    <row r="719" spans="2:9" hidden="1" x14ac:dyDescent="0.2">
      <c r="B719" s="231">
        <v>45852</v>
      </c>
      <c r="C719" s="232">
        <v>112</v>
      </c>
      <c r="D719" s="232" t="str">
        <f>IFERROR(VLOOKUP(C719,'Neraca Saldo'!$B$6:$C$56,2,0),"")</f>
        <v>Kas</v>
      </c>
      <c r="E719" s="194" t="s">
        <v>1078</v>
      </c>
      <c r="F719" s="234" t="s">
        <v>838</v>
      </c>
      <c r="G719" s="217"/>
      <c r="H719" s="236">
        <f t="shared" si="14"/>
        <v>0</v>
      </c>
      <c r="I719" s="236">
        <f t="shared" si="15"/>
        <v>200000</v>
      </c>
    </row>
    <row r="720" spans="2:9" hidden="1" x14ac:dyDescent="0.2">
      <c r="B720" s="231">
        <v>45853</v>
      </c>
      <c r="C720" s="232">
        <v>112</v>
      </c>
      <c r="D720" s="232" t="str">
        <f>IFERROR(VLOOKUP(C720,'Neraca Saldo'!$B$6:$C$56,2,0),"")</f>
        <v>Kas</v>
      </c>
      <c r="E720" s="232" t="s">
        <v>838</v>
      </c>
      <c r="F720" s="234" t="s">
        <v>77</v>
      </c>
      <c r="G720" s="217"/>
      <c r="H720" s="246">
        <v>9135572</v>
      </c>
      <c r="I720" s="236">
        <v>0</v>
      </c>
    </row>
    <row r="721" spans="2:9" hidden="1" x14ac:dyDescent="0.2">
      <c r="B721" s="231">
        <v>45853</v>
      </c>
      <c r="C721" s="232">
        <v>111</v>
      </c>
      <c r="D721" s="232" t="str">
        <f>IFERROR(VLOOKUP(C721,'Neraca Saldo'!$B$6:$C$56,2,0),"")</f>
        <v>Bank</v>
      </c>
      <c r="E721" s="232" t="s">
        <v>838</v>
      </c>
      <c r="F721" s="234" t="s">
        <v>77</v>
      </c>
      <c r="G721" s="217"/>
      <c r="H721" s="236">
        <f t="shared" si="14"/>
        <v>0</v>
      </c>
      <c r="I721" s="236">
        <f t="shared" si="15"/>
        <v>9135572</v>
      </c>
    </row>
    <row r="722" spans="2:9" hidden="1" x14ac:dyDescent="0.2">
      <c r="B722" s="247">
        <v>45853</v>
      </c>
      <c r="C722" s="248">
        <v>111</v>
      </c>
      <c r="D722" s="248" t="str">
        <f>IFERROR(VLOOKUP(C722,'Neraca Saldo'!$B$6:$C$56,2,0),"")</f>
        <v>Bank</v>
      </c>
      <c r="E722" s="261" t="s">
        <v>1079</v>
      </c>
      <c r="F722" s="250" t="s">
        <v>77</v>
      </c>
      <c r="G722" s="220"/>
      <c r="H722" s="251">
        <v>400000</v>
      </c>
      <c r="I722" s="253">
        <v>0</v>
      </c>
    </row>
    <row r="723" spans="2:9" hidden="1" x14ac:dyDescent="0.2">
      <c r="B723" s="247">
        <v>45853</v>
      </c>
      <c r="C723" s="248">
        <v>212</v>
      </c>
      <c r="D723" s="248" t="str">
        <f>IFERROR(VLOOKUP(C723,'Neraca Saldo'!$B$6:$C$56,2,0),"")</f>
        <v>Simpanan Karyawan</v>
      </c>
      <c r="E723" s="261" t="s">
        <v>1079</v>
      </c>
      <c r="F723" s="250" t="s">
        <v>77</v>
      </c>
      <c r="G723" s="220"/>
      <c r="H723" s="253">
        <f t="shared" si="14"/>
        <v>0</v>
      </c>
      <c r="I723" s="253">
        <f t="shared" si="15"/>
        <v>400000</v>
      </c>
    </row>
    <row r="724" spans="2:9" hidden="1" x14ac:dyDescent="0.2">
      <c r="B724" s="231">
        <v>45859</v>
      </c>
      <c r="C724" s="232">
        <v>313</v>
      </c>
      <c r="D724" s="232" t="str">
        <f>IFERROR(VLOOKUP(C724,'Neraca Saldo'!$B$6:$C$56,2,0),"")</f>
        <v>(Laba)/Rugi ditahan</v>
      </c>
      <c r="E724" s="194" t="s">
        <v>1080</v>
      </c>
      <c r="F724" s="234" t="s">
        <v>838</v>
      </c>
      <c r="G724" s="217"/>
      <c r="H724" s="188">
        <v>500000</v>
      </c>
      <c r="I724" s="236">
        <v>0</v>
      </c>
    </row>
    <row r="725" spans="2:9" hidden="1" x14ac:dyDescent="0.2">
      <c r="B725" s="231">
        <v>45859</v>
      </c>
      <c r="C725" s="232">
        <v>112</v>
      </c>
      <c r="D725" s="232" t="str">
        <f>IFERROR(VLOOKUP(C725,'Neraca Saldo'!$B$6:$C$56,2,0),"")</f>
        <v>Kas</v>
      </c>
      <c r="E725" s="194" t="s">
        <v>1080</v>
      </c>
      <c r="F725" s="234" t="s">
        <v>838</v>
      </c>
      <c r="G725" s="217"/>
      <c r="H725" s="236">
        <f t="shared" si="14"/>
        <v>0</v>
      </c>
      <c r="I725" s="236">
        <f t="shared" si="15"/>
        <v>500000</v>
      </c>
    </row>
    <row r="726" spans="2:9" hidden="1" x14ac:dyDescent="0.2">
      <c r="B726" s="231">
        <v>45859</v>
      </c>
      <c r="C726" s="232">
        <v>212</v>
      </c>
      <c r="D726" s="232" t="str">
        <f>IFERROR(VLOOKUP(C726,'Neraca Saldo'!$B$6:$C$56,2,0),"")</f>
        <v>Simpanan Karyawan</v>
      </c>
      <c r="E726" s="194" t="s">
        <v>1081</v>
      </c>
      <c r="F726" s="234" t="s">
        <v>838</v>
      </c>
      <c r="G726" s="217"/>
      <c r="H726" s="188">
        <v>2000000</v>
      </c>
      <c r="I726" s="236">
        <v>0</v>
      </c>
    </row>
    <row r="727" spans="2:9" hidden="1" x14ac:dyDescent="0.2">
      <c r="B727" s="231">
        <v>45859</v>
      </c>
      <c r="C727" s="232">
        <v>112</v>
      </c>
      <c r="D727" s="232" t="str">
        <f>IFERROR(VLOOKUP(C727,'Neraca Saldo'!$B$6:$C$56,2,0),"")</f>
        <v>Kas</v>
      </c>
      <c r="E727" s="194" t="s">
        <v>1081</v>
      </c>
      <c r="F727" s="234" t="s">
        <v>838</v>
      </c>
      <c r="G727" s="217"/>
      <c r="H727" s="236">
        <f t="shared" si="14"/>
        <v>0</v>
      </c>
      <c r="I727" s="236">
        <f t="shared" si="15"/>
        <v>2000000</v>
      </c>
    </row>
    <row r="728" spans="2:9" x14ac:dyDescent="0.2">
      <c r="B728" s="231">
        <v>45859</v>
      </c>
      <c r="C728" s="232">
        <v>513</v>
      </c>
      <c r="D728" s="232" t="str">
        <f>IFERROR(VLOOKUP(C728,'Neraca Saldo'!$B$6:$C$56,2,0),"")</f>
        <v>Beban Pengurus dan Anggota</v>
      </c>
      <c r="E728" s="194" t="s">
        <v>1082</v>
      </c>
      <c r="F728" s="234" t="s">
        <v>838</v>
      </c>
      <c r="G728" s="217"/>
      <c r="H728" s="188">
        <v>900000</v>
      </c>
      <c r="I728" s="236">
        <v>0</v>
      </c>
    </row>
    <row r="729" spans="2:9" hidden="1" x14ac:dyDescent="0.2">
      <c r="B729" s="231">
        <v>45859</v>
      </c>
      <c r="C729" s="232">
        <v>112</v>
      </c>
      <c r="D729" s="232" t="str">
        <f>IFERROR(VLOOKUP(C729,'Neraca Saldo'!$B$6:$C$56,2,0),"")</f>
        <v>Kas</v>
      </c>
      <c r="E729" s="194" t="s">
        <v>1082</v>
      </c>
      <c r="F729" s="234" t="s">
        <v>838</v>
      </c>
      <c r="G729" s="217"/>
      <c r="H729" s="236">
        <f t="shared" si="14"/>
        <v>0</v>
      </c>
      <c r="I729" s="236">
        <f t="shared" si="15"/>
        <v>900000</v>
      </c>
    </row>
    <row r="730" spans="2:9" x14ac:dyDescent="0.2">
      <c r="B730" s="231">
        <v>45861</v>
      </c>
      <c r="C730" s="232">
        <v>513</v>
      </c>
      <c r="D730" s="232" t="str">
        <f>IFERROR(VLOOKUP(C730,'Neraca Saldo'!$B$6:$C$56,2,0),"")</f>
        <v>Beban Pengurus dan Anggota</v>
      </c>
      <c r="E730" s="194" t="s">
        <v>1083</v>
      </c>
      <c r="F730" s="234" t="s">
        <v>838</v>
      </c>
      <c r="G730" s="217"/>
      <c r="H730" s="188">
        <v>453180</v>
      </c>
      <c r="I730" s="236">
        <v>0</v>
      </c>
    </row>
    <row r="731" spans="2:9" hidden="1" x14ac:dyDescent="0.2">
      <c r="B731" s="231">
        <v>45861</v>
      </c>
      <c r="C731" s="232">
        <v>112</v>
      </c>
      <c r="D731" s="232" t="str">
        <f>IFERROR(VLOOKUP(C731,'Neraca Saldo'!$B$6:$C$56,2,0),"")</f>
        <v>Kas</v>
      </c>
      <c r="E731" s="194" t="s">
        <v>1083</v>
      </c>
      <c r="F731" s="234" t="s">
        <v>838</v>
      </c>
      <c r="G731" s="217"/>
      <c r="H731" s="236">
        <f t="shared" si="14"/>
        <v>0</v>
      </c>
      <c r="I731" s="236">
        <f t="shared" si="15"/>
        <v>453180</v>
      </c>
    </row>
    <row r="732" spans="2:9" hidden="1" x14ac:dyDescent="0.2">
      <c r="B732" s="254">
        <v>45861</v>
      </c>
      <c r="C732" s="195">
        <v>212</v>
      </c>
      <c r="D732" s="195" t="str">
        <f>IFERROR(VLOOKUP(C732,'Neraca Saldo'!$B$6:$C$56,2,0),"")</f>
        <v>Simpanan Karyawan</v>
      </c>
      <c r="E732" s="195" t="s">
        <v>1084</v>
      </c>
      <c r="F732" s="255" t="s">
        <v>838</v>
      </c>
      <c r="G732" s="219"/>
      <c r="H732" s="189">
        <v>4498600</v>
      </c>
      <c r="I732" s="256">
        <v>0</v>
      </c>
    </row>
    <row r="733" spans="2:9" hidden="1" x14ac:dyDescent="0.2">
      <c r="B733" s="254">
        <v>45861</v>
      </c>
      <c r="C733" s="195">
        <v>112</v>
      </c>
      <c r="D733" s="195" t="str">
        <f>IFERROR(VLOOKUP(C733,'Neraca Saldo'!$B$6:$C$56,2,0),"")</f>
        <v>Kas</v>
      </c>
      <c r="E733" s="195" t="s">
        <v>1084</v>
      </c>
      <c r="F733" s="255" t="s">
        <v>838</v>
      </c>
      <c r="G733" s="219"/>
      <c r="H733" s="256">
        <f t="shared" si="14"/>
        <v>0</v>
      </c>
      <c r="I733" s="256">
        <f t="shared" si="15"/>
        <v>4498600</v>
      </c>
    </row>
    <row r="734" spans="2:9" x14ac:dyDescent="0.2">
      <c r="B734" s="231">
        <v>45862</v>
      </c>
      <c r="C734" s="232">
        <v>513</v>
      </c>
      <c r="D734" s="232" t="str">
        <f>IFERROR(VLOOKUP(C734,'Neraca Saldo'!$B$6:$C$56,2,0),"")</f>
        <v>Beban Pengurus dan Anggota</v>
      </c>
      <c r="E734" s="194" t="s">
        <v>1085</v>
      </c>
      <c r="F734" s="234" t="s">
        <v>838</v>
      </c>
      <c r="G734" s="217"/>
      <c r="H734" s="188">
        <v>1000000</v>
      </c>
      <c r="I734" s="236">
        <v>0</v>
      </c>
    </row>
    <row r="735" spans="2:9" hidden="1" x14ac:dyDescent="0.2">
      <c r="B735" s="231">
        <v>45862</v>
      </c>
      <c r="C735" s="232">
        <v>112</v>
      </c>
      <c r="D735" s="232" t="str">
        <f>IFERROR(VLOOKUP(C735,'Neraca Saldo'!$B$6:$C$56,2,0),"")</f>
        <v>Kas</v>
      </c>
      <c r="E735" s="194" t="s">
        <v>1085</v>
      </c>
      <c r="F735" s="234" t="s">
        <v>838</v>
      </c>
      <c r="G735" s="217"/>
      <c r="H735" s="236">
        <f t="shared" si="14"/>
        <v>0</v>
      </c>
      <c r="I735" s="236">
        <f t="shared" si="15"/>
        <v>1000000</v>
      </c>
    </row>
    <row r="736" spans="2:9" hidden="1" x14ac:dyDescent="0.2">
      <c r="B736" s="231">
        <v>45864</v>
      </c>
      <c r="C736" s="232">
        <v>518</v>
      </c>
      <c r="D736" s="232" t="str">
        <f>IFERROR(VLOOKUP(C736,'Neraca Saldo'!$B$6:$C$56,2,0),"")</f>
        <v>Beban Training</v>
      </c>
      <c r="E736" s="194" t="s">
        <v>1086</v>
      </c>
      <c r="F736" s="234" t="s">
        <v>838</v>
      </c>
      <c r="G736" s="217"/>
      <c r="H736" s="188">
        <v>1890000</v>
      </c>
      <c r="I736" s="236">
        <v>0</v>
      </c>
    </row>
    <row r="737" spans="2:9" hidden="1" x14ac:dyDescent="0.2">
      <c r="B737" s="231">
        <v>45864</v>
      </c>
      <c r="C737" s="232">
        <v>112</v>
      </c>
      <c r="D737" s="232" t="str">
        <f>IFERROR(VLOOKUP(C737,'Neraca Saldo'!$B$6:$C$56,2,0),"")</f>
        <v>Kas</v>
      </c>
      <c r="E737" s="194" t="s">
        <v>1086</v>
      </c>
      <c r="F737" s="234" t="s">
        <v>838</v>
      </c>
      <c r="G737" s="217"/>
      <c r="H737" s="236">
        <f t="shared" si="14"/>
        <v>0</v>
      </c>
      <c r="I737" s="236">
        <f t="shared" si="15"/>
        <v>1890000</v>
      </c>
    </row>
    <row r="738" spans="2:9" hidden="1" x14ac:dyDescent="0.2">
      <c r="B738" s="238">
        <v>45867</v>
      </c>
      <c r="C738" s="239">
        <v>111</v>
      </c>
      <c r="D738" s="239" t="str">
        <f>IFERROR(VLOOKUP(C738,'Neraca Saldo'!$B$6:$C$56,2,0),"")</f>
        <v>Bank</v>
      </c>
      <c r="E738" s="258" t="s">
        <v>1087</v>
      </c>
      <c r="F738" s="244" t="s">
        <v>77</v>
      </c>
      <c r="G738" s="218"/>
      <c r="H738" s="245">
        <v>5556400</v>
      </c>
      <c r="I738" s="240">
        <v>0</v>
      </c>
    </row>
    <row r="739" spans="2:9" hidden="1" x14ac:dyDescent="0.2">
      <c r="B739" s="238">
        <v>45867</v>
      </c>
      <c r="C739" s="239">
        <v>411</v>
      </c>
      <c r="D739" s="239" t="str">
        <f>IFERROR(VLOOKUP(C739,'Neraca Saldo'!$B$6:$C$56,2,0),"")</f>
        <v>Pendapatan Toko</v>
      </c>
      <c r="E739" s="258" t="s">
        <v>1087</v>
      </c>
      <c r="F739" s="244" t="s">
        <v>77</v>
      </c>
      <c r="G739" s="218"/>
      <c r="H739" s="240">
        <f t="shared" si="14"/>
        <v>0</v>
      </c>
      <c r="I739" s="240">
        <f t="shared" si="15"/>
        <v>5556400</v>
      </c>
    </row>
    <row r="740" spans="2:9" hidden="1" x14ac:dyDescent="0.2">
      <c r="B740" s="238">
        <v>45867</v>
      </c>
      <c r="C740" s="239">
        <v>111</v>
      </c>
      <c r="D740" s="239" t="str">
        <f>IFERROR(VLOOKUP(C740,'Neraca Saldo'!$B$6:$C$56,2,0),"")</f>
        <v>Bank</v>
      </c>
      <c r="E740" s="206" t="s">
        <v>1088</v>
      </c>
      <c r="F740" s="244" t="s">
        <v>77</v>
      </c>
      <c r="G740" s="218"/>
      <c r="H740" s="245">
        <v>150000</v>
      </c>
      <c r="I740" s="240">
        <v>0</v>
      </c>
    </row>
    <row r="741" spans="2:9" hidden="1" x14ac:dyDescent="0.2">
      <c r="B741" s="238">
        <v>45867</v>
      </c>
      <c r="C741" s="239">
        <v>212</v>
      </c>
      <c r="D741" s="239" t="str">
        <f>IFERROR(VLOOKUP(C741,'Neraca Saldo'!$B$6:$C$56,2,0),"")</f>
        <v>Simpanan Karyawan</v>
      </c>
      <c r="E741" s="206" t="s">
        <v>1088</v>
      </c>
      <c r="F741" s="244" t="s">
        <v>77</v>
      </c>
      <c r="G741" s="218"/>
      <c r="H741" s="240">
        <f t="shared" si="14"/>
        <v>0</v>
      </c>
      <c r="I741" s="240">
        <f t="shared" si="15"/>
        <v>150000</v>
      </c>
    </row>
    <row r="742" spans="2:9" hidden="1" x14ac:dyDescent="0.2">
      <c r="B742" s="238">
        <v>45867</v>
      </c>
      <c r="C742" s="239">
        <v>111</v>
      </c>
      <c r="D742" s="239" t="str">
        <f>IFERROR(VLOOKUP(C742,'Neraca Saldo'!$B$6:$C$56,2,0),"")</f>
        <v>Bank</v>
      </c>
      <c r="E742" s="206" t="s">
        <v>1089</v>
      </c>
      <c r="F742" s="244" t="s">
        <v>77</v>
      </c>
      <c r="G742" s="218"/>
      <c r="H742" s="245">
        <v>62400000</v>
      </c>
      <c r="I742" s="240">
        <v>0</v>
      </c>
    </row>
    <row r="743" spans="2:9" hidden="1" x14ac:dyDescent="0.2">
      <c r="B743" s="238">
        <v>45867</v>
      </c>
      <c r="C743" s="239">
        <v>212</v>
      </c>
      <c r="D743" s="239" t="str">
        <f>IFERROR(VLOOKUP(C743,'Neraca Saldo'!$B$6:$C$56,2,0),"")</f>
        <v>Simpanan Karyawan</v>
      </c>
      <c r="E743" s="206" t="s">
        <v>1089</v>
      </c>
      <c r="F743" s="244" t="s">
        <v>77</v>
      </c>
      <c r="G743" s="218"/>
      <c r="H743" s="240">
        <f t="shared" si="14"/>
        <v>0</v>
      </c>
      <c r="I743" s="240">
        <f t="shared" si="15"/>
        <v>62400000</v>
      </c>
    </row>
    <row r="744" spans="2:9" hidden="1" x14ac:dyDescent="0.2">
      <c r="B744" s="238">
        <v>45867</v>
      </c>
      <c r="C744" s="239">
        <v>111</v>
      </c>
      <c r="D744" s="239" t="str">
        <f>IFERROR(VLOOKUP(C744,'Neraca Saldo'!$B$6:$C$56,2,0),"")</f>
        <v>Bank</v>
      </c>
      <c r="E744" s="206" t="s">
        <v>1090</v>
      </c>
      <c r="F744" s="244" t="s">
        <v>77</v>
      </c>
      <c r="G744" s="218"/>
      <c r="H744" s="245">
        <v>29938000</v>
      </c>
      <c r="I744" s="240">
        <v>0</v>
      </c>
    </row>
    <row r="745" spans="2:9" hidden="1" x14ac:dyDescent="0.2">
      <c r="B745" s="238">
        <v>45867</v>
      </c>
      <c r="C745" s="239">
        <v>212</v>
      </c>
      <c r="D745" s="239" t="str">
        <f>IFERROR(VLOOKUP(C745,'Neraca Saldo'!$B$6:$C$56,2,0),"")</f>
        <v>Simpanan Karyawan</v>
      </c>
      <c r="E745" s="206" t="s">
        <v>1090</v>
      </c>
      <c r="F745" s="244" t="s">
        <v>77</v>
      </c>
      <c r="G745" s="218"/>
      <c r="H745" s="240">
        <f t="shared" ref="H745:H805" si="16">I744</f>
        <v>0</v>
      </c>
      <c r="I745" s="240">
        <f t="shared" ref="I745:I805" si="17">H744</f>
        <v>29938000</v>
      </c>
    </row>
    <row r="746" spans="2:9" hidden="1" x14ac:dyDescent="0.2">
      <c r="B746" s="238">
        <v>45867</v>
      </c>
      <c r="C746" s="239">
        <v>111</v>
      </c>
      <c r="D746" s="239" t="str">
        <f>IFERROR(VLOOKUP(C746,'Neraca Saldo'!$B$6:$C$56,2,0),"")</f>
        <v>Bank</v>
      </c>
      <c r="E746" s="206" t="s">
        <v>1091</v>
      </c>
      <c r="F746" s="244" t="s">
        <v>77</v>
      </c>
      <c r="G746" s="218"/>
      <c r="H746" s="245">
        <v>7350000</v>
      </c>
      <c r="I746" s="240">
        <v>0</v>
      </c>
    </row>
    <row r="747" spans="2:9" hidden="1" x14ac:dyDescent="0.2">
      <c r="B747" s="238">
        <v>45867</v>
      </c>
      <c r="C747" s="239">
        <v>222</v>
      </c>
      <c r="D747" s="239" t="str">
        <f>IFERROR(VLOOKUP(C747,'Neraca Saldo'!$B$6:$C$56,2,0),"")</f>
        <v>Hutang SPN</v>
      </c>
      <c r="E747" s="206" t="s">
        <v>1091</v>
      </c>
      <c r="F747" s="244" t="s">
        <v>77</v>
      </c>
      <c r="G747" s="218"/>
      <c r="H747" s="240">
        <f t="shared" si="16"/>
        <v>0</v>
      </c>
      <c r="I747" s="240">
        <f t="shared" si="17"/>
        <v>7350000</v>
      </c>
    </row>
    <row r="748" spans="2:9" ht="12.75" hidden="1" customHeight="1" x14ac:dyDescent="0.2">
      <c r="B748" s="238">
        <v>45867</v>
      </c>
      <c r="C748" s="239">
        <v>111</v>
      </c>
      <c r="D748" s="239" t="str">
        <f>IFERROR(VLOOKUP(C748,'Neraca Saldo'!$B$6:$C$56,2,0),"")</f>
        <v>Bank</v>
      </c>
      <c r="E748" s="206" t="s">
        <v>1092</v>
      </c>
      <c r="F748" s="244" t="s">
        <v>77</v>
      </c>
      <c r="G748" s="239"/>
      <c r="H748" s="245">
        <v>80474342</v>
      </c>
      <c r="I748" s="240">
        <v>0</v>
      </c>
    </row>
    <row r="749" spans="2:9" ht="12.75" hidden="1" customHeight="1" x14ac:dyDescent="0.2">
      <c r="B749" s="238">
        <v>45867</v>
      </c>
      <c r="C749" s="239">
        <v>121</v>
      </c>
      <c r="D749" s="239" t="str">
        <f>IFERROR(VLOOKUP(C749,'Neraca Saldo'!$B$6:$C$56,2,0),"")</f>
        <v>Piutang Anggota</v>
      </c>
      <c r="E749" s="206" t="s">
        <v>1092</v>
      </c>
      <c r="F749" s="244" t="s">
        <v>77</v>
      </c>
      <c r="G749" s="239"/>
      <c r="H749" s="240">
        <f t="shared" si="16"/>
        <v>0</v>
      </c>
      <c r="I749" s="240">
        <f t="shared" si="17"/>
        <v>80474342</v>
      </c>
    </row>
    <row r="750" spans="2:9" ht="12.75" hidden="1" customHeight="1" x14ac:dyDescent="0.2">
      <c r="B750" s="238">
        <v>45867</v>
      </c>
      <c r="C750" s="239">
        <v>111</v>
      </c>
      <c r="D750" s="239" t="str">
        <f>IFERROR(VLOOKUP(C750,'Neraca Saldo'!$B$6:$C$56,2,0),"")</f>
        <v>Bank</v>
      </c>
      <c r="E750" s="206" t="s">
        <v>1093</v>
      </c>
      <c r="F750" s="244" t="s">
        <v>77</v>
      </c>
      <c r="G750" s="239"/>
      <c r="H750" s="245">
        <v>160960708</v>
      </c>
      <c r="I750" s="240">
        <v>0</v>
      </c>
    </row>
    <row r="751" spans="2:9" ht="12.75" hidden="1" customHeight="1" x14ac:dyDescent="0.2">
      <c r="B751" s="238">
        <v>45867</v>
      </c>
      <c r="C751" s="239">
        <v>121</v>
      </c>
      <c r="D751" s="239" t="str">
        <f>IFERROR(VLOOKUP(C751,'Neraca Saldo'!$B$6:$C$56,2,0),"")</f>
        <v>Piutang Anggota</v>
      </c>
      <c r="E751" s="206" t="s">
        <v>1093</v>
      </c>
      <c r="F751" s="244" t="s">
        <v>77</v>
      </c>
      <c r="G751" s="239"/>
      <c r="H751" s="240">
        <f t="shared" si="16"/>
        <v>0</v>
      </c>
      <c r="I751" s="240">
        <f t="shared" si="17"/>
        <v>160960708</v>
      </c>
    </row>
    <row r="752" spans="2:9" ht="12.75" hidden="1" customHeight="1" x14ac:dyDescent="0.2">
      <c r="B752" s="231">
        <v>45868</v>
      </c>
      <c r="C752" s="232">
        <v>411</v>
      </c>
      <c r="D752" s="232" t="str">
        <f>IFERROR(VLOOKUP(C752,'Neraca Saldo'!$B$6:$C$56,2,0),"")</f>
        <v>Pendapatan Toko</v>
      </c>
      <c r="E752" s="259" t="s">
        <v>1087</v>
      </c>
      <c r="F752" s="234" t="s">
        <v>77</v>
      </c>
      <c r="G752" s="232"/>
      <c r="H752" s="246">
        <v>5556400</v>
      </c>
      <c r="I752" s="236">
        <v>0</v>
      </c>
    </row>
    <row r="753" spans="2:9" ht="12.75" hidden="1" customHeight="1" x14ac:dyDescent="0.2">
      <c r="B753" s="231">
        <v>45868</v>
      </c>
      <c r="C753" s="232">
        <v>111</v>
      </c>
      <c r="D753" s="232" t="str">
        <f>IFERROR(VLOOKUP(C753,'Neraca Saldo'!$B$6:$C$56,2,0),"")</f>
        <v>Bank</v>
      </c>
      <c r="E753" s="259" t="s">
        <v>1087</v>
      </c>
      <c r="F753" s="234" t="s">
        <v>77</v>
      </c>
      <c r="G753" s="232"/>
      <c r="H753" s="236">
        <f t="shared" si="16"/>
        <v>0</v>
      </c>
      <c r="I753" s="236">
        <f t="shared" si="17"/>
        <v>5556400</v>
      </c>
    </row>
    <row r="754" spans="2:9" ht="12.75" hidden="1" customHeight="1" x14ac:dyDescent="0.2">
      <c r="B754" s="231">
        <v>45868</v>
      </c>
      <c r="C754" s="232">
        <v>124</v>
      </c>
      <c r="D754" s="232" t="str">
        <f>IFERROR(VLOOKUP(C754,'Neraca Saldo'!$B$6:$C$56,2,0),"")</f>
        <v>Piutang USP</v>
      </c>
      <c r="E754" s="205" t="s">
        <v>1090</v>
      </c>
      <c r="F754" s="234" t="s">
        <v>77</v>
      </c>
      <c r="G754" s="232"/>
      <c r="H754" s="246">
        <v>29938000</v>
      </c>
      <c r="I754" s="236">
        <v>0</v>
      </c>
    </row>
    <row r="755" spans="2:9" ht="12.75" hidden="1" customHeight="1" x14ac:dyDescent="0.2">
      <c r="B755" s="231">
        <v>45868</v>
      </c>
      <c r="C755" s="232">
        <v>111</v>
      </c>
      <c r="D755" s="232" t="str">
        <f>IFERROR(VLOOKUP(C755,'Neraca Saldo'!$B$6:$C$56,2,0),"")</f>
        <v>Bank</v>
      </c>
      <c r="E755" s="205" t="s">
        <v>1090</v>
      </c>
      <c r="F755" s="234" t="s">
        <v>77</v>
      </c>
      <c r="G755" s="232"/>
      <c r="H755" s="236">
        <f t="shared" si="16"/>
        <v>0</v>
      </c>
      <c r="I755" s="236">
        <f t="shared" si="17"/>
        <v>29938000</v>
      </c>
    </row>
    <row r="756" spans="2:9" ht="12.75" hidden="1" customHeight="1" x14ac:dyDescent="0.2">
      <c r="B756" s="231">
        <v>45868</v>
      </c>
      <c r="C756" s="232">
        <v>222</v>
      </c>
      <c r="D756" s="232" t="str">
        <f>IFERROR(VLOOKUP(C756,'Neraca Saldo'!$B$6:$C$56,2,0),"")</f>
        <v>Hutang SPN</v>
      </c>
      <c r="E756" s="205" t="s">
        <v>1091</v>
      </c>
      <c r="F756" s="234" t="s">
        <v>77</v>
      </c>
      <c r="G756" s="232"/>
      <c r="H756" s="246">
        <v>7350000</v>
      </c>
      <c r="I756" s="236">
        <v>0</v>
      </c>
    </row>
    <row r="757" spans="2:9" ht="12.75" hidden="1" customHeight="1" x14ac:dyDescent="0.2">
      <c r="B757" s="231">
        <v>45868</v>
      </c>
      <c r="C757" s="232">
        <v>111</v>
      </c>
      <c r="D757" s="232" t="str">
        <f>IFERROR(VLOOKUP(C757,'Neraca Saldo'!$B$6:$C$56,2,0),"")</f>
        <v>Bank</v>
      </c>
      <c r="E757" s="205" t="s">
        <v>1091</v>
      </c>
      <c r="F757" s="234" t="s">
        <v>77</v>
      </c>
      <c r="G757" s="232"/>
      <c r="H757" s="236">
        <f t="shared" si="16"/>
        <v>0</v>
      </c>
      <c r="I757" s="236">
        <f t="shared" si="17"/>
        <v>7350000</v>
      </c>
    </row>
    <row r="758" spans="2:9" ht="12.75" hidden="1" customHeight="1" x14ac:dyDescent="0.2">
      <c r="B758" s="231">
        <v>45868</v>
      </c>
      <c r="C758" s="232">
        <v>126</v>
      </c>
      <c r="D758" s="232" t="str">
        <f>IFERROR(VLOOKUP(C758,'Neraca Saldo'!$B$6:$C$56,2,0),"")</f>
        <v>Piutang Pengadaan</v>
      </c>
      <c r="E758" s="205" t="s">
        <v>1092</v>
      </c>
      <c r="F758" s="234" t="s">
        <v>77</v>
      </c>
      <c r="G758" s="232"/>
      <c r="H758" s="246">
        <v>80474342</v>
      </c>
      <c r="I758" s="236">
        <v>0</v>
      </c>
    </row>
    <row r="759" spans="2:9" ht="12.75" hidden="1" customHeight="1" x14ac:dyDescent="0.2">
      <c r="B759" s="231">
        <v>45868</v>
      </c>
      <c r="C759" s="232">
        <v>111</v>
      </c>
      <c r="D759" s="232" t="str">
        <f>IFERROR(VLOOKUP(C759,'Neraca Saldo'!$B$6:$C$56,2,0),"")</f>
        <v>Bank</v>
      </c>
      <c r="E759" s="205" t="s">
        <v>1092</v>
      </c>
      <c r="F759" s="234" t="s">
        <v>77</v>
      </c>
      <c r="G759" s="232"/>
      <c r="H759" s="236">
        <f t="shared" si="16"/>
        <v>0</v>
      </c>
      <c r="I759" s="236">
        <f t="shared" si="17"/>
        <v>80474342</v>
      </c>
    </row>
    <row r="760" spans="2:9" ht="12.75" hidden="1" customHeight="1" x14ac:dyDescent="0.2">
      <c r="B760" s="231">
        <v>45868</v>
      </c>
      <c r="C760" s="232">
        <v>124</v>
      </c>
      <c r="D760" s="232" t="str">
        <f>IFERROR(VLOOKUP(C760,'Neraca Saldo'!$B$6:$C$56,2,0),"")</f>
        <v>Piutang USP</v>
      </c>
      <c r="E760" s="205" t="s">
        <v>1093</v>
      </c>
      <c r="F760" s="234" t="s">
        <v>77</v>
      </c>
      <c r="G760" s="232"/>
      <c r="H760" s="246">
        <v>160960708</v>
      </c>
      <c r="I760" s="236">
        <v>0</v>
      </c>
    </row>
    <row r="761" spans="2:9" ht="12.75" hidden="1" customHeight="1" x14ac:dyDescent="0.2">
      <c r="B761" s="231">
        <v>45868</v>
      </c>
      <c r="C761" s="232">
        <v>111</v>
      </c>
      <c r="D761" s="232" t="str">
        <f>IFERROR(VLOOKUP(C761,'Neraca Saldo'!$B$6:$C$56,2,0),"")</f>
        <v>Bank</v>
      </c>
      <c r="E761" s="205" t="s">
        <v>1093</v>
      </c>
      <c r="F761" s="234" t="s">
        <v>77</v>
      </c>
      <c r="G761" s="232"/>
      <c r="H761" s="236">
        <f t="shared" si="16"/>
        <v>0</v>
      </c>
      <c r="I761" s="236">
        <f t="shared" si="17"/>
        <v>160960708</v>
      </c>
    </row>
    <row r="762" spans="2:9" ht="12.75" hidden="1" customHeight="1" x14ac:dyDescent="0.2">
      <c r="B762" s="231">
        <v>45868</v>
      </c>
      <c r="C762" s="232">
        <v>126</v>
      </c>
      <c r="D762" s="232" t="str">
        <f>IFERROR(VLOOKUP(C762,'Neraca Saldo'!$B$6:$C$56,2,0),"")</f>
        <v>Piutang Pengadaan</v>
      </c>
      <c r="E762" s="259" t="s">
        <v>836</v>
      </c>
      <c r="F762" s="234" t="s">
        <v>77</v>
      </c>
      <c r="G762" s="232"/>
      <c r="H762" s="196">
        <v>30000000</v>
      </c>
      <c r="I762" s="236">
        <v>0</v>
      </c>
    </row>
    <row r="763" spans="2:9" ht="12.75" hidden="1" customHeight="1" x14ac:dyDescent="0.2">
      <c r="B763" s="231">
        <v>45868</v>
      </c>
      <c r="C763" s="232">
        <v>111</v>
      </c>
      <c r="D763" s="232" t="str">
        <f>IFERROR(VLOOKUP(C763,'Neraca Saldo'!$B$6:$C$56,2,0),"")</f>
        <v>Bank</v>
      </c>
      <c r="E763" s="259" t="s">
        <v>836</v>
      </c>
      <c r="F763" s="234" t="s">
        <v>77</v>
      </c>
      <c r="G763" s="232"/>
      <c r="H763" s="236">
        <f t="shared" si="16"/>
        <v>0</v>
      </c>
      <c r="I763" s="236">
        <f t="shared" si="17"/>
        <v>30000000</v>
      </c>
    </row>
    <row r="764" spans="2:9" ht="12.75" hidden="1" customHeight="1" x14ac:dyDescent="0.2">
      <c r="B764" s="231">
        <v>45868</v>
      </c>
      <c r="C764" s="232">
        <v>124</v>
      </c>
      <c r="D764" s="232" t="str">
        <f>IFERROR(VLOOKUP(C764,'Neraca Saldo'!$B$6:$C$56,2,0),"")</f>
        <v>Piutang USP</v>
      </c>
      <c r="E764" s="233" t="s">
        <v>947</v>
      </c>
      <c r="F764" s="234" t="s">
        <v>77</v>
      </c>
      <c r="G764" s="232"/>
      <c r="H764" s="196">
        <v>20000000</v>
      </c>
      <c r="I764" s="236">
        <v>0</v>
      </c>
    </row>
    <row r="765" spans="2:9" ht="12.75" hidden="1" customHeight="1" x14ac:dyDescent="0.2">
      <c r="B765" s="231">
        <v>45868</v>
      </c>
      <c r="C765" s="232">
        <v>111</v>
      </c>
      <c r="D765" s="232" t="str">
        <f>IFERROR(VLOOKUP(C765,'Neraca Saldo'!$B$6:$C$56,2,0),"")</f>
        <v>Bank</v>
      </c>
      <c r="E765" s="233" t="s">
        <v>947</v>
      </c>
      <c r="F765" s="234" t="s">
        <v>77</v>
      </c>
      <c r="G765" s="232"/>
      <c r="H765" s="236">
        <f t="shared" si="16"/>
        <v>0</v>
      </c>
      <c r="I765" s="236">
        <f t="shared" si="17"/>
        <v>20000000</v>
      </c>
    </row>
    <row r="766" spans="2:9" ht="12.75" hidden="1" customHeight="1" x14ac:dyDescent="0.2">
      <c r="B766" s="231">
        <v>45868</v>
      </c>
      <c r="C766" s="232">
        <v>112</v>
      </c>
      <c r="D766" s="232" t="str">
        <f>IFERROR(VLOOKUP(C766,'Neraca Saldo'!$B$6:$C$56,2,0),"")</f>
        <v>Kas</v>
      </c>
      <c r="E766" s="232" t="s">
        <v>838</v>
      </c>
      <c r="F766" s="234" t="s">
        <v>77</v>
      </c>
      <c r="G766" s="232"/>
      <c r="H766" s="196">
        <v>15900000</v>
      </c>
      <c r="I766" s="236">
        <v>0</v>
      </c>
    </row>
    <row r="767" spans="2:9" ht="12.75" hidden="1" customHeight="1" x14ac:dyDescent="0.2">
      <c r="B767" s="231">
        <v>45868</v>
      </c>
      <c r="C767" s="232">
        <v>111</v>
      </c>
      <c r="D767" s="232" t="str">
        <f>IFERROR(VLOOKUP(C767,'Neraca Saldo'!$B$6:$C$56,2,0),"")</f>
        <v>Bank</v>
      </c>
      <c r="E767" s="232" t="s">
        <v>838</v>
      </c>
      <c r="F767" s="234" t="s">
        <v>77</v>
      </c>
      <c r="G767" s="232"/>
      <c r="H767" s="236">
        <f t="shared" si="16"/>
        <v>0</v>
      </c>
      <c r="I767" s="236">
        <f t="shared" si="17"/>
        <v>15900000</v>
      </c>
    </row>
    <row r="768" spans="2:9" ht="12.75" hidden="1" customHeight="1" x14ac:dyDescent="0.2">
      <c r="B768" s="231">
        <v>45868</v>
      </c>
      <c r="C768" s="232">
        <v>124</v>
      </c>
      <c r="D768" s="232" t="str">
        <f>IFERROR(VLOOKUP(C768,'Neraca Saldo'!$B$6:$C$56,2,0),"")</f>
        <v>Piutang USP</v>
      </c>
      <c r="E768" s="259" t="s">
        <v>1094</v>
      </c>
      <c r="F768" s="234" t="s">
        <v>77</v>
      </c>
      <c r="G768" s="232"/>
      <c r="H768" s="196">
        <v>7618000</v>
      </c>
      <c r="I768" s="236">
        <v>0</v>
      </c>
    </row>
    <row r="769" spans="2:9" ht="12.75" hidden="1" customHeight="1" x14ac:dyDescent="0.2">
      <c r="B769" s="231">
        <v>45868</v>
      </c>
      <c r="C769" s="232">
        <v>111</v>
      </c>
      <c r="D769" s="232" t="str">
        <f>IFERROR(VLOOKUP(C769,'Neraca Saldo'!$B$6:$C$56,2,0),"")</f>
        <v>Bank</v>
      </c>
      <c r="E769" s="259" t="s">
        <v>1094</v>
      </c>
      <c r="F769" s="234" t="s">
        <v>77</v>
      </c>
      <c r="G769" s="232"/>
      <c r="H769" s="236">
        <f t="shared" si="16"/>
        <v>0</v>
      </c>
      <c r="I769" s="236">
        <f t="shared" si="17"/>
        <v>7618000</v>
      </c>
    </row>
    <row r="770" spans="2:9" ht="12.75" hidden="1" customHeight="1" x14ac:dyDescent="0.2">
      <c r="B770" s="231">
        <v>45868</v>
      </c>
      <c r="C770" s="232">
        <v>212</v>
      </c>
      <c r="D770" s="232" t="str">
        <f>IFERROR(VLOOKUP(C770,'Neraca Saldo'!$B$6:$C$56,2,0),"")</f>
        <v>Simpanan Karyawan</v>
      </c>
      <c r="E770" s="259" t="s">
        <v>1095</v>
      </c>
      <c r="F770" s="234" t="s">
        <v>77</v>
      </c>
      <c r="G770" s="232"/>
      <c r="H770" s="196">
        <v>2432000</v>
      </c>
      <c r="I770" s="236">
        <v>0</v>
      </c>
    </row>
    <row r="771" spans="2:9" ht="12.75" hidden="1" customHeight="1" x14ac:dyDescent="0.2">
      <c r="B771" s="231">
        <v>45868</v>
      </c>
      <c r="C771" s="232">
        <v>111</v>
      </c>
      <c r="D771" s="232" t="str">
        <f>IFERROR(VLOOKUP(C771,'Neraca Saldo'!$B$6:$C$56,2,0),"")</f>
        <v>Bank</v>
      </c>
      <c r="E771" s="259" t="s">
        <v>1095</v>
      </c>
      <c r="F771" s="234" t="s">
        <v>77</v>
      </c>
      <c r="G771" s="232"/>
      <c r="H771" s="236">
        <f t="shared" si="16"/>
        <v>0</v>
      </c>
      <c r="I771" s="236">
        <f t="shared" si="17"/>
        <v>2432000</v>
      </c>
    </row>
    <row r="772" spans="2:9" ht="12.75" hidden="1" customHeight="1" x14ac:dyDescent="0.2">
      <c r="B772" s="238">
        <v>45868</v>
      </c>
      <c r="C772" s="239">
        <v>111</v>
      </c>
      <c r="D772" s="239" t="str">
        <f>IFERROR(VLOOKUP(C772,'Neraca Saldo'!$B$6:$C$56,2,0),"")</f>
        <v>Bank</v>
      </c>
      <c r="E772" s="258" t="s">
        <v>1048</v>
      </c>
      <c r="F772" s="244" t="s">
        <v>77</v>
      </c>
      <c r="G772" s="239"/>
      <c r="H772" s="191">
        <v>200000</v>
      </c>
      <c r="I772" s="240">
        <v>0</v>
      </c>
    </row>
    <row r="773" spans="2:9" ht="12.75" hidden="1" customHeight="1" x14ac:dyDescent="0.2">
      <c r="B773" s="238">
        <v>45868</v>
      </c>
      <c r="C773" s="239">
        <v>212</v>
      </c>
      <c r="D773" s="239" t="str">
        <f>IFERROR(VLOOKUP(C773,'Neraca Saldo'!$B$6:$C$56,2,0),"")</f>
        <v>Simpanan Karyawan</v>
      </c>
      <c r="E773" s="258" t="s">
        <v>1048</v>
      </c>
      <c r="F773" s="244" t="s">
        <v>77</v>
      </c>
      <c r="G773" s="239"/>
      <c r="H773" s="240">
        <f t="shared" si="16"/>
        <v>0</v>
      </c>
      <c r="I773" s="240">
        <f t="shared" si="17"/>
        <v>200000</v>
      </c>
    </row>
    <row r="774" spans="2:9" ht="12.75" hidden="1" customHeight="1" x14ac:dyDescent="0.2">
      <c r="B774" s="238">
        <v>45869</v>
      </c>
      <c r="C774" s="239">
        <v>111</v>
      </c>
      <c r="D774" s="239" t="str">
        <f>IFERROR(VLOOKUP(C774,'Neraca Saldo'!$B$6:$C$56,2,0),"")</f>
        <v>Bank</v>
      </c>
      <c r="E774" s="216" t="s">
        <v>57</v>
      </c>
      <c r="F774" s="239" t="s">
        <v>77</v>
      </c>
      <c r="G774" s="239"/>
      <c r="H774" s="245">
        <v>21370</v>
      </c>
      <c r="I774" s="240">
        <v>0</v>
      </c>
    </row>
    <row r="775" spans="2:9" ht="12.75" hidden="1" customHeight="1" x14ac:dyDescent="0.2">
      <c r="B775" s="238">
        <v>45869</v>
      </c>
      <c r="C775" s="239">
        <v>413</v>
      </c>
      <c r="D775" s="239" t="str">
        <f>IFERROR(VLOOKUP(C775,'Neraca Saldo'!$B$6:$C$56,2,0),"")</f>
        <v>Pendapatan Jasa Bank</v>
      </c>
      <c r="E775" s="216" t="s">
        <v>57</v>
      </c>
      <c r="F775" s="239" t="s">
        <v>77</v>
      </c>
      <c r="G775" s="239"/>
      <c r="H775" s="240">
        <f t="shared" si="16"/>
        <v>0</v>
      </c>
      <c r="I775" s="240">
        <f t="shared" si="17"/>
        <v>21370</v>
      </c>
    </row>
    <row r="776" spans="2:9" ht="12.75" hidden="1" customHeight="1" x14ac:dyDescent="0.2">
      <c r="B776" s="231">
        <v>45869</v>
      </c>
      <c r="C776" s="232">
        <v>521</v>
      </c>
      <c r="D776" s="232" t="str">
        <f>IFERROR(VLOOKUP(C776,'Neraca Saldo'!$B$6:$C$56,2,0),"")</f>
        <v>Beban Biaya Bank</v>
      </c>
      <c r="E776" s="260" t="s">
        <v>94</v>
      </c>
      <c r="F776" s="232" t="s">
        <v>77</v>
      </c>
      <c r="G776" s="232"/>
      <c r="H776" s="196">
        <v>4274</v>
      </c>
      <c r="I776" s="236">
        <v>0</v>
      </c>
    </row>
    <row r="777" spans="2:9" ht="12.75" hidden="1" customHeight="1" x14ac:dyDescent="0.2">
      <c r="B777" s="231">
        <v>45869</v>
      </c>
      <c r="C777" s="232">
        <v>111</v>
      </c>
      <c r="D777" s="232" t="str">
        <f>IFERROR(VLOOKUP(C777,'Neraca Saldo'!$B$6:$C$56,2,0),"")</f>
        <v>Bank</v>
      </c>
      <c r="E777" s="260" t="s">
        <v>94</v>
      </c>
      <c r="F777" s="232" t="s">
        <v>77</v>
      </c>
      <c r="G777" s="232"/>
      <c r="H777" s="236">
        <f t="shared" si="16"/>
        <v>0</v>
      </c>
      <c r="I777" s="236">
        <f t="shared" si="17"/>
        <v>4274</v>
      </c>
    </row>
    <row r="778" spans="2:9" ht="12.75" hidden="1" customHeight="1" x14ac:dyDescent="0.2">
      <c r="B778" s="231">
        <v>45869</v>
      </c>
      <c r="C778" s="232">
        <v>521</v>
      </c>
      <c r="D778" s="232" t="str">
        <f>IFERROR(VLOOKUP(C778,'Neraca Saldo'!$B$6:$C$56,2,0),"")</f>
        <v>Beban Biaya Bank</v>
      </c>
      <c r="E778" s="260" t="s">
        <v>95</v>
      </c>
      <c r="F778" s="232" t="s">
        <v>77</v>
      </c>
      <c r="G778" s="232"/>
      <c r="H778" s="196">
        <v>10000</v>
      </c>
      <c r="I778" s="236">
        <v>0</v>
      </c>
    </row>
    <row r="779" spans="2:9" ht="12.75" hidden="1" customHeight="1" x14ac:dyDescent="0.2">
      <c r="B779" s="231">
        <v>45869</v>
      </c>
      <c r="C779" s="232">
        <v>111</v>
      </c>
      <c r="D779" s="232" t="str">
        <f>IFERROR(VLOOKUP(C779,'Neraca Saldo'!$B$6:$C$56,2,0),"")</f>
        <v>Bank</v>
      </c>
      <c r="E779" s="260" t="s">
        <v>95</v>
      </c>
      <c r="F779" s="232" t="s">
        <v>77</v>
      </c>
      <c r="G779" s="232"/>
      <c r="H779" s="236">
        <f t="shared" si="16"/>
        <v>0</v>
      </c>
      <c r="I779" s="236">
        <f t="shared" si="17"/>
        <v>10000</v>
      </c>
    </row>
    <row r="780" spans="2:9" ht="12.75" hidden="1" customHeight="1" x14ac:dyDescent="0.2">
      <c r="B780" s="231">
        <v>45869</v>
      </c>
      <c r="C780" s="232">
        <v>518</v>
      </c>
      <c r="D780" s="232" t="str">
        <f>IFERROR(VLOOKUP(C780,'Neraca Saldo'!$B$6:$C$56,2,0),"")</f>
        <v>Beban Training</v>
      </c>
      <c r="E780" s="194" t="s">
        <v>1096</v>
      </c>
      <c r="F780" s="232" t="s">
        <v>838</v>
      </c>
      <c r="G780" s="232"/>
      <c r="H780" s="188">
        <v>174000</v>
      </c>
      <c r="I780" s="236">
        <v>0</v>
      </c>
    </row>
    <row r="781" spans="2:9" ht="12.75" hidden="1" customHeight="1" x14ac:dyDescent="0.2">
      <c r="B781" s="231">
        <v>45869</v>
      </c>
      <c r="C781" s="232">
        <v>112</v>
      </c>
      <c r="D781" s="232" t="str">
        <f>IFERROR(VLOOKUP(C781,'Neraca Saldo'!$B$6:$C$56,2,0),"")</f>
        <v>Kas</v>
      </c>
      <c r="E781" s="194" t="s">
        <v>1096</v>
      </c>
      <c r="F781" s="232" t="s">
        <v>838</v>
      </c>
      <c r="G781" s="232"/>
      <c r="H781" s="236">
        <f t="shared" si="16"/>
        <v>0</v>
      </c>
      <c r="I781" s="236">
        <f t="shared" si="17"/>
        <v>174000</v>
      </c>
    </row>
    <row r="782" spans="2:9" ht="12.75" hidden="1" customHeight="1" x14ac:dyDescent="0.2">
      <c r="B782" s="231">
        <v>45870</v>
      </c>
      <c r="C782" s="232">
        <v>515</v>
      </c>
      <c r="D782" s="232" t="str">
        <f>IFERROR(VLOOKUP(C782,'Neraca Saldo'!$B$6:$C$56,2,0),"")</f>
        <v>Beban Gaji</v>
      </c>
      <c r="E782" s="194" t="s">
        <v>1097</v>
      </c>
      <c r="F782" s="234" t="s">
        <v>838</v>
      </c>
      <c r="G782" s="232"/>
      <c r="H782" s="188">
        <v>2840000</v>
      </c>
      <c r="I782" s="236">
        <v>0</v>
      </c>
    </row>
    <row r="783" spans="2:9" ht="12.75" hidden="1" customHeight="1" x14ac:dyDescent="0.2">
      <c r="B783" s="231">
        <v>45870</v>
      </c>
      <c r="C783" s="232">
        <v>112</v>
      </c>
      <c r="D783" s="232" t="str">
        <f>IFERROR(VLOOKUP(C783,'Neraca Saldo'!$B$6:$C$56,2,0),"")</f>
        <v>Kas</v>
      </c>
      <c r="E783" s="194" t="s">
        <v>1097</v>
      </c>
      <c r="F783" s="234" t="s">
        <v>838</v>
      </c>
      <c r="G783" s="232"/>
      <c r="H783" s="236">
        <f t="shared" si="16"/>
        <v>0</v>
      </c>
      <c r="I783" s="236">
        <f t="shared" si="17"/>
        <v>2840000</v>
      </c>
    </row>
    <row r="784" spans="2:9" ht="12.75" hidden="1" customHeight="1" x14ac:dyDescent="0.2">
      <c r="B784" s="231">
        <v>45870</v>
      </c>
      <c r="C784" s="232">
        <v>515</v>
      </c>
      <c r="D784" s="232" t="str">
        <f>IFERROR(VLOOKUP(C784,'Neraca Saldo'!$B$6:$C$56,2,0),"")</f>
        <v>Beban Gaji</v>
      </c>
      <c r="E784" s="194" t="s">
        <v>1098</v>
      </c>
      <c r="F784" s="234" t="s">
        <v>838</v>
      </c>
      <c r="G784" s="232"/>
      <c r="H784" s="188">
        <v>2240000</v>
      </c>
      <c r="I784" s="236">
        <v>0</v>
      </c>
    </row>
    <row r="785" spans="2:9" ht="12.75" hidden="1" customHeight="1" x14ac:dyDescent="0.2">
      <c r="B785" s="231">
        <v>45870</v>
      </c>
      <c r="C785" s="232">
        <v>112</v>
      </c>
      <c r="D785" s="232" t="str">
        <f>IFERROR(VLOOKUP(C785,'Neraca Saldo'!$B$6:$C$56,2,0),"")</f>
        <v>Kas</v>
      </c>
      <c r="E785" s="194" t="s">
        <v>1098</v>
      </c>
      <c r="F785" s="234" t="s">
        <v>838</v>
      </c>
      <c r="G785" s="232"/>
      <c r="H785" s="236">
        <f t="shared" si="16"/>
        <v>0</v>
      </c>
      <c r="I785" s="236">
        <f t="shared" si="17"/>
        <v>2240000</v>
      </c>
    </row>
    <row r="786" spans="2:9" ht="12.75" hidden="1" customHeight="1" x14ac:dyDescent="0.2">
      <c r="B786" s="238">
        <v>45870</v>
      </c>
      <c r="C786" s="239">
        <v>111</v>
      </c>
      <c r="D786" s="239" t="str">
        <f>IFERROR(VLOOKUP(C786,'Neraca Saldo'!$B$6:$C$56,2,0),"")</f>
        <v>Bank</v>
      </c>
      <c r="E786" s="258" t="s">
        <v>1015</v>
      </c>
      <c r="F786" s="244" t="s">
        <v>77</v>
      </c>
      <c r="G786" s="239"/>
      <c r="H786" s="245">
        <v>200000</v>
      </c>
      <c r="I786" s="240">
        <v>0</v>
      </c>
    </row>
    <row r="787" spans="2:9" ht="12.75" hidden="1" customHeight="1" x14ac:dyDescent="0.2">
      <c r="B787" s="238">
        <v>45870</v>
      </c>
      <c r="C787" s="239">
        <v>212</v>
      </c>
      <c r="D787" s="239" t="str">
        <f>IFERROR(VLOOKUP(C787,'Neraca Saldo'!$B$6:$C$56,2,0),"")</f>
        <v>Simpanan Karyawan</v>
      </c>
      <c r="E787" s="258" t="s">
        <v>1015</v>
      </c>
      <c r="F787" s="244" t="s">
        <v>77</v>
      </c>
      <c r="G787" s="239"/>
      <c r="H787" s="240">
        <f t="shared" si="16"/>
        <v>0</v>
      </c>
      <c r="I787" s="240">
        <f t="shared" si="17"/>
        <v>200000</v>
      </c>
    </row>
    <row r="788" spans="2:9" ht="12.75" hidden="1" customHeight="1" x14ac:dyDescent="0.2">
      <c r="B788" s="238">
        <v>45870</v>
      </c>
      <c r="C788" s="239">
        <v>111</v>
      </c>
      <c r="D788" s="239" t="str">
        <f>IFERROR(VLOOKUP(C788,'Neraca Saldo'!$B$6:$C$56,2,0),"")</f>
        <v>Bank</v>
      </c>
      <c r="E788" s="258" t="s">
        <v>1021</v>
      </c>
      <c r="F788" s="244" t="s">
        <v>77</v>
      </c>
      <c r="G788" s="239"/>
      <c r="H788" s="245">
        <v>200000</v>
      </c>
      <c r="I788" s="240">
        <v>0</v>
      </c>
    </row>
    <row r="789" spans="2:9" ht="12.75" hidden="1" customHeight="1" x14ac:dyDescent="0.2">
      <c r="B789" s="238">
        <v>45870</v>
      </c>
      <c r="C789" s="239">
        <v>212</v>
      </c>
      <c r="D789" s="239" t="str">
        <f>IFERROR(VLOOKUP(C789,'Neraca Saldo'!$B$6:$C$56,2,0),"")</f>
        <v>Simpanan Karyawan</v>
      </c>
      <c r="E789" s="258" t="s">
        <v>1021</v>
      </c>
      <c r="F789" s="244" t="s">
        <v>77</v>
      </c>
      <c r="G789" s="239"/>
      <c r="H789" s="240">
        <f t="shared" si="16"/>
        <v>0</v>
      </c>
      <c r="I789" s="240">
        <f t="shared" si="17"/>
        <v>200000</v>
      </c>
    </row>
    <row r="790" spans="2:9" ht="12.75" hidden="1" customHeight="1" x14ac:dyDescent="0.2">
      <c r="B790" s="238">
        <v>45870</v>
      </c>
      <c r="C790" s="239">
        <v>111</v>
      </c>
      <c r="D790" s="239" t="str">
        <f>IFERROR(VLOOKUP(C790,'Neraca Saldo'!$B$6:$C$56,2,0),"")</f>
        <v>Bank</v>
      </c>
      <c r="E790" s="258" t="s">
        <v>987</v>
      </c>
      <c r="F790" s="244" t="s">
        <v>77</v>
      </c>
      <c r="G790" s="239"/>
      <c r="H790" s="245">
        <v>200000</v>
      </c>
      <c r="I790" s="240">
        <v>0</v>
      </c>
    </row>
    <row r="791" spans="2:9" ht="12.75" hidden="1" customHeight="1" x14ac:dyDescent="0.2">
      <c r="B791" s="238">
        <v>45870</v>
      </c>
      <c r="C791" s="239">
        <v>212</v>
      </c>
      <c r="D791" s="239" t="str">
        <f>IFERROR(VLOOKUP(C791,'Neraca Saldo'!$B$6:$C$56,2,0),"")</f>
        <v>Simpanan Karyawan</v>
      </c>
      <c r="E791" s="258" t="s">
        <v>987</v>
      </c>
      <c r="F791" s="244" t="s">
        <v>77</v>
      </c>
      <c r="G791" s="239"/>
      <c r="H791" s="240">
        <f t="shared" si="16"/>
        <v>0</v>
      </c>
      <c r="I791" s="240">
        <f t="shared" si="17"/>
        <v>200000</v>
      </c>
    </row>
    <row r="792" spans="2:9" ht="12.75" hidden="1" customHeight="1" x14ac:dyDescent="0.2">
      <c r="B792" s="238">
        <v>45870</v>
      </c>
      <c r="C792" s="239">
        <v>111</v>
      </c>
      <c r="D792" s="239" t="str">
        <f>IFERROR(VLOOKUP(C792,'Neraca Saldo'!$B$6:$C$56,2,0),"")</f>
        <v>Bank</v>
      </c>
      <c r="E792" s="258" t="s">
        <v>1066</v>
      </c>
      <c r="F792" s="244" t="s">
        <v>77</v>
      </c>
      <c r="G792" s="239"/>
      <c r="H792" s="245">
        <v>985000</v>
      </c>
      <c r="I792" s="240">
        <v>0</v>
      </c>
    </row>
    <row r="793" spans="2:9" ht="12.75" hidden="1" customHeight="1" x14ac:dyDescent="0.2">
      <c r="B793" s="238">
        <v>45870</v>
      </c>
      <c r="C793" s="239">
        <v>212</v>
      </c>
      <c r="D793" s="239" t="str">
        <f>IFERROR(VLOOKUP(C793,'Neraca Saldo'!$B$6:$C$56,2,0),"")</f>
        <v>Simpanan Karyawan</v>
      </c>
      <c r="E793" s="258" t="s">
        <v>1066</v>
      </c>
      <c r="F793" s="244" t="s">
        <v>77</v>
      </c>
      <c r="G793" s="239"/>
      <c r="H793" s="240">
        <f t="shared" si="16"/>
        <v>0</v>
      </c>
      <c r="I793" s="240">
        <f t="shared" si="17"/>
        <v>985000</v>
      </c>
    </row>
    <row r="794" spans="2:9" ht="12.75" hidden="1" customHeight="1" x14ac:dyDescent="0.2">
      <c r="B794" s="238">
        <v>45870</v>
      </c>
      <c r="C794" s="239">
        <v>111</v>
      </c>
      <c r="D794" s="239" t="str">
        <f>IFERROR(VLOOKUP(C794,'Neraca Saldo'!$B$6:$C$56,2,0),"")</f>
        <v>Bank</v>
      </c>
      <c r="E794" s="258" t="s">
        <v>1047</v>
      </c>
      <c r="F794" s="244" t="s">
        <v>77</v>
      </c>
      <c r="G794" s="239"/>
      <c r="H794" s="245">
        <v>200000</v>
      </c>
      <c r="I794" s="240">
        <v>0</v>
      </c>
    </row>
    <row r="795" spans="2:9" ht="12.75" hidden="1" customHeight="1" x14ac:dyDescent="0.2">
      <c r="B795" s="238">
        <v>45870</v>
      </c>
      <c r="C795" s="239">
        <v>212</v>
      </c>
      <c r="D795" s="239" t="str">
        <f>IFERROR(VLOOKUP(C795,'Neraca Saldo'!$B$6:$C$56,2,0),"")</f>
        <v>Simpanan Karyawan</v>
      </c>
      <c r="E795" s="258" t="s">
        <v>1047</v>
      </c>
      <c r="F795" s="244" t="s">
        <v>77</v>
      </c>
      <c r="G795" s="239"/>
      <c r="H795" s="240">
        <f t="shared" si="16"/>
        <v>0</v>
      </c>
      <c r="I795" s="240">
        <f t="shared" si="17"/>
        <v>200000</v>
      </c>
    </row>
    <row r="796" spans="2:9" ht="12.75" hidden="1" customHeight="1" x14ac:dyDescent="0.2">
      <c r="B796" s="238">
        <v>45870</v>
      </c>
      <c r="C796" s="239">
        <v>111</v>
      </c>
      <c r="D796" s="239" t="str">
        <f>IFERROR(VLOOKUP(C796,'Neraca Saldo'!$B$6:$C$56,2,0),"")</f>
        <v>Bank</v>
      </c>
      <c r="E796" s="258" t="s">
        <v>1023</v>
      </c>
      <c r="F796" s="244" t="s">
        <v>77</v>
      </c>
      <c r="G796" s="239"/>
      <c r="H796" s="245">
        <v>200000</v>
      </c>
      <c r="I796" s="240">
        <v>0</v>
      </c>
    </row>
    <row r="797" spans="2:9" ht="12.75" hidden="1" customHeight="1" x14ac:dyDescent="0.2">
      <c r="B797" s="238">
        <v>45870</v>
      </c>
      <c r="C797" s="239">
        <v>212</v>
      </c>
      <c r="D797" s="239" t="str">
        <f>IFERROR(VLOOKUP(C797,'Neraca Saldo'!$B$6:$C$56,2,0),"")</f>
        <v>Simpanan Karyawan</v>
      </c>
      <c r="E797" s="258" t="s">
        <v>1023</v>
      </c>
      <c r="F797" s="244" t="s">
        <v>77</v>
      </c>
      <c r="G797" s="239"/>
      <c r="H797" s="240">
        <f t="shared" si="16"/>
        <v>0</v>
      </c>
      <c r="I797" s="240">
        <f t="shared" si="17"/>
        <v>200000</v>
      </c>
    </row>
    <row r="798" spans="2:9" ht="12.75" hidden="1" customHeight="1" x14ac:dyDescent="0.2">
      <c r="B798" s="238">
        <v>45870</v>
      </c>
      <c r="C798" s="239">
        <v>111</v>
      </c>
      <c r="D798" s="239" t="str">
        <f>IFERROR(VLOOKUP(C798,'Neraca Saldo'!$B$6:$C$56,2,0),"")</f>
        <v>Bank</v>
      </c>
      <c r="E798" s="258" t="s">
        <v>988</v>
      </c>
      <c r="F798" s="244" t="s">
        <v>77</v>
      </c>
      <c r="G798" s="239"/>
      <c r="H798" s="245">
        <v>200000</v>
      </c>
      <c r="I798" s="240">
        <v>0</v>
      </c>
    </row>
    <row r="799" spans="2:9" ht="12.75" hidden="1" customHeight="1" x14ac:dyDescent="0.2">
      <c r="B799" s="238">
        <v>45870</v>
      </c>
      <c r="C799" s="239">
        <v>212</v>
      </c>
      <c r="D799" s="239" t="str">
        <f>IFERROR(VLOOKUP(C799,'Neraca Saldo'!$B$6:$C$56,2,0),"")</f>
        <v>Simpanan Karyawan</v>
      </c>
      <c r="E799" s="258" t="s">
        <v>988</v>
      </c>
      <c r="F799" s="244" t="s">
        <v>77</v>
      </c>
      <c r="G799" s="239"/>
      <c r="H799" s="240">
        <f t="shared" si="16"/>
        <v>0</v>
      </c>
      <c r="I799" s="240">
        <f t="shared" si="17"/>
        <v>200000</v>
      </c>
    </row>
    <row r="800" spans="2:9" ht="12.75" hidden="1" customHeight="1" x14ac:dyDescent="0.2">
      <c r="B800" s="238">
        <v>45870</v>
      </c>
      <c r="C800" s="239">
        <v>111</v>
      </c>
      <c r="D800" s="239" t="str">
        <f>IFERROR(VLOOKUP(C800,'Neraca Saldo'!$B$6:$C$56,2,0),"")</f>
        <v>Bank</v>
      </c>
      <c r="E800" s="258" t="s">
        <v>1099</v>
      </c>
      <c r="F800" s="244" t="s">
        <v>77</v>
      </c>
      <c r="G800" s="239"/>
      <c r="H800" s="245">
        <v>807000</v>
      </c>
      <c r="I800" s="240">
        <v>0</v>
      </c>
    </row>
    <row r="801" spans="2:9" ht="12.75" hidden="1" customHeight="1" x14ac:dyDescent="0.2">
      <c r="B801" s="238">
        <v>45870</v>
      </c>
      <c r="C801" s="239">
        <v>212</v>
      </c>
      <c r="D801" s="239" t="str">
        <f>IFERROR(VLOOKUP(C801,'Neraca Saldo'!$B$6:$C$56,2,0),"")</f>
        <v>Simpanan Karyawan</v>
      </c>
      <c r="E801" s="258" t="s">
        <v>1099</v>
      </c>
      <c r="F801" s="244" t="s">
        <v>77</v>
      </c>
      <c r="G801" s="239"/>
      <c r="H801" s="240">
        <f t="shared" si="16"/>
        <v>0</v>
      </c>
      <c r="I801" s="240">
        <f t="shared" si="17"/>
        <v>807000</v>
      </c>
    </row>
    <row r="802" spans="2:9" ht="12.75" hidden="1" customHeight="1" x14ac:dyDescent="0.2">
      <c r="B802" s="238">
        <v>45870</v>
      </c>
      <c r="C802" s="239">
        <v>111</v>
      </c>
      <c r="D802" s="239" t="str">
        <f>IFERROR(VLOOKUP(C802,'Neraca Saldo'!$B$6:$C$56,2,0),"")</f>
        <v>Bank</v>
      </c>
      <c r="E802" s="258" t="s">
        <v>1019</v>
      </c>
      <c r="F802" s="244" t="s">
        <v>77</v>
      </c>
      <c r="G802" s="239"/>
      <c r="H802" s="245">
        <v>200000</v>
      </c>
      <c r="I802" s="240">
        <v>0</v>
      </c>
    </row>
    <row r="803" spans="2:9" ht="12.75" hidden="1" customHeight="1" x14ac:dyDescent="0.2">
      <c r="B803" s="238">
        <v>45870</v>
      </c>
      <c r="C803" s="239">
        <v>212</v>
      </c>
      <c r="D803" s="239" t="str">
        <f>IFERROR(VLOOKUP(C803,'Neraca Saldo'!$B$6:$C$56,2,0),"")</f>
        <v>Simpanan Karyawan</v>
      </c>
      <c r="E803" s="258" t="s">
        <v>1019</v>
      </c>
      <c r="F803" s="244" t="s">
        <v>77</v>
      </c>
      <c r="G803" s="239"/>
      <c r="H803" s="240">
        <f t="shared" si="16"/>
        <v>0</v>
      </c>
      <c r="I803" s="240">
        <f t="shared" si="17"/>
        <v>200000</v>
      </c>
    </row>
    <row r="804" spans="2:9" ht="12.75" hidden="1" customHeight="1" x14ac:dyDescent="0.2">
      <c r="B804" s="238">
        <v>45870</v>
      </c>
      <c r="C804" s="239">
        <v>111</v>
      </c>
      <c r="D804" s="239" t="str">
        <f>IFERROR(VLOOKUP(C804,'Neraca Saldo'!$B$6:$C$56,2,0),"")</f>
        <v>Bank</v>
      </c>
      <c r="E804" s="258" t="s">
        <v>1045</v>
      </c>
      <c r="F804" s="244" t="s">
        <v>77</v>
      </c>
      <c r="G804" s="239"/>
      <c r="H804" s="245">
        <v>821000</v>
      </c>
      <c r="I804" s="240">
        <v>0</v>
      </c>
    </row>
    <row r="805" spans="2:9" ht="12.75" hidden="1" customHeight="1" x14ac:dyDescent="0.2">
      <c r="B805" s="238">
        <v>45870</v>
      </c>
      <c r="C805" s="239">
        <v>212</v>
      </c>
      <c r="D805" s="239" t="str">
        <f>IFERROR(VLOOKUP(C805,'Neraca Saldo'!$B$6:$C$56,2,0),"")</f>
        <v>Simpanan Karyawan</v>
      </c>
      <c r="E805" s="258" t="s">
        <v>1045</v>
      </c>
      <c r="F805" s="244" t="s">
        <v>77</v>
      </c>
      <c r="G805" s="239"/>
      <c r="H805" s="240">
        <f t="shared" si="16"/>
        <v>0</v>
      </c>
      <c r="I805" s="240">
        <f t="shared" si="17"/>
        <v>821000</v>
      </c>
    </row>
    <row r="806" spans="2:9" ht="12.75" hidden="1" customHeight="1" x14ac:dyDescent="0.2">
      <c r="B806" s="238">
        <v>45870</v>
      </c>
      <c r="C806" s="239">
        <v>111</v>
      </c>
      <c r="D806" s="239" t="str">
        <f>IFERROR(VLOOKUP(C806,'Neraca Saldo'!$B$6:$C$56,2,0),"")</f>
        <v>Bank</v>
      </c>
      <c r="E806" s="258" t="s">
        <v>1020</v>
      </c>
      <c r="F806" s="244" t="s">
        <v>77</v>
      </c>
      <c r="G806" s="239"/>
      <c r="H806" s="245">
        <v>200000</v>
      </c>
      <c r="I806" s="240">
        <v>0</v>
      </c>
    </row>
    <row r="807" spans="2:9" ht="12.75" hidden="1" customHeight="1" x14ac:dyDescent="0.2">
      <c r="B807" s="238">
        <v>45870</v>
      </c>
      <c r="C807" s="239">
        <v>212</v>
      </c>
      <c r="D807" s="239" t="str">
        <f>IFERROR(VLOOKUP(C807,'Neraca Saldo'!$B$6:$C$56,2,0),"")</f>
        <v>Simpanan Karyawan</v>
      </c>
      <c r="E807" s="258" t="s">
        <v>1020</v>
      </c>
      <c r="F807" s="244" t="s">
        <v>77</v>
      </c>
      <c r="G807" s="239"/>
      <c r="H807" s="240">
        <f t="shared" ref="H807:H865" si="18">I806</f>
        <v>0</v>
      </c>
      <c r="I807" s="240">
        <f t="shared" ref="I807:I865" si="19">H806</f>
        <v>200000</v>
      </c>
    </row>
    <row r="808" spans="2:9" ht="12.75" hidden="1" customHeight="1" x14ac:dyDescent="0.2">
      <c r="B808" s="238">
        <v>45870</v>
      </c>
      <c r="C808" s="239">
        <v>111</v>
      </c>
      <c r="D808" s="239" t="str">
        <f>IFERROR(VLOOKUP(C808,'Neraca Saldo'!$B$6:$C$56,2,0),"")</f>
        <v>Bank</v>
      </c>
      <c r="E808" s="258" t="s">
        <v>1046</v>
      </c>
      <c r="F808" s="244" t="s">
        <v>77</v>
      </c>
      <c r="G808" s="239"/>
      <c r="H808" s="245">
        <v>328000</v>
      </c>
      <c r="I808" s="240">
        <v>0</v>
      </c>
    </row>
    <row r="809" spans="2:9" ht="12.75" hidden="1" customHeight="1" x14ac:dyDescent="0.2">
      <c r="B809" s="238">
        <v>45870</v>
      </c>
      <c r="C809" s="239">
        <v>212</v>
      </c>
      <c r="D809" s="239" t="str">
        <f>IFERROR(VLOOKUP(C809,'Neraca Saldo'!$B$6:$C$56,2,0),"")</f>
        <v>Simpanan Karyawan</v>
      </c>
      <c r="E809" s="258" t="s">
        <v>1046</v>
      </c>
      <c r="F809" s="244" t="s">
        <v>77</v>
      </c>
      <c r="G809" s="239"/>
      <c r="H809" s="240">
        <f t="shared" si="18"/>
        <v>0</v>
      </c>
      <c r="I809" s="240">
        <f t="shared" si="19"/>
        <v>328000</v>
      </c>
    </row>
    <row r="810" spans="2:9" ht="12.75" hidden="1" customHeight="1" x14ac:dyDescent="0.2">
      <c r="B810" s="238">
        <v>45870</v>
      </c>
      <c r="C810" s="239">
        <v>111</v>
      </c>
      <c r="D810" s="239" t="str">
        <f>IFERROR(VLOOKUP(C810,'Neraca Saldo'!$B$6:$C$56,2,0),"")</f>
        <v>Bank</v>
      </c>
      <c r="E810" s="258" t="s">
        <v>1024</v>
      </c>
      <c r="F810" s="244" t="s">
        <v>77</v>
      </c>
      <c r="G810" s="239"/>
      <c r="H810" s="245">
        <v>200000</v>
      </c>
      <c r="I810" s="240">
        <v>0</v>
      </c>
    </row>
    <row r="811" spans="2:9" ht="12.75" hidden="1" customHeight="1" x14ac:dyDescent="0.2">
      <c r="B811" s="238">
        <v>45870</v>
      </c>
      <c r="C811" s="239">
        <v>212</v>
      </c>
      <c r="D811" s="239" t="str">
        <f>IFERROR(VLOOKUP(C811,'Neraca Saldo'!$B$6:$C$56,2,0),"")</f>
        <v>Simpanan Karyawan</v>
      </c>
      <c r="E811" s="258" t="s">
        <v>1024</v>
      </c>
      <c r="F811" s="244" t="s">
        <v>77</v>
      </c>
      <c r="G811" s="239"/>
      <c r="H811" s="240">
        <f t="shared" si="18"/>
        <v>0</v>
      </c>
      <c r="I811" s="240">
        <f t="shared" si="19"/>
        <v>200000</v>
      </c>
    </row>
    <row r="812" spans="2:9" ht="12.75" hidden="1" customHeight="1" x14ac:dyDescent="0.2">
      <c r="B812" s="238">
        <v>45870</v>
      </c>
      <c r="C812" s="239">
        <v>111</v>
      </c>
      <c r="D812" s="239" t="str">
        <f>IFERROR(VLOOKUP(C812,'Neraca Saldo'!$B$6:$C$56,2,0),"")</f>
        <v>Bank</v>
      </c>
      <c r="E812" s="258" t="s">
        <v>1100</v>
      </c>
      <c r="F812" s="244" t="s">
        <v>77</v>
      </c>
      <c r="G812" s="239"/>
      <c r="H812" s="245">
        <v>350000</v>
      </c>
      <c r="I812" s="240">
        <v>0</v>
      </c>
    </row>
    <row r="813" spans="2:9" ht="12.75" hidden="1" customHeight="1" x14ac:dyDescent="0.2">
      <c r="B813" s="238">
        <v>45870</v>
      </c>
      <c r="C813" s="239">
        <v>212</v>
      </c>
      <c r="D813" s="239" t="str">
        <f>IFERROR(VLOOKUP(C813,'Neraca Saldo'!$B$6:$C$56,2,0),"")</f>
        <v>Simpanan Karyawan</v>
      </c>
      <c r="E813" s="258" t="s">
        <v>1100</v>
      </c>
      <c r="F813" s="244" t="s">
        <v>77</v>
      </c>
      <c r="G813" s="239"/>
      <c r="H813" s="240">
        <f t="shared" si="18"/>
        <v>0</v>
      </c>
      <c r="I813" s="240">
        <f t="shared" si="19"/>
        <v>350000</v>
      </c>
    </row>
    <row r="814" spans="2:9" ht="12.75" hidden="1" customHeight="1" x14ac:dyDescent="0.2">
      <c r="B814" s="238">
        <v>45870</v>
      </c>
      <c r="C814" s="239">
        <v>111</v>
      </c>
      <c r="D814" s="239" t="str">
        <f>IFERROR(VLOOKUP(C814,'Neraca Saldo'!$B$6:$C$56,2,0),"")</f>
        <v>Bank</v>
      </c>
      <c r="E814" s="258" t="s">
        <v>1022</v>
      </c>
      <c r="F814" s="244" t="s">
        <v>77</v>
      </c>
      <c r="G814" s="239"/>
      <c r="H814" s="245">
        <v>200000</v>
      </c>
      <c r="I814" s="240">
        <v>0</v>
      </c>
    </row>
    <row r="815" spans="2:9" ht="12.75" hidden="1" customHeight="1" x14ac:dyDescent="0.2">
      <c r="B815" s="238">
        <v>45870</v>
      </c>
      <c r="C815" s="239">
        <v>212</v>
      </c>
      <c r="D815" s="239" t="str">
        <f>IFERROR(VLOOKUP(C815,'Neraca Saldo'!$B$6:$C$56,2,0),"")</f>
        <v>Simpanan Karyawan</v>
      </c>
      <c r="E815" s="258" t="s">
        <v>1022</v>
      </c>
      <c r="F815" s="244" t="s">
        <v>77</v>
      </c>
      <c r="G815" s="239"/>
      <c r="H815" s="240">
        <f t="shared" si="18"/>
        <v>0</v>
      </c>
      <c r="I815" s="240">
        <f t="shared" si="19"/>
        <v>200000</v>
      </c>
    </row>
    <row r="816" spans="2:9" ht="12.75" hidden="1" customHeight="1" x14ac:dyDescent="0.2">
      <c r="B816" s="238">
        <v>45870</v>
      </c>
      <c r="C816" s="239">
        <v>111</v>
      </c>
      <c r="D816" s="239" t="str">
        <f>IFERROR(VLOOKUP(C816,'Neraca Saldo'!$B$6:$C$56,2,0),"")</f>
        <v>Bank</v>
      </c>
      <c r="E816" s="258" t="s">
        <v>965</v>
      </c>
      <c r="F816" s="244" t="s">
        <v>77</v>
      </c>
      <c r="G816" s="239"/>
      <c r="H816" s="245">
        <v>1000000</v>
      </c>
      <c r="I816" s="240">
        <v>0</v>
      </c>
    </row>
    <row r="817" spans="2:9" ht="12.75" hidden="1" customHeight="1" x14ac:dyDescent="0.2">
      <c r="B817" s="238">
        <v>45870</v>
      </c>
      <c r="C817" s="239">
        <v>212</v>
      </c>
      <c r="D817" s="239" t="str">
        <f>IFERROR(VLOOKUP(C817,'Neraca Saldo'!$B$6:$C$56,2,0),"")</f>
        <v>Simpanan Karyawan</v>
      </c>
      <c r="E817" s="258" t="s">
        <v>965</v>
      </c>
      <c r="F817" s="244" t="s">
        <v>77</v>
      </c>
      <c r="G817" s="239"/>
      <c r="H817" s="240">
        <f t="shared" si="18"/>
        <v>0</v>
      </c>
      <c r="I817" s="240">
        <f t="shared" si="19"/>
        <v>1000000</v>
      </c>
    </row>
    <row r="818" spans="2:9" ht="12.75" hidden="1" customHeight="1" x14ac:dyDescent="0.2">
      <c r="B818" s="231">
        <v>45870</v>
      </c>
      <c r="C818" s="232">
        <v>112</v>
      </c>
      <c r="D818" s="232" t="str">
        <f>IFERROR(VLOOKUP(C818,'Neraca Saldo'!$B$6:$C$56,2,0),"")</f>
        <v>Kas</v>
      </c>
      <c r="E818" s="232" t="s">
        <v>838</v>
      </c>
      <c r="F818" s="234" t="s">
        <v>77</v>
      </c>
      <c r="G818" s="232"/>
      <c r="H818" s="246">
        <v>1000000</v>
      </c>
      <c r="I818" s="236">
        <v>0</v>
      </c>
    </row>
    <row r="819" spans="2:9" ht="12.75" hidden="1" customHeight="1" x14ac:dyDescent="0.2">
      <c r="B819" s="231">
        <v>45870</v>
      </c>
      <c r="C819" s="232">
        <v>111</v>
      </c>
      <c r="D819" s="232" t="str">
        <f>IFERROR(VLOOKUP(C819,'Neraca Saldo'!$B$6:$C$56,2,0),"")</f>
        <v>Bank</v>
      </c>
      <c r="E819" s="232" t="s">
        <v>838</v>
      </c>
      <c r="F819" s="234" t="s">
        <v>77</v>
      </c>
      <c r="G819" s="232"/>
      <c r="H819" s="236">
        <f t="shared" si="18"/>
        <v>0</v>
      </c>
      <c r="I819" s="236">
        <f t="shared" si="19"/>
        <v>1000000</v>
      </c>
    </row>
    <row r="820" spans="2:9" ht="12.75" hidden="1" customHeight="1" x14ac:dyDescent="0.2">
      <c r="B820" s="238">
        <v>45870</v>
      </c>
      <c r="C820" s="239">
        <v>111</v>
      </c>
      <c r="D820" s="239" t="str">
        <f>IFERROR(VLOOKUP(C820,'Neraca Saldo'!$B$6:$C$56,2,0),"")</f>
        <v>Bank</v>
      </c>
      <c r="E820" s="258" t="s">
        <v>1025</v>
      </c>
      <c r="F820" s="244" t="s">
        <v>77</v>
      </c>
      <c r="G820" s="239"/>
      <c r="H820" s="245">
        <v>200000</v>
      </c>
      <c r="I820" s="240">
        <v>0</v>
      </c>
    </row>
    <row r="821" spans="2:9" ht="12.75" hidden="1" customHeight="1" x14ac:dyDescent="0.2">
      <c r="B821" s="238">
        <v>45870</v>
      </c>
      <c r="C821" s="239">
        <v>212</v>
      </c>
      <c r="D821" s="239" t="str">
        <f>IFERROR(VLOOKUP(C821,'Neraca Saldo'!$B$6:$C$56,2,0),"")</f>
        <v>Simpanan Karyawan</v>
      </c>
      <c r="E821" s="258" t="s">
        <v>1025</v>
      </c>
      <c r="F821" s="244" t="s">
        <v>77</v>
      </c>
      <c r="G821" s="239"/>
      <c r="H821" s="240">
        <f t="shared" si="18"/>
        <v>0</v>
      </c>
      <c r="I821" s="240">
        <f t="shared" si="19"/>
        <v>200000</v>
      </c>
    </row>
    <row r="822" spans="2:9" ht="12.75" hidden="1" customHeight="1" x14ac:dyDescent="0.2">
      <c r="B822" s="238">
        <v>45870</v>
      </c>
      <c r="C822" s="239">
        <v>111</v>
      </c>
      <c r="D822" s="239" t="str">
        <f>IFERROR(VLOOKUP(C822,'Neraca Saldo'!$B$6:$C$56,2,0),"")</f>
        <v>Bank</v>
      </c>
      <c r="E822" s="258" t="s">
        <v>1026</v>
      </c>
      <c r="F822" s="244" t="s">
        <v>77</v>
      </c>
      <c r="G822" s="239"/>
      <c r="H822" s="245">
        <v>241000</v>
      </c>
      <c r="I822" s="240">
        <v>0</v>
      </c>
    </row>
    <row r="823" spans="2:9" ht="12.75" hidden="1" customHeight="1" x14ac:dyDescent="0.2">
      <c r="B823" s="238">
        <v>45870</v>
      </c>
      <c r="C823" s="239">
        <v>212</v>
      </c>
      <c r="D823" s="239" t="str">
        <f>IFERROR(VLOOKUP(C823,'Neraca Saldo'!$B$6:$C$56,2,0),"")</f>
        <v>Simpanan Karyawan</v>
      </c>
      <c r="E823" s="258" t="s">
        <v>1026</v>
      </c>
      <c r="F823" s="244" t="s">
        <v>77</v>
      </c>
      <c r="G823" s="239"/>
      <c r="H823" s="240">
        <f t="shared" si="18"/>
        <v>0</v>
      </c>
      <c r="I823" s="240">
        <f t="shared" si="19"/>
        <v>241000</v>
      </c>
    </row>
    <row r="824" spans="2:9" ht="12.75" hidden="1" customHeight="1" x14ac:dyDescent="0.2">
      <c r="B824" s="238">
        <v>45870</v>
      </c>
      <c r="C824" s="239">
        <v>111</v>
      </c>
      <c r="D824" s="239" t="str">
        <f>IFERROR(VLOOKUP(C824,'Neraca Saldo'!$B$6:$C$56,2,0),"")</f>
        <v>Bank</v>
      </c>
      <c r="E824" s="258" t="s">
        <v>1067</v>
      </c>
      <c r="F824" s="244" t="s">
        <v>77</v>
      </c>
      <c r="G824" s="239"/>
      <c r="H824" s="245">
        <v>200000</v>
      </c>
      <c r="I824" s="240">
        <v>0</v>
      </c>
    </row>
    <row r="825" spans="2:9" ht="12.75" hidden="1" customHeight="1" x14ac:dyDescent="0.2">
      <c r="B825" s="238">
        <v>45870</v>
      </c>
      <c r="C825" s="239">
        <v>212</v>
      </c>
      <c r="D825" s="239" t="str">
        <f>IFERROR(VLOOKUP(C825,'Neraca Saldo'!$B$6:$C$56,2,0),"")</f>
        <v>Simpanan Karyawan</v>
      </c>
      <c r="E825" s="258" t="s">
        <v>1067</v>
      </c>
      <c r="F825" s="244" t="s">
        <v>77</v>
      </c>
      <c r="G825" s="239"/>
      <c r="H825" s="240">
        <f t="shared" si="18"/>
        <v>0</v>
      </c>
      <c r="I825" s="240">
        <f t="shared" si="19"/>
        <v>200000</v>
      </c>
    </row>
    <row r="826" spans="2:9" ht="12.75" hidden="1" customHeight="1" x14ac:dyDescent="0.2">
      <c r="B826" s="238">
        <v>45870</v>
      </c>
      <c r="C826" s="239">
        <v>111</v>
      </c>
      <c r="D826" s="239" t="str">
        <f>IFERROR(VLOOKUP(C826,'Neraca Saldo'!$B$6:$C$56,2,0),"")</f>
        <v>Bank</v>
      </c>
      <c r="E826" s="258" t="s">
        <v>1101</v>
      </c>
      <c r="F826" s="244" t="s">
        <v>77</v>
      </c>
      <c r="G826" s="239"/>
      <c r="H826" s="245">
        <v>81000</v>
      </c>
      <c r="I826" s="240">
        <v>0</v>
      </c>
    </row>
    <row r="827" spans="2:9" ht="12.75" hidden="1" customHeight="1" x14ac:dyDescent="0.2">
      <c r="B827" s="238">
        <v>45870</v>
      </c>
      <c r="C827" s="239">
        <v>212</v>
      </c>
      <c r="D827" s="239" t="str">
        <f>IFERROR(VLOOKUP(C827,'Neraca Saldo'!$B$6:$C$56,2,0),"")</f>
        <v>Simpanan Karyawan</v>
      </c>
      <c r="E827" s="258" t="s">
        <v>1101</v>
      </c>
      <c r="F827" s="244" t="s">
        <v>77</v>
      </c>
      <c r="G827" s="239"/>
      <c r="H827" s="240">
        <f t="shared" si="18"/>
        <v>0</v>
      </c>
      <c r="I827" s="240">
        <f t="shared" si="19"/>
        <v>81000</v>
      </c>
    </row>
    <row r="828" spans="2:9" ht="12.75" hidden="1" customHeight="1" x14ac:dyDescent="0.2">
      <c r="B828" s="238">
        <v>45870</v>
      </c>
      <c r="C828" s="239">
        <v>111</v>
      </c>
      <c r="D828" s="239" t="str">
        <f>IFERROR(VLOOKUP(C828,'Neraca Saldo'!$B$6:$C$56,2,0),"")</f>
        <v>Bank</v>
      </c>
      <c r="E828" s="258" t="s">
        <v>989</v>
      </c>
      <c r="F828" s="244" t="s">
        <v>77</v>
      </c>
      <c r="G828" s="239"/>
      <c r="H828" s="245">
        <v>200000</v>
      </c>
      <c r="I828" s="240">
        <v>0</v>
      </c>
    </row>
    <row r="829" spans="2:9" ht="12.75" hidden="1" customHeight="1" x14ac:dyDescent="0.2">
      <c r="B829" s="238">
        <v>45870</v>
      </c>
      <c r="C829" s="239">
        <v>212</v>
      </c>
      <c r="D829" s="239" t="str">
        <f>IFERROR(VLOOKUP(C829,'Neraca Saldo'!$B$6:$C$56,2,0),"")</f>
        <v>Simpanan Karyawan</v>
      </c>
      <c r="E829" s="258" t="s">
        <v>989</v>
      </c>
      <c r="F829" s="244" t="s">
        <v>77</v>
      </c>
      <c r="G829" s="239"/>
      <c r="H829" s="240">
        <f t="shared" si="18"/>
        <v>0</v>
      </c>
      <c r="I829" s="240">
        <f t="shared" si="19"/>
        <v>200000</v>
      </c>
    </row>
    <row r="830" spans="2:9" ht="12.75" hidden="1" customHeight="1" x14ac:dyDescent="0.2">
      <c r="B830" s="238">
        <v>45870</v>
      </c>
      <c r="C830" s="239">
        <v>111</v>
      </c>
      <c r="D830" s="239" t="str">
        <f>IFERROR(VLOOKUP(C830,'Neraca Saldo'!$B$6:$C$56,2,0),"")</f>
        <v>Bank</v>
      </c>
      <c r="E830" s="258" t="s">
        <v>1016</v>
      </c>
      <c r="F830" s="244" t="s">
        <v>77</v>
      </c>
      <c r="G830" s="239"/>
      <c r="H830" s="245">
        <v>200000</v>
      </c>
      <c r="I830" s="240">
        <v>0</v>
      </c>
    </row>
    <row r="831" spans="2:9" ht="12.75" hidden="1" customHeight="1" x14ac:dyDescent="0.2">
      <c r="B831" s="238">
        <v>45870</v>
      </c>
      <c r="C831" s="239">
        <v>212</v>
      </c>
      <c r="D831" s="239" t="str">
        <f>IFERROR(VLOOKUP(C831,'Neraca Saldo'!$B$6:$C$56,2,0),"")</f>
        <v>Simpanan Karyawan</v>
      </c>
      <c r="E831" s="258" t="s">
        <v>1016</v>
      </c>
      <c r="F831" s="244" t="s">
        <v>77</v>
      </c>
      <c r="G831" s="239"/>
      <c r="H831" s="240">
        <f t="shared" si="18"/>
        <v>0</v>
      </c>
      <c r="I831" s="240">
        <f t="shared" si="19"/>
        <v>200000</v>
      </c>
    </row>
    <row r="832" spans="2:9" ht="12.75" hidden="1" customHeight="1" x14ac:dyDescent="0.2">
      <c r="B832" s="238">
        <v>45870</v>
      </c>
      <c r="C832" s="239">
        <v>111</v>
      </c>
      <c r="D832" s="239" t="str">
        <f>IFERROR(VLOOKUP(C832,'Neraca Saldo'!$B$6:$C$56,2,0),"")</f>
        <v>Bank</v>
      </c>
      <c r="E832" s="258" t="s">
        <v>1102</v>
      </c>
      <c r="F832" s="244" t="s">
        <v>77</v>
      </c>
      <c r="G832" s="239"/>
      <c r="H832" s="245">
        <v>164000</v>
      </c>
      <c r="I832" s="240">
        <v>0</v>
      </c>
    </row>
    <row r="833" spans="2:9" ht="12.75" hidden="1" customHeight="1" x14ac:dyDescent="0.2">
      <c r="B833" s="238">
        <v>45870</v>
      </c>
      <c r="C833" s="239">
        <v>212</v>
      </c>
      <c r="D833" s="239" t="str">
        <f>IFERROR(VLOOKUP(C833,'Neraca Saldo'!$B$6:$C$56,2,0),"")</f>
        <v>Simpanan Karyawan</v>
      </c>
      <c r="E833" s="258" t="s">
        <v>1102</v>
      </c>
      <c r="F833" s="244" t="s">
        <v>77</v>
      </c>
      <c r="G833" s="239"/>
      <c r="H833" s="240">
        <f t="shared" si="18"/>
        <v>0</v>
      </c>
      <c r="I833" s="240">
        <f t="shared" si="19"/>
        <v>164000</v>
      </c>
    </row>
    <row r="834" spans="2:9" ht="12.75" hidden="1" customHeight="1" x14ac:dyDescent="0.2">
      <c r="B834" s="238">
        <v>45871</v>
      </c>
      <c r="C834" s="239">
        <v>111</v>
      </c>
      <c r="D834" s="239" t="str">
        <f>IFERROR(VLOOKUP(C834,'Neraca Saldo'!$B$6:$C$56,2,0),"")</f>
        <v>Bank</v>
      </c>
      <c r="E834" s="258" t="s">
        <v>1103</v>
      </c>
      <c r="F834" s="244" t="s">
        <v>77</v>
      </c>
      <c r="G834" s="239"/>
      <c r="H834" s="245">
        <v>350000</v>
      </c>
      <c r="I834" s="240">
        <v>0</v>
      </c>
    </row>
    <row r="835" spans="2:9" ht="12.75" hidden="1" customHeight="1" x14ac:dyDescent="0.2">
      <c r="B835" s="238">
        <v>45871</v>
      </c>
      <c r="C835" s="239">
        <v>212</v>
      </c>
      <c r="D835" s="239" t="str">
        <f>IFERROR(VLOOKUP(C835,'Neraca Saldo'!$B$6:$C$56,2,0),"")</f>
        <v>Simpanan Karyawan</v>
      </c>
      <c r="E835" s="258" t="s">
        <v>1103</v>
      </c>
      <c r="F835" s="244" t="s">
        <v>77</v>
      </c>
      <c r="G835" s="239"/>
      <c r="H835" s="240">
        <f t="shared" si="18"/>
        <v>0</v>
      </c>
      <c r="I835" s="240">
        <f t="shared" si="19"/>
        <v>350000</v>
      </c>
    </row>
    <row r="836" spans="2:9" ht="12.75" hidden="1" customHeight="1" x14ac:dyDescent="0.2">
      <c r="B836" s="238">
        <v>45871</v>
      </c>
      <c r="C836" s="239">
        <v>111</v>
      </c>
      <c r="D836" s="239" t="str">
        <f>IFERROR(VLOOKUP(C836,'Neraca Saldo'!$B$6:$C$56,2,0),"")</f>
        <v>Bank</v>
      </c>
      <c r="E836" s="258" t="s">
        <v>1018</v>
      </c>
      <c r="F836" s="244" t="s">
        <v>77</v>
      </c>
      <c r="G836" s="239"/>
      <c r="H836" s="245">
        <v>200000</v>
      </c>
      <c r="I836" s="240">
        <v>0</v>
      </c>
    </row>
    <row r="837" spans="2:9" ht="12.75" hidden="1" customHeight="1" x14ac:dyDescent="0.2">
      <c r="B837" s="238">
        <v>45871</v>
      </c>
      <c r="C837" s="239">
        <v>212</v>
      </c>
      <c r="D837" s="239" t="str">
        <f>IFERROR(VLOOKUP(C837,'Neraca Saldo'!$B$6:$C$56,2,0),"")</f>
        <v>Simpanan Karyawan</v>
      </c>
      <c r="E837" s="258" t="s">
        <v>1018</v>
      </c>
      <c r="F837" s="244" t="s">
        <v>77</v>
      </c>
      <c r="G837" s="239"/>
      <c r="H837" s="240">
        <f t="shared" si="18"/>
        <v>0</v>
      </c>
      <c r="I837" s="240">
        <f t="shared" si="19"/>
        <v>200000</v>
      </c>
    </row>
    <row r="838" spans="2:9" ht="12.75" hidden="1" customHeight="1" x14ac:dyDescent="0.2">
      <c r="B838" s="238">
        <v>45873</v>
      </c>
      <c r="C838" s="239">
        <v>111</v>
      </c>
      <c r="D838" s="239" t="str">
        <f>IFERROR(VLOOKUP(C838,'Neraca Saldo'!$B$6:$C$56,2,0),"")</f>
        <v>Bank</v>
      </c>
      <c r="E838" s="258" t="s">
        <v>1068</v>
      </c>
      <c r="F838" s="244" t="s">
        <v>77</v>
      </c>
      <c r="G838" s="239"/>
      <c r="H838" s="245">
        <v>200000</v>
      </c>
      <c r="I838" s="240">
        <v>0</v>
      </c>
    </row>
    <row r="839" spans="2:9" ht="12.75" hidden="1" customHeight="1" x14ac:dyDescent="0.2">
      <c r="B839" s="238">
        <v>45873</v>
      </c>
      <c r="C839" s="239">
        <v>212</v>
      </c>
      <c r="D839" s="239" t="str">
        <f>IFERROR(VLOOKUP(C839,'Neraca Saldo'!$B$6:$C$56,2,0),"")</f>
        <v>Simpanan Karyawan</v>
      </c>
      <c r="E839" s="258" t="s">
        <v>1068</v>
      </c>
      <c r="F839" s="244" t="s">
        <v>77</v>
      </c>
      <c r="G839" s="239"/>
      <c r="H839" s="240">
        <f t="shared" si="18"/>
        <v>0</v>
      </c>
      <c r="I839" s="240">
        <f t="shared" si="19"/>
        <v>200000</v>
      </c>
    </row>
    <row r="840" spans="2:9" ht="12.75" customHeight="1" x14ac:dyDescent="0.2">
      <c r="B840" s="231">
        <v>45876</v>
      </c>
      <c r="C840" s="232">
        <v>513</v>
      </c>
      <c r="D840" s="232" t="str">
        <f>IFERROR(VLOOKUP(C840,'Neraca Saldo'!$B$6:$C$56,2,0),"")</f>
        <v>Beban Pengurus dan Anggota</v>
      </c>
      <c r="E840" s="194" t="s">
        <v>839</v>
      </c>
      <c r="F840" s="234" t="s">
        <v>838</v>
      </c>
      <c r="G840" s="232"/>
      <c r="H840" s="188">
        <v>328600</v>
      </c>
      <c r="I840" s="236">
        <v>0</v>
      </c>
    </row>
    <row r="841" spans="2:9" ht="12.75" hidden="1" customHeight="1" x14ac:dyDescent="0.2">
      <c r="B841" s="231">
        <v>45876</v>
      </c>
      <c r="C841" s="232">
        <v>112</v>
      </c>
      <c r="D841" s="232" t="str">
        <f>IFERROR(VLOOKUP(C841,'Neraca Saldo'!$B$6:$C$56,2,0),"")</f>
        <v>Kas</v>
      </c>
      <c r="E841" s="194" t="s">
        <v>839</v>
      </c>
      <c r="F841" s="234" t="s">
        <v>838</v>
      </c>
      <c r="G841" s="232"/>
      <c r="H841" s="236">
        <f t="shared" si="18"/>
        <v>0</v>
      </c>
      <c r="I841" s="236">
        <f t="shared" si="19"/>
        <v>328600</v>
      </c>
    </row>
    <row r="842" spans="2:9" ht="12.75" hidden="1" customHeight="1" x14ac:dyDescent="0.2">
      <c r="B842" s="238">
        <v>45877</v>
      </c>
      <c r="C842" s="239">
        <v>111</v>
      </c>
      <c r="D842" s="239" t="str">
        <f>IFERROR(VLOOKUP(C842,'Neraca Saldo'!$B$6:$C$56,2,0),"")</f>
        <v>Bank</v>
      </c>
      <c r="E842" s="258" t="s">
        <v>1031</v>
      </c>
      <c r="F842" s="244" t="s">
        <v>77</v>
      </c>
      <c r="G842" s="239"/>
      <c r="H842" s="245">
        <v>200000</v>
      </c>
      <c r="I842" s="240">
        <v>0</v>
      </c>
    </row>
    <row r="843" spans="2:9" ht="12.75" hidden="1" customHeight="1" x14ac:dyDescent="0.2">
      <c r="B843" s="238">
        <v>45877</v>
      </c>
      <c r="C843" s="239">
        <v>212</v>
      </c>
      <c r="D843" s="239" t="str">
        <f>IFERROR(VLOOKUP(C843,'Neraca Saldo'!$B$6:$C$56,2,0),"")</f>
        <v>Simpanan Karyawan</v>
      </c>
      <c r="E843" s="258" t="s">
        <v>1031</v>
      </c>
      <c r="F843" s="244" t="s">
        <v>77</v>
      </c>
      <c r="G843" s="239"/>
      <c r="H843" s="240">
        <f t="shared" si="18"/>
        <v>0</v>
      </c>
      <c r="I843" s="240">
        <f t="shared" si="19"/>
        <v>200000</v>
      </c>
    </row>
    <row r="844" spans="2:9" ht="12.75" hidden="1" customHeight="1" x14ac:dyDescent="0.2">
      <c r="B844" s="238">
        <v>45877</v>
      </c>
      <c r="C844" s="239">
        <v>111</v>
      </c>
      <c r="D844" s="239" t="str">
        <f>IFERROR(VLOOKUP(C844,'Neraca Saldo'!$B$6:$C$56,2,0),"")</f>
        <v>Bank</v>
      </c>
      <c r="E844" s="258" t="s">
        <v>940</v>
      </c>
      <c r="F844" s="244" t="s">
        <v>77</v>
      </c>
      <c r="G844" s="239"/>
      <c r="H844" s="245">
        <v>1000000</v>
      </c>
      <c r="I844" s="240">
        <v>0</v>
      </c>
    </row>
    <row r="845" spans="2:9" ht="12.75" hidden="1" customHeight="1" x14ac:dyDescent="0.2">
      <c r="B845" s="238">
        <v>45877</v>
      </c>
      <c r="C845" s="239">
        <v>212</v>
      </c>
      <c r="D845" s="239" t="str">
        <f>IFERROR(VLOOKUP(C845,'Neraca Saldo'!$B$6:$C$56,2,0),"")</f>
        <v>Simpanan Karyawan</v>
      </c>
      <c r="E845" s="258" t="s">
        <v>940</v>
      </c>
      <c r="F845" s="244" t="s">
        <v>77</v>
      </c>
      <c r="G845" s="239"/>
      <c r="H845" s="240">
        <f t="shared" si="18"/>
        <v>0</v>
      </c>
      <c r="I845" s="240">
        <f t="shared" si="19"/>
        <v>1000000</v>
      </c>
    </row>
    <row r="846" spans="2:9" ht="12.75" hidden="1" customHeight="1" x14ac:dyDescent="0.2">
      <c r="B846" s="238">
        <v>45879</v>
      </c>
      <c r="C846" s="239">
        <v>111</v>
      </c>
      <c r="D846" s="239" t="str">
        <f>IFERROR(VLOOKUP(C846,'Neraca Saldo'!$B$6:$C$56,2,0),"")</f>
        <v>Bank</v>
      </c>
      <c r="E846" s="258" t="s">
        <v>1029</v>
      </c>
      <c r="F846" s="244" t="s">
        <v>77</v>
      </c>
      <c r="G846" s="239"/>
      <c r="H846" s="245">
        <v>200000</v>
      </c>
      <c r="I846" s="240">
        <v>0</v>
      </c>
    </row>
    <row r="847" spans="2:9" ht="12.75" hidden="1" customHeight="1" x14ac:dyDescent="0.2">
      <c r="B847" s="238">
        <v>45879</v>
      </c>
      <c r="C847" s="239">
        <v>212</v>
      </c>
      <c r="D847" s="239" t="str">
        <f>IFERROR(VLOOKUP(C847,'Neraca Saldo'!$B$6:$C$56,2,0),"")</f>
        <v>Simpanan Karyawan</v>
      </c>
      <c r="E847" s="258" t="s">
        <v>1029</v>
      </c>
      <c r="F847" s="244" t="s">
        <v>77</v>
      </c>
      <c r="G847" s="239"/>
      <c r="H847" s="240">
        <f t="shared" si="18"/>
        <v>0</v>
      </c>
      <c r="I847" s="240">
        <f t="shared" si="19"/>
        <v>200000</v>
      </c>
    </row>
    <row r="848" spans="2:9" ht="12.75" hidden="1" customHeight="1" x14ac:dyDescent="0.2">
      <c r="B848" s="238">
        <v>45880</v>
      </c>
      <c r="C848" s="239">
        <v>111</v>
      </c>
      <c r="D848" s="239" t="str">
        <f>IFERROR(VLOOKUP(C848,'Neraca Saldo'!$B$6:$C$56,2,0),"")</f>
        <v>Bank</v>
      </c>
      <c r="E848" s="258" t="s">
        <v>1104</v>
      </c>
      <c r="F848" s="244" t="s">
        <v>77</v>
      </c>
      <c r="G848" s="239"/>
      <c r="H848" s="245">
        <v>5000000</v>
      </c>
      <c r="I848" s="240">
        <v>0</v>
      </c>
    </row>
    <row r="849" spans="2:9" ht="12.75" hidden="1" customHeight="1" x14ac:dyDescent="0.2">
      <c r="B849" s="238">
        <v>45880</v>
      </c>
      <c r="C849" s="239">
        <v>212</v>
      </c>
      <c r="D849" s="239" t="str">
        <f>IFERROR(VLOOKUP(C849,'Neraca Saldo'!$B$6:$C$56,2,0),"")</f>
        <v>Simpanan Karyawan</v>
      </c>
      <c r="E849" s="258" t="s">
        <v>1104</v>
      </c>
      <c r="F849" s="244" t="s">
        <v>77</v>
      </c>
      <c r="G849" s="239"/>
      <c r="H849" s="240">
        <f t="shared" si="18"/>
        <v>0</v>
      </c>
      <c r="I849" s="240">
        <f t="shared" si="19"/>
        <v>5000000</v>
      </c>
    </row>
    <row r="850" spans="2:9" ht="12.75" hidden="1" customHeight="1" x14ac:dyDescent="0.2">
      <c r="B850" s="231">
        <v>45880</v>
      </c>
      <c r="C850" s="232">
        <v>515</v>
      </c>
      <c r="D850" s="232" t="str">
        <f>IFERROR(VLOOKUP(C850,'Neraca Saldo'!$B$6:$C$56,2,0),"")</f>
        <v>Beban Gaji</v>
      </c>
      <c r="E850" s="194" t="s">
        <v>1105</v>
      </c>
      <c r="F850" s="234" t="s">
        <v>838</v>
      </c>
      <c r="G850" s="232"/>
      <c r="H850" s="188">
        <v>5500000</v>
      </c>
      <c r="I850" s="236">
        <v>0</v>
      </c>
    </row>
    <row r="851" spans="2:9" ht="12.75" hidden="1" customHeight="1" x14ac:dyDescent="0.2">
      <c r="B851" s="231">
        <v>45880</v>
      </c>
      <c r="C851" s="232">
        <v>112</v>
      </c>
      <c r="D851" s="232" t="str">
        <f>IFERROR(VLOOKUP(C851,'Neraca Saldo'!$B$6:$C$56,2,0),"")</f>
        <v>Kas</v>
      </c>
      <c r="E851" s="194" t="s">
        <v>1105</v>
      </c>
      <c r="F851" s="234" t="s">
        <v>838</v>
      </c>
      <c r="G851" s="232"/>
      <c r="H851" s="236">
        <f t="shared" si="18"/>
        <v>0</v>
      </c>
      <c r="I851" s="236">
        <f t="shared" si="19"/>
        <v>5500000</v>
      </c>
    </row>
    <row r="852" spans="2:9" ht="12.75" hidden="1" customHeight="1" x14ac:dyDescent="0.2">
      <c r="B852" s="238">
        <v>45880</v>
      </c>
      <c r="C852" s="239">
        <v>111</v>
      </c>
      <c r="D852" s="239" t="str">
        <f>IFERROR(VLOOKUP(C852,'Neraca Saldo'!$B$6:$C$56,2,0),"")</f>
        <v>Bank</v>
      </c>
      <c r="E852" s="258" t="s">
        <v>927</v>
      </c>
      <c r="F852" s="244" t="s">
        <v>77</v>
      </c>
      <c r="G852" s="239"/>
      <c r="H852" s="245">
        <v>700000</v>
      </c>
      <c r="I852" s="240">
        <v>0</v>
      </c>
    </row>
    <row r="853" spans="2:9" ht="12.75" hidden="1" customHeight="1" x14ac:dyDescent="0.2">
      <c r="B853" s="238">
        <v>45880</v>
      </c>
      <c r="C853" s="239">
        <v>212</v>
      </c>
      <c r="D853" s="239" t="str">
        <f>IFERROR(VLOOKUP(C853,'Neraca Saldo'!$B$6:$C$56,2,0),"")</f>
        <v>Simpanan Karyawan</v>
      </c>
      <c r="E853" s="258" t="s">
        <v>927</v>
      </c>
      <c r="F853" s="244" t="s">
        <v>77</v>
      </c>
      <c r="G853" s="239"/>
      <c r="H853" s="240">
        <f t="shared" si="18"/>
        <v>0</v>
      </c>
      <c r="I853" s="240">
        <f t="shared" si="19"/>
        <v>700000</v>
      </c>
    </row>
    <row r="854" spans="2:9" ht="12.75" hidden="1" customHeight="1" x14ac:dyDescent="0.2">
      <c r="B854" s="238">
        <v>45880</v>
      </c>
      <c r="C854" s="239">
        <v>111</v>
      </c>
      <c r="D854" s="239" t="str">
        <f>IFERROR(VLOOKUP(C854,'Neraca Saldo'!$B$6:$C$56,2,0),"")</f>
        <v>Bank</v>
      </c>
      <c r="E854" s="258" t="s">
        <v>964</v>
      </c>
      <c r="F854" s="244" t="s">
        <v>77</v>
      </c>
      <c r="G854" s="239"/>
      <c r="H854" s="245">
        <v>600000</v>
      </c>
      <c r="I854" s="240">
        <v>0</v>
      </c>
    </row>
    <row r="855" spans="2:9" ht="12.75" hidden="1" customHeight="1" x14ac:dyDescent="0.2">
      <c r="B855" s="238">
        <v>45880</v>
      </c>
      <c r="C855" s="239">
        <v>212</v>
      </c>
      <c r="D855" s="239" t="str">
        <f>IFERROR(VLOOKUP(C855,'Neraca Saldo'!$B$6:$C$56,2,0),"")</f>
        <v>Simpanan Karyawan</v>
      </c>
      <c r="E855" s="258" t="s">
        <v>964</v>
      </c>
      <c r="F855" s="244" t="s">
        <v>77</v>
      </c>
      <c r="G855" s="239"/>
      <c r="H855" s="240">
        <f t="shared" si="18"/>
        <v>0</v>
      </c>
      <c r="I855" s="240">
        <f t="shared" si="19"/>
        <v>600000</v>
      </c>
    </row>
    <row r="856" spans="2:9" ht="12.75" hidden="1" customHeight="1" x14ac:dyDescent="0.2">
      <c r="B856" s="238">
        <v>45880</v>
      </c>
      <c r="C856" s="239">
        <v>111</v>
      </c>
      <c r="D856" s="239" t="str">
        <f>IFERROR(VLOOKUP(C856,'Neraca Saldo'!$B$6:$C$56,2,0),"")</f>
        <v>Bank</v>
      </c>
      <c r="E856" s="258" t="s">
        <v>965</v>
      </c>
      <c r="F856" s="244" t="s">
        <v>77</v>
      </c>
      <c r="G856" s="239"/>
      <c r="H856" s="245">
        <v>650000</v>
      </c>
      <c r="I856" s="240">
        <v>0</v>
      </c>
    </row>
    <row r="857" spans="2:9" ht="12.75" hidden="1" customHeight="1" x14ac:dyDescent="0.2">
      <c r="B857" s="238">
        <v>45880</v>
      </c>
      <c r="C857" s="239">
        <v>212</v>
      </c>
      <c r="D857" s="239" t="str">
        <f>IFERROR(VLOOKUP(C857,'Neraca Saldo'!$B$6:$C$56,2,0),"")</f>
        <v>Simpanan Karyawan</v>
      </c>
      <c r="E857" s="258" t="s">
        <v>965</v>
      </c>
      <c r="F857" s="244" t="s">
        <v>77</v>
      </c>
      <c r="G857" s="239"/>
      <c r="H857" s="240">
        <f t="shared" si="18"/>
        <v>0</v>
      </c>
      <c r="I857" s="240">
        <f t="shared" si="19"/>
        <v>650000</v>
      </c>
    </row>
    <row r="858" spans="2:9" ht="12.75" hidden="1" customHeight="1" x14ac:dyDescent="0.2">
      <c r="B858" s="238">
        <v>45880</v>
      </c>
      <c r="C858" s="239">
        <v>111</v>
      </c>
      <c r="D858" s="239" t="str">
        <f>IFERROR(VLOOKUP(C858,'Neraca Saldo'!$B$6:$C$56,2,0),"")</f>
        <v>Bank</v>
      </c>
      <c r="E858" s="258" t="s">
        <v>1049</v>
      </c>
      <c r="F858" s="244" t="s">
        <v>77</v>
      </c>
      <c r="G858" s="239"/>
      <c r="H858" s="245">
        <v>600000</v>
      </c>
      <c r="I858" s="240">
        <v>0</v>
      </c>
    </row>
    <row r="859" spans="2:9" ht="12.75" hidden="1" customHeight="1" x14ac:dyDescent="0.2">
      <c r="B859" s="238">
        <v>45880</v>
      </c>
      <c r="C859" s="239">
        <v>212</v>
      </c>
      <c r="D859" s="239" t="str">
        <f>IFERROR(VLOOKUP(C859,'Neraca Saldo'!$B$6:$C$56,2,0),"")</f>
        <v>Simpanan Karyawan</v>
      </c>
      <c r="E859" s="258" t="s">
        <v>1049</v>
      </c>
      <c r="F859" s="244" t="s">
        <v>77</v>
      </c>
      <c r="G859" s="239"/>
      <c r="H859" s="240">
        <f t="shared" si="18"/>
        <v>0</v>
      </c>
      <c r="I859" s="240">
        <f t="shared" si="19"/>
        <v>600000</v>
      </c>
    </row>
    <row r="860" spans="2:9" ht="12.75" hidden="1" customHeight="1" x14ac:dyDescent="0.2">
      <c r="B860" s="238">
        <v>45880</v>
      </c>
      <c r="C860" s="239">
        <v>111</v>
      </c>
      <c r="D860" s="239" t="str">
        <f>IFERROR(VLOOKUP(C860,'Neraca Saldo'!$B$6:$C$56,2,0),"")</f>
        <v>Bank</v>
      </c>
      <c r="E860" s="258" t="s">
        <v>1050</v>
      </c>
      <c r="F860" s="244" t="s">
        <v>77</v>
      </c>
      <c r="G860" s="239"/>
      <c r="H860" s="245">
        <v>450000</v>
      </c>
      <c r="I860" s="240">
        <v>0</v>
      </c>
    </row>
    <row r="861" spans="2:9" ht="12.75" hidden="1" customHeight="1" x14ac:dyDescent="0.2">
      <c r="B861" s="238">
        <v>45880</v>
      </c>
      <c r="C861" s="239">
        <v>212</v>
      </c>
      <c r="D861" s="239" t="str">
        <f>IFERROR(VLOOKUP(C861,'Neraca Saldo'!$B$6:$C$56,2,0),"")</f>
        <v>Simpanan Karyawan</v>
      </c>
      <c r="E861" s="258" t="s">
        <v>1050</v>
      </c>
      <c r="F861" s="244" t="s">
        <v>77</v>
      </c>
      <c r="G861" s="239"/>
      <c r="H861" s="240">
        <f t="shared" si="18"/>
        <v>0</v>
      </c>
      <c r="I861" s="240">
        <f t="shared" si="19"/>
        <v>450000</v>
      </c>
    </row>
    <row r="862" spans="2:9" ht="12.75" hidden="1" customHeight="1" x14ac:dyDescent="0.2">
      <c r="B862" s="238">
        <v>45880</v>
      </c>
      <c r="C862" s="239">
        <v>111</v>
      </c>
      <c r="D862" s="239" t="str">
        <f>IFERROR(VLOOKUP(C862,'Neraca Saldo'!$B$6:$C$56,2,0),"")</f>
        <v>Bank</v>
      </c>
      <c r="E862" s="258" t="s">
        <v>1077</v>
      </c>
      <c r="F862" s="244" t="s">
        <v>77</v>
      </c>
      <c r="G862" s="239"/>
      <c r="H862" s="245">
        <v>550000</v>
      </c>
      <c r="I862" s="240">
        <v>0</v>
      </c>
    </row>
    <row r="863" spans="2:9" ht="12.75" hidden="1" customHeight="1" x14ac:dyDescent="0.2">
      <c r="B863" s="238">
        <v>45880</v>
      </c>
      <c r="C863" s="239">
        <v>212</v>
      </c>
      <c r="D863" s="239" t="str">
        <f>IFERROR(VLOOKUP(C863,'Neraca Saldo'!$B$6:$C$56,2,0),"")</f>
        <v>Simpanan Karyawan</v>
      </c>
      <c r="E863" s="258" t="s">
        <v>1077</v>
      </c>
      <c r="F863" s="244" t="s">
        <v>77</v>
      </c>
      <c r="G863" s="239"/>
      <c r="H863" s="240">
        <f t="shared" si="18"/>
        <v>0</v>
      </c>
      <c r="I863" s="240">
        <f t="shared" si="19"/>
        <v>550000</v>
      </c>
    </row>
    <row r="864" spans="2:9" ht="12.75" hidden="1" customHeight="1" x14ac:dyDescent="0.2">
      <c r="B864" s="231">
        <v>45880</v>
      </c>
      <c r="C864" s="232">
        <v>112</v>
      </c>
      <c r="D864" s="232" t="str">
        <f>IFERROR(VLOOKUP(C864,'Neraca Saldo'!$B$6:$C$56,2,0),"")</f>
        <v>Kas</v>
      </c>
      <c r="E864" s="232" t="s">
        <v>838</v>
      </c>
      <c r="F864" s="234" t="s">
        <v>77</v>
      </c>
      <c r="G864" s="232"/>
      <c r="H864" s="196">
        <v>3550000</v>
      </c>
      <c r="I864" s="236">
        <v>0</v>
      </c>
    </row>
    <row r="865" spans="2:9" ht="12.75" hidden="1" customHeight="1" x14ac:dyDescent="0.2">
      <c r="B865" s="231">
        <v>45880</v>
      </c>
      <c r="C865" s="232">
        <v>111</v>
      </c>
      <c r="D865" s="232" t="str">
        <f>IFERROR(VLOOKUP(C865,'Neraca Saldo'!$B$6:$C$56,2,0),"")</f>
        <v>Bank</v>
      </c>
      <c r="E865" s="232" t="s">
        <v>838</v>
      </c>
      <c r="F865" s="234" t="s">
        <v>77</v>
      </c>
      <c r="G865" s="232"/>
      <c r="H865" s="236">
        <f t="shared" si="18"/>
        <v>0</v>
      </c>
      <c r="I865" s="236">
        <f t="shared" si="19"/>
        <v>3550000</v>
      </c>
    </row>
    <row r="866" spans="2:9" ht="12.75" customHeight="1" x14ac:dyDescent="0.2">
      <c r="B866" s="231">
        <v>45881</v>
      </c>
      <c r="C866" s="232">
        <v>513</v>
      </c>
      <c r="D866" s="232" t="str">
        <f>IFERROR(VLOOKUP(C866,'Neraca Saldo'!$B$6:$C$56,2,0),"")</f>
        <v>Beban Pengurus dan Anggota</v>
      </c>
      <c r="E866" s="194" t="s">
        <v>839</v>
      </c>
      <c r="F866" s="232" t="s">
        <v>838</v>
      </c>
      <c r="G866" s="232"/>
      <c r="H866" s="188">
        <v>350900</v>
      </c>
      <c r="I866" s="236">
        <v>0</v>
      </c>
    </row>
    <row r="867" spans="2:9" ht="12.75" hidden="1" customHeight="1" x14ac:dyDescent="0.2">
      <c r="B867" s="231">
        <v>45881</v>
      </c>
      <c r="C867" s="232">
        <v>112</v>
      </c>
      <c r="D867" s="232" t="str">
        <f>IFERROR(VLOOKUP(C867,'Neraca Saldo'!$B$6:$C$56,2,0),"")</f>
        <v>Kas</v>
      </c>
      <c r="E867" s="194" t="s">
        <v>839</v>
      </c>
      <c r="F867" s="232" t="s">
        <v>838</v>
      </c>
      <c r="G867" s="232"/>
      <c r="H867" s="236">
        <f t="shared" ref="H867:H927" si="20">I866</f>
        <v>0</v>
      </c>
      <c r="I867" s="236">
        <f t="shared" ref="I867:I927" si="21">H866</f>
        <v>350900</v>
      </c>
    </row>
    <row r="868" spans="2:9" ht="12.75" hidden="1" customHeight="1" x14ac:dyDescent="0.2">
      <c r="B868" s="231">
        <v>45882</v>
      </c>
      <c r="C868" s="232">
        <v>516</v>
      </c>
      <c r="D868" s="232" t="str">
        <f>IFERROR(VLOOKUP(C868,'Neraca Saldo'!$B$6:$C$56,2,0),"")</f>
        <v>Beban ATK</v>
      </c>
      <c r="E868" s="194" t="s">
        <v>931</v>
      </c>
      <c r="F868" s="232" t="s">
        <v>838</v>
      </c>
      <c r="G868" s="232"/>
      <c r="H868" s="188">
        <v>775000</v>
      </c>
      <c r="I868" s="236">
        <v>0</v>
      </c>
    </row>
    <row r="869" spans="2:9" ht="12.75" hidden="1" customHeight="1" x14ac:dyDescent="0.2">
      <c r="B869" s="231">
        <v>45882</v>
      </c>
      <c r="C869" s="232">
        <v>112</v>
      </c>
      <c r="D869" s="232" t="str">
        <f>IFERROR(VLOOKUP(C869,'Neraca Saldo'!$B$6:$C$56,2,0),"")</f>
        <v>Kas</v>
      </c>
      <c r="E869" s="194" t="s">
        <v>931</v>
      </c>
      <c r="F869" s="232" t="s">
        <v>838</v>
      </c>
      <c r="G869" s="232"/>
      <c r="H869" s="236">
        <f t="shared" si="20"/>
        <v>0</v>
      </c>
      <c r="I869" s="236">
        <f t="shared" si="21"/>
        <v>775000</v>
      </c>
    </row>
    <row r="870" spans="2:9" ht="12.75" customHeight="1" x14ac:dyDescent="0.2">
      <c r="B870" s="231">
        <v>45883</v>
      </c>
      <c r="C870" s="232">
        <v>513</v>
      </c>
      <c r="D870" s="232" t="str">
        <f>IFERROR(VLOOKUP(C870,'Neraca Saldo'!$B$6:$C$56,2,0),"")</f>
        <v>Beban Pengurus dan Anggota</v>
      </c>
      <c r="E870" s="194" t="s">
        <v>839</v>
      </c>
      <c r="F870" s="232" t="s">
        <v>838</v>
      </c>
      <c r="G870" s="232"/>
      <c r="H870" s="188">
        <v>133000</v>
      </c>
      <c r="I870" s="236">
        <v>0</v>
      </c>
    </row>
    <row r="871" spans="2:9" ht="12.75" hidden="1" customHeight="1" x14ac:dyDescent="0.2">
      <c r="B871" s="231">
        <v>45883</v>
      </c>
      <c r="C871" s="232">
        <v>112</v>
      </c>
      <c r="D871" s="232" t="str">
        <f>IFERROR(VLOOKUP(C871,'Neraca Saldo'!$B$6:$C$56,2,0),"")</f>
        <v>Kas</v>
      </c>
      <c r="E871" s="194" t="s">
        <v>839</v>
      </c>
      <c r="F871" s="232" t="s">
        <v>838</v>
      </c>
      <c r="G871" s="232"/>
      <c r="H871" s="236">
        <f t="shared" si="20"/>
        <v>0</v>
      </c>
      <c r="I871" s="236">
        <f t="shared" si="21"/>
        <v>133000</v>
      </c>
    </row>
    <row r="872" spans="2:9" ht="12.75" customHeight="1" x14ac:dyDescent="0.2">
      <c r="B872" s="231">
        <v>45886</v>
      </c>
      <c r="C872" s="232">
        <v>513</v>
      </c>
      <c r="D872" s="232" t="str">
        <f>IFERROR(VLOOKUP(C872,'Neraca Saldo'!$B$6:$C$56,2,0),"")</f>
        <v>Beban Pengurus dan Anggota</v>
      </c>
      <c r="E872" s="194" t="s">
        <v>1106</v>
      </c>
      <c r="F872" s="232" t="s">
        <v>838</v>
      </c>
      <c r="G872" s="232"/>
      <c r="H872" s="188">
        <v>414400</v>
      </c>
      <c r="I872" s="236">
        <v>0</v>
      </c>
    </row>
    <row r="873" spans="2:9" ht="12.75" hidden="1" customHeight="1" x14ac:dyDescent="0.2">
      <c r="B873" s="231">
        <v>45886</v>
      </c>
      <c r="C873" s="232">
        <v>112</v>
      </c>
      <c r="D873" s="232" t="str">
        <f>IFERROR(VLOOKUP(C873,'Neraca Saldo'!$B$6:$C$56,2,0),"")</f>
        <v>Kas</v>
      </c>
      <c r="E873" s="194" t="s">
        <v>1106</v>
      </c>
      <c r="F873" s="232" t="s">
        <v>838</v>
      </c>
      <c r="G873" s="232"/>
      <c r="H873" s="236">
        <f t="shared" si="20"/>
        <v>0</v>
      </c>
      <c r="I873" s="236">
        <f t="shared" si="21"/>
        <v>414400</v>
      </c>
    </row>
    <row r="874" spans="2:9" ht="12.75" customHeight="1" x14ac:dyDescent="0.2">
      <c r="B874" s="231">
        <v>45888</v>
      </c>
      <c r="C874" s="232">
        <v>513</v>
      </c>
      <c r="D874" s="232" t="str">
        <f>IFERROR(VLOOKUP(C874,'Neraca Saldo'!$B$6:$C$56,2,0),"")</f>
        <v>Beban Pengurus dan Anggota</v>
      </c>
      <c r="E874" s="194" t="s">
        <v>839</v>
      </c>
      <c r="F874" s="232" t="s">
        <v>838</v>
      </c>
      <c r="G874" s="232"/>
      <c r="H874" s="188">
        <v>750100</v>
      </c>
      <c r="I874" s="236">
        <v>0</v>
      </c>
    </row>
    <row r="875" spans="2:9" ht="12.75" hidden="1" customHeight="1" x14ac:dyDescent="0.2">
      <c r="B875" s="231">
        <v>45888</v>
      </c>
      <c r="C875" s="232">
        <v>112</v>
      </c>
      <c r="D875" s="232" t="str">
        <f>IFERROR(VLOOKUP(C875,'Neraca Saldo'!$B$6:$C$56,2,0),"")</f>
        <v>Kas</v>
      </c>
      <c r="E875" s="194" t="s">
        <v>839</v>
      </c>
      <c r="F875" s="232" t="s">
        <v>838</v>
      </c>
      <c r="G875" s="232"/>
      <c r="H875" s="236">
        <f t="shared" si="20"/>
        <v>0</v>
      </c>
      <c r="I875" s="236">
        <f t="shared" si="21"/>
        <v>750100</v>
      </c>
    </row>
    <row r="876" spans="2:9" ht="12.75" hidden="1" customHeight="1" x14ac:dyDescent="0.2">
      <c r="B876" s="238">
        <v>45888</v>
      </c>
      <c r="C876" s="239">
        <v>111</v>
      </c>
      <c r="D876" s="239" t="str">
        <f>IFERROR(VLOOKUP(C876,'Neraca Saldo'!$B$6:$C$56,2,0),"")</f>
        <v>Bank</v>
      </c>
      <c r="E876" s="258" t="s">
        <v>1104</v>
      </c>
      <c r="F876" s="244" t="s">
        <v>77</v>
      </c>
      <c r="G876" s="239"/>
      <c r="H876" s="245">
        <v>1000000</v>
      </c>
      <c r="I876" s="240">
        <v>0</v>
      </c>
    </row>
    <row r="877" spans="2:9" ht="12.75" hidden="1" customHeight="1" x14ac:dyDescent="0.2">
      <c r="B877" s="238">
        <v>45888</v>
      </c>
      <c r="C877" s="239">
        <v>212</v>
      </c>
      <c r="D877" s="239" t="str">
        <f>IFERROR(VLOOKUP(C877,'Neraca Saldo'!$B$6:$C$56,2,0),"")</f>
        <v>Simpanan Karyawan</v>
      </c>
      <c r="E877" s="258" t="s">
        <v>1104</v>
      </c>
      <c r="F877" s="244" t="s">
        <v>77</v>
      </c>
      <c r="G877" s="239"/>
      <c r="H877" s="240">
        <f t="shared" si="20"/>
        <v>0</v>
      </c>
      <c r="I877" s="240">
        <f t="shared" si="21"/>
        <v>1000000</v>
      </c>
    </row>
    <row r="878" spans="2:9" ht="12.75" hidden="1" customHeight="1" x14ac:dyDescent="0.2">
      <c r="B878" s="238">
        <v>45888</v>
      </c>
      <c r="C878" s="239">
        <v>111</v>
      </c>
      <c r="D878" s="239" t="str">
        <f>IFERROR(VLOOKUP(C878,'Neraca Saldo'!$B$6:$C$56,2,0),"")</f>
        <v>Bank</v>
      </c>
      <c r="E878" s="258" t="s">
        <v>964</v>
      </c>
      <c r="F878" s="244" t="s">
        <v>77</v>
      </c>
      <c r="G878" s="239"/>
      <c r="H878" s="245">
        <v>500000</v>
      </c>
      <c r="I878" s="240">
        <v>0</v>
      </c>
    </row>
    <row r="879" spans="2:9" ht="12.75" hidden="1" customHeight="1" x14ac:dyDescent="0.2">
      <c r="B879" s="238">
        <v>45888</v>
      </c>
      <c r="C879" s="239">
        <v>212</v>
      </c>
      <c r="D879" s="239" t="str">
        <f>IFERROR(VLOOKUP(C879,'Neraca Saldo'!$B$6:$C$56,2,0),"")</f>
        <v>Simpanan Karyawan</v>
      </c>
      <c r="E879" s="258" t="s">
        <v>964</v>
      </c>
      <c r="F879" s="244" t="s">
        <v>77</v>
      </c>
      <c r="G879" s="239"/>
      <c r="H879" s="240">
        <f t="shared" si="20"/>
        <v>0</v>
      </c>
      <c r="I879" s="240">
        <f t="shared" si="21"/>
        <v>500000</v>
      </c>
    </row>
    <row r="880" spans="2:9" ht="12.75" hidden="1" customHeight="1" x14ac:dyDescent="0.2">
      <c r="B880" s="231">
        <v>45894</v>
      </c>
      <c r="C880" s="232">
        <v>112</v>
      </c>
      <c r="D880" s="232" t="str">
        <f>IFERROR(VLOOKUP(C880,'Neraca Saldo'!$B$6:$C$56,2,0),"")</f>
        <v>Kas</v>
      </c>
      <c r="E880" s="232" t="s">
        <v>838</v>
      </c>
      <c r="F880" s="234" t="s">
        <v>77</v>
      </c>
      <c r="G880" s="232"/>
      <c r="H880" s="196">
        <v>5500000</v>
      </c>
      <c r="I880" s="236">
        <v>0</v>
      </c>
    </row>
    <row r="881" spans="2:9" ht="12.75" hidden="1" customHeight="1" x14ac:dyDescent="0.2">
      <c r="B881" s="231">
        <v>45894</v>
      </c>
      <c r="C881" s="232">
        <v>111</v>
      </c>
      <c r="D881" s="232" t="str">
        <f>IFERROR(VLOOKUP(C881,'Neraca Saldo'!$B$6:$C$56,2,0),"")</f>
        <v>Bank</v>
      </c>
      <c r="E881" s="232" t="s">
        <v>838</v>
      </c>
      <c r="F881" s="234" t="s">
        <v>77</v>
      </c>
      <c r="G881" s="232"/>
      <c r="H881" s="236">
        <f t="shared" si="20"/>
        <v>0</v>
      </c>
      <c r="I881" s="236">
        <f t="shared" si="21"/>
        <v>5500000</v>
      </c>
    </row>
    <row r="882" spans="2:9" ht="12.75" hidden="1" customHeight="1" x14ac:dyDescent="0.2">
      <c r="B882" s="231">
        <v>45894</v>
      </c>
      <c r="C882" s="232">
        <v>516</v>
      </c>
      <c r="D882" s="232" t="str">
        <f>IFERROR(VLOOKUP(C882,'Neraca Saldo'!$B$6:$C$56,2,0),"")</f>
        <v>Beban ATK</v>
      </c>
      <c r="E882" s="194" t="s">
        <v>1107</v>
      </c>
      <c r="F882" s="234" t="s">
        <v>838</v>
      </c>
      <c r="G882" s="232"/>
      <c r="H882" s="188">
        <v>275650</v>
      </c>
      <c r="I882" s="236">
        <v>0</v>
      </c>
    </row>
    <row r="883" spans="2:9" ht="12.75" hidden="1" customHeight="1" x14ac:dyDescent="0.2">
      <c r="B883" s="231">
        <v>45894</v>
      </c>
      <c r="C883" s="232">
        <v>112</v>
      </c>
      <c r="D883" s="232" t="str">
        <f>IFERROR(VLOOKUP(C883,'Neraca Saldo'!$B$6:$C$56,2,0),"")</f>
        <v>Kas</v>
      </c>
      <c r="E883" s="194" t="s">
        <v>1107</v>
      </c>
      <c r="F883" s="234" t="s">
        <v>838</v>
      </c>
      <c r="G883" s="232"/>
      <c r="H883" s="236">
        <f t="shared" si="20"/>
        <v>0</v>
      </c>
      <c r="I883" s="236">
        <f t="shared" si="21"/>
        <v>275650</v>
      </c>
    </row>
    <row r="884" spans="2:9" ht="12.75" hidden="1" customHeight="1" x14ac:dyDescent="0.2">
      <c r="B884" s="231">
        <v>45894</v>
      </c>
      <c r="C884" s="232">
        <v>313</v>
      </c>
      <c r="D884" s="232" t="str">
        <f>IFERROR(VLOOKUP(C884,'Neraca Saldo'!$B$6:$C$56,2,0),"")</f>
        <v>(Laba)/Rugi ditahan</v>
      </c>
      <c r="E884" s="194" t="s">
        <v>1108</v>
      </c>
      <c r="F884" s="234" t="s">
        <v>838</v>
      </c>
      <c r="G884" s="232"/>
      <c r="H884" s="188">
        <v>6000000</v>
      </c>
      <c r="I884" s="236">
        <v>0</v>
      </c>
    </row>
    <row r="885" spans="2:9" ht="12.75" hidden="1" customHeight="1" x14ac:dyDescent="0.2">
      <c r="B885" s="231">
        <v>45894</v>
      </c>
      <c r="C885" s="232">
        <v>112</v>
      </c>
      <c r="D885" s="232" t="str">
        <f>IFERROR(VLOOKUP(C885,'Neraca Saldo'!$B$6:$C$56,2,0),"")</f>
        <v>Kas</v>
      </c>
      <c r="E885" s="194" t="s">
        <v>1108</v>
      </c>
      <c r="F885" s="234" t="s">
        <v>838</v>
      </c>
      <c r="G885" s="232"/>
      <c r="H885" s="236">
        <f t="shared" si="20"/>
        <v>0</v>
      </c>
      <c r="I885" s="236">
        <f t="shared" si="21"/>
        <v>6000000</v>
      </c>
    </row>
    <row r="886" spans="2:9" ht="12.75" hidden="1" customHeight="1" x14ac:dyDescent="0.2">
      <c r="B886" s="231">
        <v>45894</v>
      </c>
      <c r="C886" s="232">
        <v>313</v>
      </c>
      <c r="D886" s="232" t="str">
        <f>IFERROR(VLOOKUP(C886,'Neraca Saldo'!$B$6:$C$56,2,0),"")</f>
        <v>(Laba)/Rugi ditahan</v>
      </c>
      <c r="E886" s="194" t="s">
        <v>1109</v>
      </c>
      <c r="F886" s="234" t="s">
        <v>838</v>
      </c>
      <c r="G886" s="232"/>
      <c r="H886" s="188">
        <v>2250000</v>
      </c>
      <c r="I886" s="236">
        <v>0</v>
      </c>
    </row>
    <row r="887" spans="2:9" ht="12.75" hidden="1" customHeight="1" x14ac:dyDescent="0.2">
      <c r="B887" s="231">
        <v>45894</v>
      </c>
      <c r="C887" s="232">
        <v>112</v>
      </c>
      <c r="D887" s="232" t="str">
        <f>IFERROR(VLOOKUP(C887,'Neraca Saldo'!$B$6:$C$56,2,0),"")</f>
        <v>Kas</v>
      </c>
      <c r="E887" s="194" t="s">
        <v>1109</v>
      </c>
      <c r="F887" s="234" t="s">
        <v>838</v>
      </c>
      <c r="G887" s="232"/>
      <c r="H887" s="236">
        <f t="shared" si="20"/>
        <v>0</v>
      </c>
      <c r="I887" s="236">
        <f t="shared" si="21"/>
        <v>2250000</v>
      </c>
    </row>
    <row r="888" spans="2:9" ht="12.75" hidden="1" customHeight="1" x14ac:dyDescent="0.2">
      <c r="B888" s="238">
        <v>45895</v>
      </c>
      <c r="C888" s="239">
        <v>111</v>
      </c>
      <c r="D888" s="239" t="str">
        <f>IFERROR(VLOOKUP(C888,'Neraca Saldo'!$B$6:$C$56,2,0),"")</f>
        <v>Bank</v>
      </c>
      <c r="E888" s="258" t="s">
        <v>940</v>
      </c>
      <c r="F888" s="244" t="s">
        <v>77</v>
      </c>
      <c r="G888" s="239"/>
      <c r="H888" s="245">
        <v>1000000</v>
      </c>
      <c r="I888" s="240">
        <v>0</v>
      </c>
    </row>
    <row r="889" spans="2:9" ht="12.75" hidden="1" customHeight="1" x14ac:dyDescent="0.2">
      <c r="B889" s="238">
        <v>45895</v>
      </c>
      <c r="C889" s="239">
        <v>212</v>
      </c>
      <c r="D889" s="239" t="str">
        <f>IFERROR(VLOOKUP(C889,'Neraca Saldo'!$B$6:$C$56,2,0),"")</f>
        <v>Simpanan Karyawan</v>
      </c>
      <c r="E889" s="258" t="s">
        <v>940</v>
      </c>
      <c r="F889" s="244" t="s">
        <v>77</v>
      </c>
      <c r="G889" s="239"/>
      <c r="H889" s="240">
        <f t="shared" si="20"/>
        <v>0</v>
      </c>
      <c r="I889" s="240">
        <f t="shared" si="21"/>
        <v>1000000</v>
      </c>
    </row>
    <row r="890" spans="2:9" ht="12.75" hidden="1" customHeight="1" x14ac:dyDescent="0.2">
      <c r="B890" s="238">
        <v>45895</v>
      </c>
      <c r="C890" s="239">
        <v>111</v>
      </c>
      <c r="D890" s="239" t="str">
        <f>IFERROR(VLOOKUP(C890,'Neraca Saldo'!$B$6:$C$56,2,0),"")</f>
        <v>Bank</v>
      </c>
      <c r="E890" s="258" t="s">
        <v>1110</v>
      </c>
      <c r="F890" s="244" t="s">
        <v>77</v>
      </c>
      <c r="G890" s="239"/>
      <c r="H890" s="245">
        <v>5412700</v>
      </c>
      <c r="I890" s="240">
        <v>0</v>
      </c>
    </row>
    <row r="891" spans="2:9" ht="12.75" hidden="1" customHeight="1" x14ac:dyDescent="0.2">
      <c r="B891" s="238">
        <v>45895</v>
      </c>
      <c r="C891" s="239">
        <v>411</v>
      </c>
      <c r="D891" s="239" t="str">
        <f>IFERROR(VLOOKUP(C891,'Neraca Saldo'!$B$6:$C$56,2,0),"")</f>
        <v>Pendapatan Toko</v>
      </c>
      <c r="E891" s="258" t="s">
        <v>1110</v>
      </c>
      <c r="F891" s="244" t="s">
        <v>77</v>
      </c>
      <c r="G891" s="239"/>
      <c r="H891" s="240">
        <f t="shared" si="20"/>
        <v>0</v>
      </c>
      <c r="I891" s="240">
        <f t="shared" si="21"/>
        <v>5412700</v>
      </c>
    </row>
    <row r="892" spans="2:9" ht="12.75" hidden="1" customHeight="1" x14ac:dyDescent="0.2">
      <c r="B892" s="238">
        <v>45895</v>
      </c>
      <c r="C892" s="239">
        <v>111</v>
      </c>
      <c r="D892" s="239" t="str">
        <f>IFERROR(VLOOKUP(C892,'Neraca Saldo'!$B$6:$C$56,2,0),"")</f>
        <v>Bank</v>
      </c>
      <c r="E892" s="206" t="s">
        <v>1111</v>
      </c>
      <c r="F892" s="244" t="s">
        <v>77</v>
      </c>
      <c r="G892" s="239"/>
      <c r="H892" s="245">
        <v>150000</v>
      </c>
      <c r="I892" s="240">
        <v>0</v>
      </c>
    </row>
    <row r="893" spans="2:9" ht="12.75" hidden="1" customHeight="1" x14ac:dyDescent="0.2">
      <c r="B893" s="238">
        <v>45895</v>
      </c>
      <c r="C893" s="239">
        <v>212</v>
      </c>
      <c r="D893" s="239" t="str">
        <f>IFERROR(VLOOKUP(C893,'Neraca Saldo'!$B$6:$C$56,2,0),"")</f>
        <v>Simpanan Karyawan</v>
      </c>
      <c r="E893" s="206" t="s">
        <v>1111</v>
      </c>
      <c r="F893" s="244" t="s">
        <v>77</v>
      </c>
      <c r="G893" s="239"/>
      <c r="H893" s="240">
        <f t="shared" si="20"/>
        <v>0</v>
      </c>
      <c r="I893" s="240">
        <f t="shared" si="21"/>
        <v>150000</v>
      </c>
    </row>
    <row r="894" spans="2:9" ht="12.75" hidden="1" customHeight="1" x14ac:dyDescent="0.2">
      <c r="B894" s="238">
        <v>45895</v>
      </c>
      <c r="C894" s="239">
        <v>111</v>
      </c>
      <c r="D894" s="239" t="str">
        <f>IFERROR(VLOOKUP(C894,'Neraca Saldo'!$B$6:$C$56,2,0),"")</f>
        <v>Bank</v>
      </c>
      <c r="E894" s="206" t="s">
        <v>1112</v>
      </c>
      <c r="F894" s="244" t="s">
        <v>77</v>
      </c>
      <c r="G894" s="239"/>
      <c r="H894" s="245">
        <v>62400000</v>
      </c>
      <c r="I894" s="240">
        <v>0</v>
      </c>
    </row>
    <row r="895" spans="2:9" ht="12.75" hidden="1" customHeight="1" x14ac:dyDescent="0.2">
      <c r="B895" s="238">
        <v>45895</v>
      </c>
      <c r="C895" s="239">
        <v>212</v>
      </c>
      <c r="D895" s="239" t="str">
        <f>IFERROR(VLOOKUP(C895,'Neraca Saldo'!$B$6:$C$56,2,0),"")</f>
        <v>Simpanan Karyawan</v>
      </c>
      <c r="E895" s="206" t="s">
        <v>1112</v>
      </c>
      <c r="F895" s="244" t="s">
        <v>77</v>
      </c>
      <c r="G895" s="239"/>
      <c r="H895" s="240">
        <f t="shared" si="20"/>
        <v>0</v>
      </c>
      <c r="I895" s="240">
        <f t="shared" si="21"/>
        <v>62400000</v>
      </c>
    </row>
    <row r="896" spans="2:9" ht="12.75" hidden="1" customHeight="1" x14ac:dyDescent="0.2">
      <c r="B896" s="238">
        <v>45895</v>
      </c>
      <c r="C896" s="239">
        <v>111</v>
      </c>
      <c r="D896" s="239" t="str">
        <f>IFERROR(VLOOKUP(C896,'Neraca Saldo'!$B$6:$C$56,2,0),"")</f>
        <v>Bank</v>
      </c>
      <c r="E896" s="206" t="s">
        <v>1113</v>
      </c>
      <c r="F896" s="244" t="s">
        <v>77</v>
      </c>
      <c r="G896" s="239"/>
      <c r="H896" s="245">
        <v>29925300</v>
      </c>
      <c r="I896" s="240">
        <v>0</v>
      </c>
    </row>
    <row r="897" spans="2:9" ht="12.75" hidden="1" customHeight="1" x14ac:dyDescent="0.2">
      <c r="B897" s="238">
        <v>45895</v>
      </c>
      <c r="C897" s="239">
        <v>212</v>
      </c>
      <c r="D897" s="239" t="str">
        <f>IFERROR(VLOOKUP(C897,'Neraca Saldo'!$B$6:$C$56,2,0),"")</f>
        <v>Simpanan Karyawan</v>
      </c>
      <c r="E897" s="206" t="s">
        <v>1113</v>
      </c>
      <c r="F897" s="244" t="s">
        <v>77</v>
      </c>
      <c r="G897" s="239"/>
      <c r="H897" s="240">
        <f t="shared" si="20"/>
        <v>0</v>
      </c>
      <c r="I897" s="240">
        <f t="shared" si="21"/>
        <v>29925300</v>
      </c>
    </row>
    <row r="898" spans="2:9" ht="12.75" hidden="1" customHeight="1" x14ac:dyDescent="0.2">
      <c r="B898" s="238">
        <v>45895</v>
      </c>
      <c r="C898" s="239">
        <v>111</v>
      </c>
      <c r="D898" s="239" t="str">
        <f>IFERROR(VLOOKUP(C898,'Neraca Saldo'!$B$6:$C$56,2,0),"")</f>
        <v>Bank</v>
      </c>
      <c r="E898" s="206" t="s">
        <v>1114</v>
      </c>
      <c r="F898" s="244" t="s">
        <v>77</v>
      </c>
      <c r="G898" s="239"/>
      <c r="H898" s="245">
        <v>7350000</v>
      </c>
      <c r="I898" s="240">
        <v>0</v>
      </c>
    </row>
    <row r="899" spans="2:9" ht="12.75" hidden="1" customHeight="1" x14ac:dyDescent="0.2">
      <c r="B899" s="238">
        <v>45895</v>
      </c>
      <c r="C899" s="239">
        <v>222</v>
      </c>
      <c r="D899" s="239" t="str">
        <f>IFERROR(VLOOKUP(C899,'Neraca Saldo'!$B$6:$C$56,2,0),"")</f>
        <v>Hutang SPN</v>
      </c>
      <c r="E899" s="206" t="s">
        <v>1114</v>
      </c>
      <c r="F899" s="244" t="s">
        <v>77</v>
      </c>
      <c r="G899" s="239"/>
      <c r="H899" s="240">
        <f t="shared" si="20"/>
        <v>0</v>
      </c>
      <c r="I899" s="240">
        <f t="shared" si="21"/>
        <v>7350000</v>
      </c>
    </row>
    <row r="900" spans="2:9" ht="12.75" hidden="1" customHeight="1" x14ac:dyDescent="0.2">
      <c r="B900" s="238">
        <v>45895</v>
      </c>
      <c r="C900" s="239">
        <v>111</v>
      </c>
      <c r="D900" s="239" t="str">
        <f>IFERROR(VLOOKUP(C900,'Neraca Saldo'!$B$6:$C$56,2,0),"")</f>
        <v>Bank</v>
      </c>
      <c r="E900" s="206" t="s">
        <v>1115</v>
      </c>
      <c r="F900" s="244" t="s">
        <v>77</v>
      </c>
      <c r="G900" s="239"/>
      <c r="H900" s="245">
        <v>81295120</v>
      </c>
      <c r="I900" s="240">
        <v>0</v>
      </c>
    </row>
    <row r="901" spans="2:9" ht="12.75" hidden="1" customHeight="1" x14ac:dyDescent="0.2">
      <c r="B901" s="238">
        <v>45895</v>
      </c>
      <c r="C901" s="239">
        <v>121</v>
      </c>
      <c r="D901" s="239" t="str">
        <f>IFERROR(VLOOKUP(C901,'Neraca Saldo'!$B$6:$C$56,2,0),"")</f>
        <v>Piutang Anggota</v>
      </c>
      <c r="E901" s="206" t="s">
        <v>1115</v>
      </c>
      <c r="F901" s="244" t="s">
        <v>77</v>
      </c>
      <c r="G901" s="239"/>
      <c r="H901" s="240">
        <f t="shared" si="20"/>
        <v>0</v>
      </c>
      <c r="I901" s="240">
        <f t="shared" si="21"/>
        <v>81295120</v>
      </c>
    </row>
    <row r="902" spans="2:9" ht="12.75" hidden="1" customHeight="1" x14ac:dyDescent="0.2">
      <c r="B902" s="238">
        <v>45895</v>
      </c>
      <c r="C902" s="239">
        <v>111</v>
      </c>
      <c r="D902" s="239" t="str">
        <f>IFERROR(VLOOKUP(C902,'Neraca Saldo'!$B$6:$C$56,2,0),"")</f>
        <v>Bank</v>
      </c>
      <c r="E902" s="206" t="s">
        <v>1116</v>
      </c>
      <c r="F902" s="244" t="s">
        <v>77</v>
      </c>
      <c r="G902" s="239"/>
      <c r="H902" s="245">
        <v>160685875</v>
      </c>
      <c r="I902" s="240">
        <v>0</v>
      </c>
    </row>
    <row r="903" spans="2:9" ht="12.75" hidden="1" customHeight="1" x14ac:dyDescent="0.2">
      <c r="B903" s="238">
        <v>45895</v>
      </c>
      <c r="C903" s="239">
        <v>121</v>
      </c>
      <c r="D903" s="239" t="str">
        <f>IFERROR(VLOOKUP(C903,'Neraca Saldo'!$B$6:$C$56,2,0),"")</f>
        <v>Piutang Anggota</v>
      </c>
      <c r="E903" s="206" t="s">
        <v>1116</v>
      </c>
      <c r="F903" s="244" t="s">
        <v>77</v>
      </c>
      <c r="G903" s="239"/>
      <c r="H903" s="240">
        <f t="shared" si="20"/>
        <v>0</v>
      </c>
      <c r="I903" s="240">
        <f t="shared" si="21"/>
        <v>160685875</v>
      </c>
    </row>
    <row r="904" spans="2:9" ht="12.75" hidden="1" customHeight="1" x14ac:dyDescent="0.2">
      <c r="B904" s="238">
        <v>45895</v>
      </c>
      <c r="C904" s="239">
        <v>111</v>
      </c>
      <c r="D904" s="239" t="str">
        <f>IFERROR(VLOOKUP(C904,'Neraca Saldo'!$B$6:$C$56,2,0),"")</f>
        <v>Bank</v>
      </c>
      <c r="E904" s="206" t="s">
        <v>1117</v>
      </c>
      <c r="F904" s="244" t="s">
        <v>77</v>
      </c>
      <c r="G904" s="239"/>
      <c r="H904" s="245">
        <v>4800000</v>
      </c>
      <c r="I904" s="240">
        <v>0</v>
      </c>
    </row>
    <row r="905" spans="2:9" ht="12.75" hidden="1" customHeight="1" x14ac:dyDescent="0.2">
      <c r="B905" s="238">
        <v>45895</v>
      </c>
      <c r="C905" s="239">
        <v>411</v>
      </c>
      <c r="D905" s="239" t="str">
        <f>IFERROR(VLOOKUP(C905,'Neraca Saldo'!$B$6:$C$56,2,0),"")</f>
        <v>Pendapatan Toko</v>
      </c>
      <c r="E905" s="206" t="s">
        <v>1117</v>
      </c>
      <c r="F905" s="244" t="s">
        <v>77</v>
      </c>
      <c r="G905" s="239"/>
      <c r="H905" s="240">
        <f t="shared" si="20"/>
        <v>0</v>
      </c>
      <c r="I905" s="240">
        <f t="shared" si="21"/>
        <v>4800000</v>
      </c>
    </row>
    <row r="906" spans="2:9" ht="12.75" hidden="1" customHeight="1" x14ac:dyDescent="0.2">
      <c r="B906" s="231">
        <v>45896</v>
      </c>
      <c r="C906" s="232">
        <v>411</v>
      </c>
      <c r="D906" s="232" t="str">
        <f>IFERROR(VLOOKUP(C906,'Neraca Saldo'!$B$6:$C$56,2,0),"")</f>
        <v>Pendapatan Toko</v>
      </c>
      <c r="E906" s="259" t="s">
        <v>1110</v>
      </c>
      <c r="F906" s="234" t="s">
        <v>77</v>
      </c>
      <c r="G906" s="232"/>
      <c r="H906" s="246">
        <v>5412700</v>
      </c>
      <c r="I906" s="236">
        <v>0</v>
      </c>
    </row>
    <row r="907" spans="2:9" ht="12.75" hidden="1" customHeight="1" x14ac:dyDescent="0.2">
      <c r="B907" s="231">
        <v>45896</v>
      </c>
      <c r="C907" s="232">
        <v>111</v>
      </c>
      <c r="D907" s="232" t="str">
        <f>IFERROR(VLOOKUP(C907,'Neraca Saldo'!$B$6:$C$56,2,0),"")</f>
        <v>Bank</v>
      </c>
      <c r="E907" s="259" t="s">
        <v>1110</v>
      </c>
      <c r="F907" s="234" t="s">
        <v>77</v>
      </c>
      <c r="G907" s="232"/>
      <c r="H907" s="236">
        <f t="shared" si="20"/>
        <v>0</v>
      </c>
      <c r="I907" s="236">
        <f t="shared" si="21"/>
        <v>5412700</v>
      </c>
    </row>
    <row r="908" spans="2:9" ht="12.75" hidden="1" customHeight="1" x14ac:dyDescent="0.2">
      <c r="B908" s="231">
        <v>45896</v>
      </c>
      <c r="C908" s="232">
        <v>124</v>
      </c>
      <c r="D908" s="232" t="str">
        <f>IFERROR(VLOOKUP(C908,'Neraca Saldo'!$B$6:$C$56,2,0),"")</f>
        <v>Piutang USP</v>
      </c>
      <c r="E908" s="205" t="s">
        <v>1113</v>
      </c>
      <c r="F908" s="234" t="s">
        <v>77</v>
      </c>
      <c r="G908" s="232"/>
      <c r="H908" s="246">
        <v>29925300</v>
      </c>
      <c r="I908" s="236">
        <v>0</v>
      </c>
    </row>
    <row r="909" spans="2:9" ht="12.75" hidden="1" customHeight="1" x14ac:dyDescent="0.2">
      <c r="B909" s="231">
        <v>45896</v>
      </c>
      <c r="C909" s="232">
        <v>111</v>
      </c>
      <c r="D909" s="232" t="str">
        <f>IFERROR(VLOOKUP(C909,'Neraca Saldo'!$B$6:$C$56,2,0),"")</f>
        <v>Bank</v>
      </c>
      <c r="E909" s="205" t="s">
        <v>1113</v>
      </c>
      <c r="F909" s="234" t="s">
        <v>77</v>
      </c>
      <c r="G909" s="232"/>
      <c r="H909" s="236">
        <f t="shared" si="20"/>
        <v>0</v>
      </c>
      <c r="I909" s="236">
        <f t="shared" si="21"/>
        <v>29925300</v>
      </c>
    </row>
    <row r="910" spans="2:9" ht="12.75" hidden="1" customHeight="1" x14ac:dyDescent="0.2">
      <c r="B910" s="231">
        <v>45896</v>
      </c>
      <c r="C910" s="232">
        <v>222</v>
      </c>
      <c r="D910" s="232" t="str">
        <f>IFERROR(VLOOKUP(C910,'Neraca Saldo'!$B$6:$C$56,2,0),"")</f>
        <v>Hutang SPN</v>
      </c>
      <c r="E910" s="205" t="s">
        <v>1114</v>
      </c>
      <c r="F910" s="234" t="s">
        <v>77</v>
      </c>
      <c r="G910" s="232"/>
      <c r="H910" s="246">
        <v>7350000</v>
      </c>
      <c r="I910" s="236">
        <v>0</v>
      </c>
    </row>
    <row r="911" spans="2:9" ht="12.75" hidden="1" customHeight="1" x14ac:dyDescent="0.2">
      <c r="B911" s="231">
        <v>45896</v>
      </c>
      <c r="C911" s="232">
        <v>111</v>
      </c>
      <c r="D911" s="232" t="str">
        <f>IFERROR(VLOOKUP(C911,'Neraca Saldo'!$B$6:$C$56,2,0),"")</f>
        <v>Bank</v>
      </c>
      <c r="E911" s="205" t="s">
        <v>1114</v>
      </c>
      <c r="F911" s="234" t="s">
        <v>77</v>
      </c>
      <c r="G911" s="232"/>
      <c r="H911" s="236">
        <f t="shared" si="20"/>
        <v>0</v>
      </c>
      <c r="I911" s="236">
        <f t="shared" si="21"/>
        <v>7350000</v>
      </c>
    </row>
    <row r="912" spans="2:9" ht="12.75" hidden="1" customHeight="1" x14ac:dyDescent="0.2">
      <c r="B912" s="231">
        <v>45896</v>
      </c>
      <c r="C912" s="232">
        <v>126</v>
      </c>
      <c r="D912" s="232" t="str">
        <f>IFERROR(VLOOKUP(C912,'Neraca Saldo'!$B$6:$C$56,2,0),"")</f>
        <v>Piutang Pengadaan</v>
      </c>
      <c r="E912" s="205" t="s">
        <v>1115</v>
      </c>
      <c r="F912" s="234" t="s">
        <v>77</v>
      </c>
      <c r="G912" s="232"/>
      <c r="H912" s="246">
        <v>81295120</v>
      </c>
      <c r="I912" s="236">
        <v>0</v>
      </c>
    </row>
    <row r="913" spans="2:9" ht="12.75" hidden="1" customHeight="1" x14ac:dyDescent="0.2">
      <c r="B913" s="231">
        <v>45896</v>
      </c>
      <c r="C913" s="232">
        <v>111</v>
      </c>
      <c r="D913" s="232" t="str">
        <f>IFERROR(VLOOKUP(C913,'Neraca Saldo'!$B$6:$C$56,2,0),"")</f>
        <v>Bank</v>
      </c>
      <c r="E913" s="205" t="s">
        <v>1115</v>
      </c>
      <c r="F913" s="234" t="s">
        <v>77</v>
      </c>
      <c r="G913" s="232"/>
      <c r="H913" s="236">
        <f t="shared" si="20"/>
        <v>0</v>
      </c>
      <c r="I913" s="236">
        <f t="shared" si="21"/>
        <v>81295120</v>
      </c>
    </row>
    <row r="914" spans="2:9" ht="12.75" hidden="1" customHeight="1" x14ac:dyDescent="0.2">
      <c r="B914" s="231">
        <v>45896</v>
      </c>
      <c r="C914" s="232">
        <v>124</v>
      </c>
      <c r="D914" s="232" t="str">
        <f>IFERROR(VLOOKUP(C914,'Neraca Saldo'!$B$6:$C$56,2,0),"")</f>
        <v>Piutang USP</v>
      </c>
      <c r="E914" s="205" t="s">
        <v>1116</v>
      </c>
      <c r="F914" s="234" t="s">
        <v>77</v>
      </c>
      <c r="G914" s="232"/>
      <c r="H914" s="246">
        <v>160685875</v>
      </c>
      <c r="I914" s="236">
        <v>0</v>
      </c>
    </row>
    <row r="915" spans="2:9" ht="12.75" hidden="1" customHeight="1" x14ac:dyDescent="0.2">
      <c r="B915" s="231">
        <v>45896</v>
      </c>
      <c r="C915" s="232">
        <v>111</v>
      </c>
      <c r="D915" s="232" t="str">
        <f>IFERROR(VLOOKUP(C915,'Neraca Saldo'!$B$6:$C$56,2,0),"")</f>
        <v>Bank</v>
      </c>
      <c r="E915" s="205" t="s">
        <v>1116</v>
      </c>
      <c r="F915" s="234" t="s">
        <v>77</v>
      </c>
      <c r="G915" s="232"/>
      <c r="H915" s="236">
        <f t="shared" si="20"/>
        <v>0</v>
      </c>
      <c r="I915" s="236">
        <f t="shared" si="21"/>
        <v>160685875</v>
      </c>
    </row>
    <row r="916" spans="2:9" ht="12.75" hidden="1" customHeight="1" x14ac:dyDescent="0.2">
      <c r="B916" s="231">
        <v>45896</v>
      </c>
      <c r="C916" s="232">
        <v>411</v>
      </c>
      <c r="D916" s="232" t="str">
        <f>IFERROR(VLOOKUP(C916,'Neraca Saldo'!$B$6:$C$56,2,0),"")</f>
        <v>Pendapatan Toko</v>
      </c>
      <c r="E916" s="205" t="s">
        <v>1117</v>
      </c>
      <c r="F916" s="234" t="s">
        <v>77</v>
      </c>
      <c r="G916" s="232"/>
      <c r="H916" s="246">
        <v>4800000</v>
      </c>
      <c r="I916" s="236">
        <v>0</v>
      </c>
    </row>
    <row r="917" spans="2:9" ht="12.75" hidden="1" customHeight="1" x14ac:dyDescent="0.2">
      <c r="B917" s="231">
        <v>45896</v>
      </c>
      <c r="C917" s="232">
        <v>111</v>
      </c>
      <c r="D917" s="232" t="str">
        <f>IFERROR(VLOOKUP(C917,'Neraca Saldo'!$B$6:$C$56,2,0),"")</f>
        <v>Bank</v>
      </c>
      <c r="E917" s="205" t="s">
        <v>1117</v>
      </c>
      <c r="F917" s="234" t="s">
        <v>77</v>
      </c>
      <c r="G917" s="232"/>
      <c r="H917" s="236">
        <f t="shared" si="20"/>
        <v>0</v>
      </c>
      <c r="I917" s="236">
        <f t="shared" si="21"/>
        <v>4800000</v>
      </c>
    </row>
    <row r="918" spans="2:9" ht="12.75" hidden="1" customHeight="1" x14ac:dyDescent="0.2">
      <c r="B918" s="231">
        <v>45896</v>
      </c>
      <c r="C918" s="232">
        <v>126</v>
      </c>
      <c r="D918" s="232" t="str">
        <f>IFERROR(VLOOKUP(C918,'Neraca Saldo'!$B$6:$C$56,2,0),"")</f>
        <v>Piutang Pengadaan</v>
      </c>
      <c r="E918" s="259" t="s">
        <v>836</v>
      </c>
      <c r="F918" s="234" t="s">
        <v>77</v>
      </c>
      <c r="G918" s="232"/>
      <c r="H918" s="196">
        <v>40000000</v>
      </c>
      <c r="I918" s="236">
        <v>0</v>
      </c>
    </row>
    <row r="919" spans="2:9" ht="12.75" hidden="1" customHeight="1" x14ac:dyDescent="0.2">
      <c r="B919" s="231">
        <v>45896</v>
      </c>
      <c r="C919" s="232">
        <v>111</v>
      </c>
      <c r="D919" s="232" t="str">
        <f>IFERROR(VLOOKUP(C919,'Neraca Saldo'!$B$6:$C$56,2,0),"")</f>
        <v>Bank</v>
      </c>
      <c r="E919" s="259" t="s">
        <v>836</v>
      </c>
      <c r="F919" s="234" t="s">
        <v>77</v>
      </c>
      <c r="G919" s="232"/>
      <c r="H919" s="236">
        <f t="shared" si="20"/>
        <v>0</v>
      </c>
      <c r="I919" s="236">
        <f t="shared" si="21"/>
        <v>40000000</v>
      </c>
    </row>
    <row r="920" spans="2:9" ht="12.75" hidden="1" customHeight="1" x14ac:dyDescent="0.2">
      <c r="B920" s="231">
        <v>45896</v>
      </c>
      <c r="C920" s="232">
        <v>112</v>
      </c>
      <c r="D920" s="232" t="str">
        <f>IFERROR(VLOOKUP(C920,'Neraca Saldo'!$B$6:$C$56,2,0),"")</f>
        <v>Kas</v>
      </c>
      <c r="E920" s="232" t="s">
        <v>838</v>
      </c>
      <c r="F920" s="234" t="s">
        <v>77</v>
      </c>
      <c r="G920" s="232"/>
      <c r="H920" s="246">
        <v>20000000</v>
      </c>
      <c r="I920" s="236">
        <v>0</v>
      </c>
    </row>
    <row r="921" spans="2:9" ht="12.75" hidden="1" customHeight="1" x14ac:dyDescent="0.2">
      <c r="B921" s="231">
        <v>45896</v>
      </c>
      <c r="C921" s="232">
        <v>111</v>
      </c>
      <c r="D921" s="232" t="str">
        <f>IFERROR(VLOOKUP(C921,'Neraca Saldo'!$B$6:$C$56,2,0),"")</f>
        <v>Bank</v>
      </c>
      <c r="E921" s="232" t="s">
        <v>838</v>
      </c>
      <c r="F921" s="234" t="s">
        <v>77</v>
      </c>
      <c r="G921" s="232"/>
      <c r="H921" s="236">
        <f t="shared" si="20"/>
        <v>0</v>
      </c>
      <c r="I921" s="236">
        <f t="shared" si="21"/>
        <v>20000000</v>
      </c>
    </row>
    <row r="922" spans="2:9" ht="12.75" hidden="1" customHeight="1" x14ac:dyDescent="0.2">
      <c r="B922" s="231">
        <v>45896</v>
      </c>
      <c r="C922" s="232">
        <v>313</v>
      </c>
      <c r="D922" s="232" t="str">
        <f>IFERROR(VLOOKUP(C922,'Neraca Saldo'!$B$6:$C$56,2,0),"")</f>
        <v>(Laba)/Rugi ditahan</v>
      </c>
      <c r="E922" s="194" t="s">
        <v>1118</v>
      </c>
      <c r="F922" s="234" t="s">
        <v>838</v>
      </c>
      <c r="G922" s="232"/>
      <c r="H922" s="188">
        <v>5500000</v>
      </c>
      <c r="I922" s="236">
        <v>0</v>
      </c>
    </row>
    <row r="923" spans="2:9" ht="12.75" hidden="1" customHeight="1" x14ac:dyDescent="0.2">
      <c r="B923" s="231">
        <v>45896</v>
      </c>
      <c r="C923" s="232">
        <v>112</v>
      </c>
      <c r="D923" s="232" t="str">
        <f>IFERROR(VLOOKUP(C923,'Neraca Saldo'!$B$6:$C$56,2,0),"")</f>
        <v>Kas</v>
      </c>
      <c r="E923" s="194" t="s">
        <v>1118</v>
      </c>
      <c r="F923" s="234" t="s">
        <v>838</v>
      </c>
      <c r="G923" s="232"/>
      <c r="H923" s="236">
        <f t="shared" si="20"/>
        <v>0</v>
      </c>
      <c r="I923" s="236">
        <f t="shared" si="21"/>
        <v>5500000</v>
      </c>
    </row>
    <row r="924" spans="2:9" ht="12.75" hidden="1" customHeight="1" x14ac:dyDescent="0.2">
      <c r="B924" s="231">
        <v>45896</v>
      </c>
      <c r="C924" s="232">
        <v>212</v>
      </c>
      <c r="D924" s="232" t="str">
        <f>IFERROR(VLOOKUP(C924,'Neraca Saldo'!$B$6:$C$56,2,0),"")</f>
        <v>Simpanan Karyawan</v>
      </c>
      <c r="E924" s="194" t="s">
        <v>1119</v>
      </c>
      <c r="F924" s="234" t="s">
        <v>838</v>
      </c>
      <c r="G924" s="232"/>
      <c r="H924" s="188">
        <v>5000000</v>
      </c>
      <c r="I924" s="236">
        <v>0</v>
      </c>
    </row>
    <row r="925" spans="2:9" ht="12.75" hidden="1" customHeight="1" x14ac:dyDescent="0.2">
      <c r="B925" s="231">
        <v>45896</v>
      </c>
      <c r="C925" s="232">
        <v>112</v>
      </c>
      <c r="D925" s="232" t="str">
        <f>IFERROR(VLOOKUP(C925,'Neraca Saldo'!$B$6:$C$56,2,0),"")</f>
        <v>Kas</v>
      </c>
      <c r="E925" s="194" t="s">
        <v>1119</v>
      </c>
      <c r="F925" s="234" t="s">
        <v>838</v>
      </c>
      <c r="G925" s="232"/>
      <c r="H925" s="236">
        <f t="shared" si="20"/>
        <v>0</v>
      </c>
      <c r="I925" s="236">
        <f t="shared" si="21"/>
        <v>5000000</v>
      </c>
    </row>
    <row r="926" spans="2:9" ht="12.75" hidden="1" customHeight="1" x14ac:dyDescent="0.2">
      <c r="B926" s="231">
        <v>45897</v>
      </c>
      <c r="C926" s="232">
        <v>517</v>
      </c>
      <c r="D926" s="232" t="str">
        <f>IFERROR(VLOOKUP(C926,'Neraca Saldo'!$B$6:$C$56,2,0),"")</f>
        <v>Beban Transport</v>
      </c>
      <c r="E926" s="194" t="s">
        <v>1120</v>
      </c>
      <c r="F926" s="234" t="s">
        <v>838</v>
      </c>
      <c r="G926" s="232"/>
      <c r="H926" s="188">
        <v>200000</v>
      </c>
      <c r="I926" s="236">
        <v>0</v>
      </c>
    </row>
    <row r="927" spans="2:9" ht="12.75" hidden="1" customHeight="1" x14ac:dyDescent="0.2">
      <c r="B927" s="231">
        <v>45897</v>
      </c>
      <c r="C927" s="232">
        <v>112</v>
      </c>
      <c r="D927" s="232" t="str">
        <f>IFERROR(VLOOKUP(C927,'Neraca Saldo'!$B$6:$C$56,2,0),"")</f>
        <v>Kas</v>
      </c>
      <c r="E927" s="194" t="s">
        <v>1120</v>
      </c>
      <c r="F927" s="234" t="s">
        <v>838</v>
      </c>
      <c r="G927" s="232"/>
      <c r="H927" s="236">
        <f t="shared" si="20"/>
        <v>0</v>
      </c>
      <c r="I927" s="236">
        <f t="shared" si="21"/>
        <v>200000</v>
      </c>
    </row>
    <row r="928" spans="2:9" ht="12.75" hidden="1" customHeight="1" x14ac:dyDescent="0.2">
      <c r="B928" s="231">
        <v>45897</v>
      </c>
      <c r="C928" s="232">
        <v>313</v>
      </c>
      <c r="D928" s="232" t="str">
        <f>IFERROR(VLOOKUP(C928,'Neraca Saldo'!$B$6:$C$56,2,0),"")</f>
        <v>(Laba)/Rugi ditahan</v>
      </c>
      <c r="E928" s="194" t="s">
        <v>1121</v>
      </c>
      <c r="F928" s="234" t="s">
        <v>838</v>
      </c>
      <c r="G928" s="232"/>
      <c r="H928" s="188">
        <v>2250000</v>
      </c>
      <c r="I928" s="236">
        <v>0</v>
      </c>
    </row>
    <row r="929" spans="2:9" ht="12.75" hidden="1" customHeight="1" x14ac:dyDescent="0.2">
      <c r="B929" s="231">
        <v>45897</v>
      </c>
      <c r="C929" s="232">
        <v>112</v>
      </c>
      <c r="D929" s="232" t="str">
        <f>IFERROR(VLOOKUP(C929,'Neraca Saldo'!$B$6:$C$56,2,0),"")</f>
        <v>Kas</v>
      </c>
      <c r="E929" s="194" t="s">
        <v>1121</v>
      </c>
      <c r="F929" s="234" t="s">
        <v>838</v>
      </c>
      <c r="G929" s="232"/>
      <c r="H929" s="236">
        <f t="shared" ref="H929:H995" si="22">I928</f>
        <v>0</v>
      </c>
      <c r="I929" s="236">
        <f t="shared" ref="I929:I995" si="23">H928</f>
        <v>2250000</v>
      </c>
    </row>
    <row r="930" spans="2:9" ht="12.75" customHeight="1" x14ac:dyDescent="0.2">
      <c r="B930" s="231">
        <v>45897</v>
      </c>
      <c r="C930" s="232">
        <v>513</v>
      </c>
      <c r="D930" s="232" t="str">
        <f>IFERROR(VLOOKUP(C930,'Neraca Saldo'!$B$6:$C$56,2,0),"")</f>
        <v>Beban Pengurus dan Anggota</v>
      </c>
      <c r="E930" s="194" t="s">
        <v>881</v>
      </c>
      <c r="F930" s="234" t="s">
        <v>838</v>
      </c>
      <c r="G930" s="232"/>
      <c r="H930" s="188">
        <v>432750</v>
      </c>
      <c r="I930" s="236">
        <v>0</v>
      </c>
    </row>
    <row r="931" spans="2:9" ht="12.75" hidden="1" customHeight="1" x14ac:dyDescent="0.2">
      <c r="B931" s="231">
        <v>45897</v>
      </c>
      <c r="C931" s="232">
        <v>112</v>
      </c>
      <c r="D931" s="232" t="str">
        <f>IFERROR(VLOOKUP(C931,'Neraca Saldo'!$B$6:$C$56,2,0),"")</f>
        <v>Kas</v>
      </c>
      <c r="E931" s="194" t="s">
        <v>881</v>
      </c>
      <c r="F931" s="234" t="s">
        <v>838</v>
      </c>
      <c r="G931" s="232"/>
      <c r="H931" s="236">
        <f t="shared" si="22"/>
        <v>0</v>
      </c>
      <c r="I931" s="236">
        <f t="shared" si="23"/>
        <v>432750</v>
      </c>
    </row>
    <row r="932" spans="2:9" ht="12.75" hidden="1" customHeight="1" x14ac:dyDescent="0.2">
      <c r="B932" s="231">
        <v>45899</v>
      </c>
      <c r="C932" s="232">
        <v>313</v>
      </c>
      <c r="D932" s="232" t="str">
        <f>IFERROR(VLOOKUP(C932,'Neraca Saldo'!$B$6:$C$56,2,0),"")</f>
        <v>(Laba)/Rugi ditahan</v>
      </c>
      <c r="E932" s="194" t="s">
        <v>1122</v>
      </c>
      <c r="F932" s="234" t="s">
        <v>838</v>
      </c>
      <c r="G932" s="232"/>
      <c r="H932" s="188">
        <v>461600</v>
      </c>
      <c r="I932" s="236">
        <v>0</v>
      </c>
    </row>
    <row r="933" spans="2:9" ht="12.75" hidden="1" customHeight="1" x14ac:dyDescent="0.2">
      <c r="B933" s="231">
        <v>45899</v>
      </c>
      <c r="C933" s="232">
        <v>112</v>
      </c>
      <c r="D933" s="232" t="str">
        <f>IFERROR(VLOOKUP(C933,'Neraca Saldo'!$B$6:$C$56,2,0),"")</f>
        <v>Kas</v>
      </c>
      <c r="E933" s="194" t="s">
        <v>1122</v>
      </c>
      <c r="F933" s="234" t="s">
        <v>838</v>
      </c>
      <c r="G933" s="232"/>
      <c r="H933" s="236">
        <f t="shared" si="22"/>
        <v>0</v>
      </c>
      <c r="I933" s="236">
        <f t="shared" si="23"/>
        <v>461600</v>
      </c>
    </row>
    <row r="934" spans="2:9" ht="12.75" hidden="1" customHeight="1" x14ac:dyDescent="0.2">
      <c r="B934" s="231">
        <v>45899</v>
      </c>
      <c r="C934" s="232">
        <v>313</v>
      </c>
      <c r="D934" s="232" t="str">
        <f>IFERROR(VLOOKUP(C934,'Neraca Saldo'!$B$6:$C$56,2,0),"")</f>
        <v>(Laba)/Rugi ditahan</v>
      </c>
      <c r="E934" s="194" t="s">
        <v>1123</v>
      </c>
      <c r="F934" s="234" t="s">
        <v>838</v>
      </c>
      <c r="G934" s="232"/>
      <c r="H934" s="188">
        <v>83500</v>
      </c>
      <c r="I934" s="236">
        <v>0</v>
      </c>
    </row>
    <row r="935" spans="2:9" ht="12.75" hidden="1" customHeight="1" x14ac:dyDescent="0.2">
      <c r="B935" s="231">
        <v>45899</v>
      </c>
      <c r="C935" s="232">
        <v>112</v>
      </c>
      <c r="D935" s="232" t="str">
        <f>IFERROR(VLOOKUP(C935,'Neraca Saldo'!$B$6:$C$56,2,0),"")</f>
        <v>Kas</v>
      </c>
      <c r="E935" s="194" t="s">
        <v>1123</v>
      </c>
      <c r="F935" s="234" t="s">
        <v>838</v>
      </c>
      <c r="G935" s="232"/>
      <c r="H935" s="236">
        <f t="shared" si="22"/>
        <v>0</v>
      </c>
      <c r="I935" s="236">
        <f t="shared" si="23"/>
        <v>83500</v>
      </c>
    </row>
    <row r="936" spans="2:9" ht="12.75" hidden="1" customHeight="1" x14ac:dyDescent="0.2">
      <c r="B936" s="238">
        <v>45900</v>
      </c>
      <c r="C936" s="239">
        <v>111</v>
      </c>
      <c r="D936" s="239" t="str">
        <f>IFERROR(VLOOKUP(C936,'Neraca Saldo'!$B$6:$C$56,2,0),"")</f>
        <v>Bank</v>
      </c>
      <c r="E936" s="216" t="s">
        <v>57</v>
      </c>
      <c r="F936" s="239" t="s">
        <v>77</v>
      </c>
      <c r="G936" s="239"/>
      <c r="H936" s="245">
        <v>17905</v>
      </c>
      <c r="I936" s="240">
        <v>0</v>
      </c>
    </row>
    <row r="937" spans="2:9" ht="12.75" hidden="1" customHeight="1" x14ac:dyDescent="0.2">
      <c r="B937" s="238">
        <v>45900</v>
      </c>
      <c r="C937" s="239">
        <v>413</v>
      </c>
      <c r="D937" s="239" t="str">
        <f>IFERROR(VLOOKUP(C937,'Neraca Saldo'!$B$6:$C$56,2,0),"")</f>
        <v>Pendapatan Jasa Bank</v>
      </c>
      <c r="E937" s="216" t="s">
        <v>57</v>
      </c>
      <c r="F937" s="239" t="s">
        <v>77</v>
      </c>
      <c r="G937" s="239"/>
      <c r="H937" s="240">
        <f t="shared" si="22"/>
        <v>0</v>
      </c>
      <c r="I937" s="240">
        <f t="shared" si="23"/>
        <v>17905</v>
      </c>
    </row>
    <row r="938" spans="2:9" ht="12.75" hidden="1" customHeight="1" x14ac:dyDescent="0.2">
      <c r="B938" s="231">
        <v>45900</v>
      </c>
      <c r="C938" s="232">
        <v>521</v>
      </c>
      <c r="D938" s="232" t="str">
        <f>IFERROR(VLOOKUP(C938,'Neraca Saldo'!$B$6:$C$56,2,0),"")</f>
        <v>Beban Biaya Bank</v>
      </c>
      <c r="E938" s="260" t="s">
        <v>94</v>
      </c>
      <c r="F938" s="232" t="s">
        <v>77</v>
      </c>
      <c r="G938" s="232"/>
      <c r="H938" s="196">
        <v>3581</v>
      </c>
      <c r="I938" s="236">
        <v>0</v>
      </c>
    </row>
    <row r="939" spans="2:9" ht="12.75" hidden="1" customHeight="1" x14ac:dyDescent="0.2">
      <c r="B939" s="231">
        <v>45900</v>
      </c>
      <c r="C939" s="232">
        <v>111</v>
      </c>
      <c r="D939" s="232" t="str">
        <f>IFERROR(VLOOKUP(C939,'Neraca Saldo'!$B$6:$C$56,2,0),"")</f>
        <v>Bank</v>
      </c>
      <c r="E939" s="260" t="s">
        <v>94</v>
      </c>
      <c r="F939" s="232" t="s">
        <v>77</v>
      </c>
      <c r="G939" s="232"/>
      <c r="H939" s="236">
        <f t="shared" si="22"/>
        <v>0</v>
      </c>
      <c r="I939" s="236">
        <f t="shared" si="23"/>
        <v>3581</v>
      </c>
    </row>
    <row r="940" spans="2:9" ht="12.75" hidden="1" customHeight="1" x14ac:dyDescent="0.2">
      <c r="B940" s="231">
        <v>45900</v>
      </c>
      <c r="C940" s="232">
        <v>521</v>
      </c>
      <c r="D940" s="232" t="str">
        <f>IFERROR(VLOOKUP(C940,'Neraca Saldo'!$B$6:$C$56,2,0),"")</f>
        <v>Beban Biaya Bank</v>
      </c>
      <c r="E940" s="260" t="s">
        <v>95</v>
      </c>
      <c r="F940" s="232" t="s">
        <v>77</v>
      </c>
      <c r="G940" s="232"/>
      <c r="H940" s="196">
        <v>10000</v>
      </c>
      <c r="I940" s="236">
        <v>0</v>
      </c>
    </row>
    <row r="941" spans="2:9" ht="12.75" hidden="1" customHeight="1" x14ac:dyDescent="0.2">
      <c r="B941" s="231">
        <v>45900</v>
      </c>
      <c r="C941" s="232">
        <v>111</v>
      </c>
      <c r="D941" s="232" t="str">
        <f>IFERROR(VLOOKUP(C941,'Neraca Saldo'!$B$6:$C$56,2,0),"")</f>
        <v>Bank</v>
      </c>
      <c r="E941" s="260" t="s">
        <v>95</v>
      </c>
      <c r="F941" s="232" t="s">
        <v>77</v>
      </c>
      <c r="G941" s="232"/>
      <c r="H941" s="236">
        <f t="shared" si="22"/>
        <v>0</v>
      </c>
      <c r="I941" s="236">
        <f t="shared" si="23"/>
        <v>10000</v>
      </c>
    </row>
    <row r="942" spans="2:9" ht="12.75" hidden="1" customHeight="1" x14ac:dyDescent="0.2">
      <c r="B942" s="238">
        <v>45901</v>
      </c>
      <c r="C942" s="239">
        <v>111</v>
      </c>
      <c r="D942" s="239" t="str">
        <f>IFERROR(VLOOKUP(C942,'Neraca Saldo'!$B$6:$C$56,2,0),"")</f>
        <v>Bank</v>
      </c>
      <c r="E942" s="258" t="s">
        <v>1021</v>
      </c>
      <c r="F942" s="244" t="s">
        <v>77</v>
      </c>
      <c r="G942" s="239"/>
      <c r="H942" s="245">
        <v>200000</v>
      </c>
      <c r="I942" s="240">
        <v>0</v>
      </c>
    </row>
    <row r="943" spans="2:9" ht="12.75" hidden="1" customHeight="1" x14ac:dyDescent="0.2">
      <c r="B943" s="238">
        <v>45901</v>
      </c>
      <c r="C943" s="239">
        <v>212</v>
      </c>
      <c r="D943" s="239" t="str">
        <f>IFERROR(VLOOKUP(C943,'Neraca Saldo'!$B$6:$C$56,2,0),"")</f>
        <v>Simpanan Karyawan</v>
      </c>
      <c r="E943" s="258" t="s">
        <v>1021</v>
      </c>
      <c r="F943" s="244" t="s">
        <v>77</v>
      </c>
      <c r="G943" s="239"/>
      <c r="H943" s="240">
        <f t="shared" si="22"/>
        <v>0</v>
      </c>
      <c r="I943" s="240">
        <f t="shared" si="23"/>
        <v>200000</v>
      </c>
    </row>
    <row r="944" spans="2:9" ht="12.75" hidden="1" customHeight="1" x14ac:dyDescent="0.2">
      <c r="B944" s="238">
        <v>45901</v>
      </c>
      <c r="C944" s="239">
        <v>111</v>
      </c>
      <c r="D944" s="239" t="str">
        <f>IFERROR(VLOOKUP(C944,'Neraca Saldo'!$B$6:$C$56,2,0),"")</f>
        <v>Bank</v>
      </c>
      <c r="E944" s="258" t="s">
        <v>1018</v>
      </c>
      <c r="F944" s="244" t="s">
        <v>77</v>
      </c>
      <c r="G944" s="239"/>
      <c r="H944" s="245">
        <v>200000</v>
      </c>
      <c r="I944" s="240">
        <v>0</v>
      </c>
    </row>
    <row r="945" spans="2:9" ht="12.75" hidden="1" customHeight="1" x14ac:dyDescent="0.2">
      <c r="B945" s="238">
        <v>45901</v>
      </c>
      <c r="C945" s="239">
        <v>212</v>
      </c>
      <c r="D945" s="239" t="str">
        <f>IFERROR(VLOOKUP(C945,'Neraca Saldo'!$B$6:$C$56,2,0),"")</f>
        <v>Simpanan Karyawan</v>
      </c>
      <c r="E945" s="258" t="s">
        <v>1018</v>
      </c>
      <c r="F945" s="244" t="s">
        <v>77</v>
      </c>
      <c r="G945" s="239"/>
      <c r="H945" s="240">
        <f t="shared" si="22"/>
        <v>0</v>
      </c>
      <c r="I945" s="240">
        <f t="shared" si="23"/>
        <v>200000</v>
      </c>
    </row>
    <row r="946" spans="2:9" ht="12.75" hidden="1" customHeight="1" x14ac:dyDescent="0.2">
      <c r="B946" s="231">
        <v>45901</v>
      </c>
      <c r="C946" s="232">
        <v>124</v>
      </c>
      <c r="D946" s="232" t="str">
        <f>IFERROR(VLOOKUP(C946,'Neraca Saldo'!$B$6:$C$56,2,0),"")</f>
        <v>Piutang USP</v>
      </c>
      <c r="E946" s="233" t="s">
        <v>947</v>
      </c>
      <c r="F946" s="234" t="s">
        <v>77</v>
      </c>
      <c r="G946" s="232"/>
      <c r="H946" s="196">
        <v>5000000</v>
      </c>
      <c r="I946" s="236">
        <v>0</v>
      </c>
    </row>
    <row r="947" spans="2:9" ht="12.75" hidden="1" customHeight="1" x14ac:dyDescent="0.2">
      <c r="B947" s="231">
        <v>45901</v>
      </c>
      <c r="C947" s="232">
        <v>111</v>
      </c>
      <c r="D947" s="232" t="str">
        <f>IFERROR(VLOOKUP(C947,'Neraca Saldo'!$B$6:$C$56,2,0),"")</f>
        <v>Bank</v>
      </c>
      <c r="E947" s="233" t="s">
        <v>947</v>
      </c>
      <c r="F947" s="234" t="s">
        <v>77</v>
      </c>
      <c r="G947" s="232"/>
      <c r="H947" s="236">
        <f t="shared" si="22"/>
        <v>0</v>
      </c>
      <c r="I947" s="236">
        <f t="shared" si="23"/>
        <v>5000000</v>
      </c>
    </row>
    <row r="948" spans="2:9" ht="12.75" hidden="1" customHeight="1" x14ac:dyDescent="0.2">
      <c r="B948" s="238">
        <v>45901</v>
      </c>
      <c r="C948" s="239">
        <v>111</v>
      </c>
      <c r="D948" s="239" t="str">
        <f>IFERROR(VLOOKUP(C948,'Neraca Saldo'!$B$6:$C$56,2,0),"")</f>
        <v>Bank</v>
      </c>
      <c r="E948" s="258" t="s">
        <v>1019</v>
      </c>
      <c r="F948" s="244" t="s">
        <v>77</v>
      </c>
      <c r="G948" s="239"/>
      <c r="H948" s="245">
        <v>200000</v>
      </c>
      <c r="I948" s="240">
        <v>0</v>
      </c>
    </row>
    <row r="949" spans="2:9" ht="12.75" hidden="1" customHeight="1" x14ac:dyDescent="0.2">
      <c r="B949" s="238">
        <v>45901</v>
      </c>
      <c r="C949" s="239">
        <v>212</v>
      </c>
      <c r="D949" s="239" t="str">
        <f>IFERROR(VLOOKUP(C949,'Neraca Saldo'!$B$6:$C$56,2,0),"")</f>
        <v>Simpanan Karyawan</v>
      </c>
      <c r="E949" s="258" t="s">
        <v>1019</v>
      </c>
      <c r="F949" s="244" t="s">
        <v>77</v>
      </c>
      <c r="G949" s="239"/>
      <c r="H949" s="240">
        <f t="shared" si="22"/>
        <v>0</v>
      </c>
      <c r="I949" s="240">
        <f t="shared" si="23"/>
        <v>200000</v>
      </c>
    </row>
    <row r="950" spans="2:9" ht="12.75" hidden="1" customHeight="1" x14ac:dyDescent="0.2">
      <c r="B950" s="238">
        <v>45901</v>
      </c>
      <c r="C950" s="239">
        <v>111</v>
      </c>
      <c r="D950" s="239" t="str">
        <f>IFERROR(VLOOKUP(C950,'Neraca Saldo'!$B$6:$C$56,2,0),"")</f>
        <v>Bank</v>
      </c>
      <c r="E950" s="258" t="s">
        <v>1045</v>
      </c>
      <c r="F950" s="244" t="s">
        <v>77</v>
      </c>
      <c r="G950" s="239"/>
      <c r="H950" s="245">
        <v>821000</v>
      </c>
      <c r="I950" s="240">
        <v>0</v>
      </c>
    </row>
    <row r="951" spans="2:9" ht="12.75" hidden="1" customHeight="1" x14ac:dyDescent="0.2">
      <c r="B951" s="238">
        <v>45901</v>
      </c>
      <c r="C951" s="239">
        <v>212</v>
      </c>
      <c r="D951" s="239" t="str">
        <f>IFERROR(VLOOKUP(C951,'Neraca Saldo'!$B$6:$C$56,2,0),"")</f>
        <v>Simpanan Karyawan</v>
      </c>
      <c r="E951" s="258" t="s">
        <v>1045</v>
      </c>
      <c r="F951" s="244" t="s">
        <v>77</v>
      </c>
      <c r="G951" s="239"/>
      <c r="H951" s="240">
        <f t="shared" si="22"/>
        <v>0</v>
      </c>
      <c r="I951" s="240">
        <f t="shared" si="23"/>
        <v>821000</v>
      </c>
    </row>
    <row r="952" spans="2:9" ht="12.75" hidden="1" customHeight="1" x14ac:dyDescent="0.2">
      <c r="B952" s="238">
        <v>45901</v>
      </c>
      <c r="C952" s="239">
        <v>111</v>
      </c>
      <c r="D952" s="239" t="str">
        <f>IFERROR(VLOOKUP(C952,'Neraca Saldo'!$B$6:$C$56,2,0),"")</f>
        <v>Bank</v>
      </c>
      <c r="E952" s="258" t="s">
        <v>1046</v>
      </c>
      <c r="F952" s="244" t="s">
        <v>77</v>
      </c>
      <c r="G952" s="239"/>
      <c r="H952" s="245">
        <v>328300</v>
      </c>
      <c r="I952" s="240">
        <v>0</v>
      </c>
    </row>
    <row r="953" spans="2:9" ht="12.75" hidden="1" customHeight="1" x14ac:dyDescent="0.2">
      <c r="B953" s="238">
        <v>45901</v>
      </c>
      <c r="C953" s="239">
        <v>212</v>
      </c>
      <c r="D953" s="239" t="str">
        <f>IFERROR(VLOOKUP(C953,'Neraca Saldo'!$B$6:$C$56,2,0),"")</f>
        <v>Simpanan Karyawan</v>
      </c>
      <c r="E953" s="258" t="s">
        <v>1046</v>
      </c>
      <c r="F953" s="244" t="s">
        <v>77</v>
      </c>
      <c r="G953" s="239"/>
      <c r="H953" s="240">
        <f t="shared" si="22"/>
        <v>0</v>
      </c>
      <c r="I953" s="240">
        <f t="shared" si="23"/>
        <v>328300</v>
      </c>
    </row>
    <row r="954" spans="2:9" ht="12.75" hidden="1" customHeight="1" x14ac:dyDescent="0.2">
      <c r="B954" s="238">
        <v>45901</v>
      </c>
      <c r="C954" s="239">
        <v>111</v>
      </c>
      <c r="D954" s="239" t="str">
        <f>IFERROR(VLOOKUP(C954,'Neraca Saldo'!$B$6:$C$56,2,0),"")</f>
        <v>Bank</v>
      </c>
      <c r="E954" s="258" t="s">
        <v>1015</v>
      </c>
      <c r="F954" s="244" t="s">
        <v>77</v>
      </c>
      <c r="G954" s="239"/>
      <c r="H954" s="245">
        <v>200000</v>
      </c>
      <c r="I954" s="240">
        <v>0</v>
      </c>
    </row>
    <row r="955" spans="2:9" ht="12.75" hidden="1" customHeight="1" x14ac:dyDescent="0.2">
      <c r="B955" s="238">
        <v>45901</v>
      </c>
      <c r="C955" s="239">
        <v>212</v>
      </c>
      <c r="D955" s="239" t="str">
        <f>IFERROR(VLOOKUP(C955,'Neraca Saldo'!$B$6:$C$56,2,0),"")</f>
        <v>Simpanan Karyawan</v>
      </c>
      <c r="E955" s="258" t="s">
        <v>1015</v>
      </c>
      <c r="F955" s="244" t="s">
        <v>77</v>
      </c>
      <c r="G955" s="239"/>
      <c r="H955" s="240">
        <f t="shared" si="22"/>
        <v>0</v>
      </c>
      <c r="I955" s="240">
        <f t="shared" si="23"/>
        <v>200000</v>
      </c>
    </row>
    <row r="956" spans="2:9" ht="12.75" hidden="1" customHeight="1" x14ac:dyDescent="0.2">
      <c r="B956" s="238">
        <v>45901</v>
      </c>
      <c r="C956" s="239">
        <v>111</v>
      </c>
      <c r="D956" s="239" t="str">
        <f>IFERROR(VLOOKUP(C956,'Neraca Saldo'!$B$6:$C$56,2,0),"")</f>
        <v>Bank</v>
      </c>
      <c r="E956" s="258" t="s">
        <v>1024</v>
      </c>
      <c r="F956" s="244" t="s">
        <v>77</v>
      </c>
      <c r="G956" s="239"/>
      <c r="H956" s="245">
        <v>200000</v>
      </c>
      <c r="I956" s="240">
        <v>0</v>
      </c>
    </row>
    <row r="957" spans="2:9" ht="12.75" hidden="1" customHeight="1" x14ac:dyDescent="0.2">
      <c r="B957" s="238">
        <v>45901</v>
      </c>
      <c r="C957" s="239">
        <v>212</v>
      </c>
      <c r="D957" s="239" t="str">
        <f>IFERROR(VLOOKUP(C957,'Neraca Saldo'!$B$6:$C$56,2,0),"")</f>
        <v>Simpanan Karyawan</v>
      </c>
      <c r="E957" s="258" t="s">
        <v>1024</v>
      </c>
      <c r="F957" s="244" t="s">
        <v>77</v>
      </c>
      <c r="G957" s="239"/>
      <c r="H957" s="240">
        <f t="shared" si="22"/>
        <v>0</v>
      </c>
      <c r="I957" s="240">
        <f t="shared" si="23"/>
        <v>200000</v>
      </c>
    </row>
    <row r="958" spans="2:9" ht="12.75" hidden="1" customHeight="1" x14ac:dyDescent="0.2">
      <c r="B958" s="238">
        <v>45901</v>
      </c>
      <c r="C958" s="239">
        <v>111</v>
      </c>
      <c r="D958" s="239" t="str">
        <f>IFERROR(VLOOKUP(C958,'Neraca Saldo'!$B$6:$C$56,2,0),"")</f>
        <v>Bank</v>
      </c>
      <c r="E958" s="258" t="s">
        <v>1023</v>
      </c>
      <c r="F958" s="244" t="s">
        <v>77</v>
      </c>
      <c r="G958" s="239"/>
      <c r="H958" s="245">
        <v>200000</v>
      </c>
      <c r="I958" s="240">
        <v>0</v>
      </c>
    </row>
    <row r="959" spans="2:9" ht="12.75" hidden="1" customHeight="1" x14ac:dyDescent="0.2">
      <c r="B959" s="238">
        <v>45901</v>
      </c>
      <c r="C959" s="239">
        <v>212</v>
      </c>
      <c r="D959" s="239" t="str">
        <f>IFERROR(VLOOKUP(C959,'Neraca Saldo'!$B$6:$C$56,2,0),"")</f>
        <v>Simpanan Karyawan</v>
      </c>
      <c r="E959" s="258" t="s">
        <v>1023</v>
      </c>
      <c r="F959" s="244" t="s">
        <v>77</v>
      </c>
      <c r="G959" s="239"/>
      <c r="H959" s="240">
        <f t="shared" si="22"/>
        <v>0</v>
      </c>
      <c r="I959" s="240">
        <f t="shared" si="23"/>
        <v>200000</v>
      </c>
    </row>
    <row r="960" spans="2:9" ht="12.75" hidden="1" customHeight="1" x14ac:dyDescent="0.2">
      <c r="B960" s="238">
        <v>45901</v>
      </c>
      <c r="C960" s="239">
        <v>111</v>
      </c>
      <c r="D960" s="239" t="str">
        <f>IFERROR(VLOOKUP(C960,'Neraca Saldo'!$B$6:$C$56,2,0),"")</f>
        <v>Bank</v>
      </c>
      <c r="E960" s="258" t="s">
        <v>1016</v>
      </c>
      <c r="F960" s="244" t="s">
        <v>77</v>
      </c>
      <c r="G960" s="239"/>
      <c r="H960" s="245">
        <v>200000</v>
      </c>
      <c r="I960" s="240">
        <v>0</v>
      </c>
    </row>
    <row r="961" spans="2:9" ht="12.75" hidden="1" customHeight="1" x14ac:dyDescent="0.2">
      <c r="B961" s="238">
        <v>45901</v>
      </c>
      <c r="C961" s="239">
        <v>212</v>
      </c>
      <c r="D961" s="239" t="str">
        <f>IFERROR(VLOOKUP(C961,'Neraca Saldo'!$B$6:$C$56,2,0),"")</f>
        <v>Simpanan Karyawan</v>
      </c>
      <c r="E961" s="258" t="s">
        <v>1016</v>
      </c>
      <c r="F961" s="244" t="s">
        <v>77</v>
      </c>
      <c r="G961" s="239"/>
      <c r="H961" s="240">
        <f t="shared" si="22"/>
        <v>0</v>
      </c>
      <c r="I961" s="240">
        <f t="shared" si="23"/>
        <v>200000</v>
      </c>
    </row>
    <row r="962" spans="2:9" ht="12.75" hidden="1" customHeight="1" x14ac:dyDescent="0.2">
      <c r="B962" s="238">
        <v>45901</v>
      </c>
      <c r="C962" s="239">
        <v>111</v>
      </c>
      <c r="D962" s="239" t="str">
        <f>IFERROR(VLOOKUP(C962,'Neraca Saldo'!$B$6:$C$56,2,0),"")</f>
        <v>Bank</v>
      </c>
      <c r="E962" s="258" t="s">
        <v>1102</v>
      </c>
      <c r="F962" s="244" t="s">
        <v>77</v>
      </c>
      <c r="G962" s="239"/>
      <c r="H962" s="245">
        <v>164000</v>
      </c>
      <c r="I962" s="240">
        <v>0</v>
      </c>
    </row>
    <row r="963" spans="2:9" ht="12.75" hidden="1" customHeight="1" x14ac:dyDescent="0.2">
      <c r="B963" s="238">
        <v>45901</v>
      </c>
      <c r="C963" s="239">
        <v>212</v>
      </c>
      <c r="D963" s="239" t="str">
        <f>IFERROR(VLOOKUP(C963,'Neraca Saldo'!$B$6:$C$56,2,0),"")</f>
        <v>Simpanan Karyawan</v>
      </c>
      <c r="E963" s="258" t="s">
        <v>1102</v>
      </c>
      <c r="F963" s="244" t="s">
        <v>77</v>
      </c>
      <c r="G963" s="239"/>
      <c r="H963" s="240">
        <f t="shared" si="22"/>
        <v>0</v>
      </c>
      <c r="I963" s="240">
        <f t="shared" si="23"/>
        <v>164000</v>
      </c>
    </row>
    <row r="964" spans="2:9" ht="12.75" hidden="1" customHeight="1" x14ac:dyDescent="0.2">
      <c r="B964" s="238">
        <v>45901</v>
      </c>
      <c r="C964" s="239">
        <v>111</v>
      </c>
      <c r="D964" s="239" t="str">
        <f>IFERROR(VLOOKUP(C964,'Neraca Saldo'!$B$6:$C$56,2,0),"")</f>
        <v>Bank</v>
      </c>
      <c r="E964" s="258" t="s">
        <v>987</v>
      </c>
      <c r="F964" s="244" t="s">
        <v>77</v>
      </c>
      <c r="G964" s="239"/>
      <c r="H964" s="245">
        <v>200000</v>
      </c>
      <c r="I964" s="240">
        <v>0</v>
      </c>
    </row>
    <row r="965" spans="2:9" ht="12.75" hidden="1" customHeight="1" x14ac:dyDescent="0.2">
      <c r="B965" s="238">
        <v>45901</v>
      </c>
      <c r="C965" s="239">
        <v>212</v>
      </c>
      <c r="D965" s="239" t="str">
        <f>IFERROR(VLOOKUP(C965,'Neraca Saldo'!$B$6:$C$56,2,0),"")</f>
        <v>Simpanan Karyawan</v>
      </c>
      <c r="E965" s="258" t="s">
        <v>987</v>
      </c>
      <c r="F965" s="244" t="s">
        <v>77</v>
      </c>
      <c r="G965" s="239"/>
      <c r="H965" s="240">
        <f t="shared" si="22"/>
        <v>0</v>
      </c>
      <c r="I965" s="240">
        <f t="shared" si="23"/>
        <v>200000</v>
      </c>
    </row>
    <row r="966" spans="2:9" ht="12.75" hidden="1" customHeight="1" x14ac:dyDescent="0.2">
      <c r="B966" s="238">
        <v>45901</v>
      </c>
      <c r="C966" s="239">
        <v>111</v>
      </c>
      <c r="D966" s="239" t="str">
        <f>IFERROR(VLOOKUP(C966,'Neraca Saldo'!$B$6:$C$56,2,0),"")</f>
        <v>Bank</v>
      </c>
      <c r="E966" s="258" t="s">
        <v>1066</v>
      </c>
      <c r="F966" s="244" t="s">
        <v>77</v>
      </c>
      <c r="G966" s="239"/>
      <c r="H966" s="245">
        <v>985000</v>
      </c>
      <c r="I966" s="240">
        <v>0</v>
      </c>
    </row>
    <row r="967" spans="2:9" ht="12.75" hidden="1" customHeight="1" x14ac:dyDescent="0.2">
      <c r="B967" s="238">
        <v>45901</v>
      </c>
      <c r="C967" s="239">
        <v>212</v>
      </c>
      <c r="D967" s="239" t="str">
        <f>IFERROR(VLOOKUP(C967,'Neraca Saldo'!$B$6:$C$56,2,0),"")</f>
        <v>Simpanan Karyawan</v>
      </c>
      <c r="E967" s="258" t="s">
        <v>1066</v>
      </c>
      <c r="F967" s="244" t="s">
        <v>77</v>
      </c>
      <c r="G967" s="239"/>
      <c r="H967" s="240">
        <f t="shared" si="22"/>
        <v>0</v>
      </c>
      <c r="I967" s="240">
        <f t="shared" si="23"/>
        <v>985000</v>
      </c>
    </row>
    <row r="968" spans="2:9" ht="12.75" hidden="1" customHeight="1" x14ac:dyDescent="0.2">
      <c r="B968" s="238">
        <v>45901</v>
      </c>
      <c r="C968" s="239">
        <v>111</v>
      </c>
      <c r="D968" s="239" t="str">
        <f>IFERROR(VLOOKUP(C968,'Neraca Saldo'!$B$6:$C$56,2,0),"")</f>
        <v>Bank</v>
      </c>
      <c r="E968" s="258" t="s">
        <v>1020</v>
      </c>
      <c r="F968" s="244" t="s">
        <v>77</v>
      </c>
      <c r="G968" s="239"/>
      <c r="H968" s="245">
        <v>200000</v>
      </c>
      <c r="I968" s="240">
        <v>0</v>
      </c>
    </row>
    <row r="969" spans="2:9" ht="12.75" hidden="1" customHeight="1" x14ac:dyDescent="0.2">
      <c r="B969" s="238">
        <v>45901</v>
      </c>
      <c r="C969" s="239">
        <v>212</v>
      </c>
      <c r="D969" s="239" t="str">
        <f>IFERROR(VLOOKUP(C969,'Neraca Saldo'!$B$6:$C$56,2,0),"")</f>
        <v>Simpanan Karyawan</v>
      </c>
      <c r="E969" s="258" t="s">
        <v>1020</v>
      </c>
      <c r="F969" s="244" t="s">
        <v>77</v>
      </c>
      <c r="G969" s="239"/>
      <c r="H969" s="240">
        <f t="shared" si="22"/>
        <v>0</v>
      </c>
      <c r="I969" s="240">
        <f t="shared" si="23"/>
        <v>200000</v>
      </c>
    </row>
    <row r="970" spans="2:9" ht="12.75" hidden="1" customHeight="1" x14ac:dyDescent="0.2">
      <c r="B970" s="238">
        <v>45901</v>
      </c>
      <c r="C970" s="239">
        <v>111</v>
      </c>
      <c r="D970" s="239" t="str">
        <f>IFERROR(VLOOKUP(C970,'Neraca Saldo'!$B$6:$C$56,2,0),"")</f>
        <v>Bank</v>
      </c>
      <c r="E970" s="258" t="s">
        <v>1047</v>
      </c>
      <c r="F970" s="244" t="s">
        <v>77</v>
      </c>
      <c r="G970" s="239"/>
      <c r="H970" s="245">
        <v>200000</v>
      </c>
      <c r="I970" s="240">
        <v>0</v>
      </c>
    </row>
    <row r="971" spans="2:9" ht="12.75" hidden="1" customHeight="1" x14ac:dyDescent="0.2">
      <c r="B971" s="238">
        <v>45901</v>
      </c>
      <c r="C971" s="239">
        <v>212</v>
      </c>
      <c r="D971" s="239" t="str">
        <f>IFERROR(VLOOKUP(C971,'Neraca Saldo'!$B$6:$C$56,2,0),"")</f>
        <v>Simpanan Karyawan</v>
      </c>
      <c r="E971" s="258" t="s">
        <v>1047</v>
      </c>
      <c r="F971" s="244" t="s">
        <v>77</v>
      </c>
      <c r="G971" s="239"/>
      <c r="H971" s="240">
        <f t="shared" si="22"/>
        <v>0</v>
      </c>
      <c r="I971" s="240">
        <f t="shared" si="23"/>
        <v>200000</v>
      </c>
    </row>
    <row r="972" spans="2:9" ht="12.75" hidden="1" customHeight="1" x14ac:dyDescent="0.2">
      <c r="B972" s="238">
        <v>45901</v>
      </c>
      <c r="C972" s="239">
        <v>111</v>
      </c>
      <c r="D972" s="239" t="str">
        <f>IFERROR(VLOOKUP(C972,'Neraca Saldo'!$B$6:$C$56,2,0),"")</f>
        <v>Bank</v>
      </c>
      <c r="E972" s="258" t="s">
        <v>1067</v>
      </c>
      <c r="F972" s="244" t="s">
        <v>77</v>
      </c>
      <c r="G972" s="239"/>
      <c r="H972" s="245">
        <v>200000</v>
      </c>
      <c r="I972" s="240">
        <v>0</v>
      </c>
    </row>
    <row r="973" spans="2:9" ht="12.75" hidden="1" customHeight="1" x14ac:dyDescent="0.2">
      <c r="B973" s="238">
        <v>45901</v>
      </c>
      <c r="C973" s="239">
        <v>212</v>
      </c>
      <c r="D973" s="239" t="str">
        <f>IFERROR(VLOOKUP(C973,'Neraca Saldo'!$B$6:$C$56,2,0),"")</f>
        <v>Simpanan Karyawan</v>
      </c>
      <c r="E973" s="258" t="s">
        <v>1067</v>
      </c>
      <c r="F973" s="244" t="s">
        <v>77</v>
      </c>
      <c r="G973" s="239"/>
      <c r="H973" s="240">
        <f t="shared" si="22"/>
        <v>0</v>
      </c>
      <c r="I973" s="240">
        <f t="shared" si="23"/>
        <v>200000</v>
      </c>
    </row>
    <row r="974" spans="2:9" ht="12.75" hidden="1" customHeight="1" x14ac:dyDescent="0.2">
      <c r="B974" s="238">
        <v>45901</v>
      </c>
      <c r="C974" s="239">
        <v>111</v>
      </c>
      <c r="D974" s="239" t="str">
        <f>IFERROR(VLOOKUP(C974,'Neraca Saldo'!$B$6:$C$56,2,0),"")</f>
        <v>Bank</v>
      </c>
      <c r="E974" s="258" t="s">
        <v>1101</v>
      </c>
      <c r="F974" s="244" t="s">
        <v>77</v>
      </c>
      <c r="G974" s="239"/>
      <c r="H974" s="245">
        <v>81000</v>
      </c>
      <c r="I974" s="240">
        <v>0</v>
      </c>
    </row>
    <row r="975" spans="2:9" ht="12.75" hidden="1" customHeight="1" x14ac:dyDescent="0.2">
      <c r="B975" s="238">
        <v>45901</v>
      </c>
      <c r="C975" s="239">
        <v>212</v>
      </c>
      <c r="D975" s="239" t="str">
        <f>IFERROR(VLOOKUP(C975,'Neraca Saldo'!$B$6:$C$56,2,0),"")</f>
        <v>Simpanan Karyawan</v>
      </c>
      <c r="E975" s="258" t="s">
        <v>1101</v>
      </c>
      <c r="F975" s="244" t="s">
        <v>77</v>
      </c>
      <c r="G975" s="239"/>
      <c r="H975" s="240">
        <f t="shared" si="22"/>
        <v>0</v>
      </c>
      <c r="I975" s="240">
        <f t="shared" si="23"/>
        <v>81000</v>
      </c>
    </row>
    <row r="976" spans="2:9" ht="12.75" hidden="1" customHeight="1" x14ac:dyDescent="0.2">
      <c r="B976" s="238">
        <v>45901</v>
      </c>
      <c r="C976" s="239">
        <v>111</v>
      </c>
      <c r="D976" s="239" t="str">
        <f>IFERROR(VLOOKUP(C976,'Neraca Saldo'!$B$6:$C$56,2,0),"")</f>
        <v>Bank</v>
      </c>
      <c r="E976" s="258" t="s">
        <v>1103</v>
      </c>
      <c r="F976" s="244" t="s">
        <v>77</v>
      </c>
      <c r="G976" s="239"/>
      <c r="H976" s="245">
        <v>200000</v>
      </c>
      <c r="I976" s="240">
        <v>0</v>
      </c>
    </row>
    <row r="977" spans="2:9" ht="12.75" hidden="1" customHeight="1" x14ac:dyDescent="0.2">
      <c r="B977" s="238">
        <v>45901</v>
      </c>
      <c r="C977" s="239">
        <v>212</v>
      </c>
      <c r="D977" s="239" t="str">
        <f>IFERROR(VLOOKUP(C977,'Neraca Saldo'!$B$6:$C$56,2,0),"")</f>
        <v>Simpanan Karyawan</v>
      </c>
      <c r="E977" s="258" t="s">
        <v>1103</v>
      </c>
      <c r="F977" s="244" t="s">
        <v>77</v>
      </c>
      <c r="G977" s="239"/>
      <c r="H977" s="240">
        <f t="shared" si="22"/>
        <v>0</v>
      </c>
      <c r="I977" s="240">
        <f t="shared" si="23"/>
        <v>200000</v>
      </c>
    </row>
    <row r="978" spans="2:9" ht="12.75" hidden="1" customHeight="1" x14ac:dyDescent="0.2">
      <c r="B978" s="238">
        <v>45901</v>
      </c>
      <c r="C978" s="239">
        <v>111</v>
      </c>
      <c r="D978" s="239" t="str">
        <f>IFERROR(VLOOKUP(C978,'Neraca Saldo'!$B$6:$C$56,2,0),"")</f>
        <v>Bank</v>
      </c>
      <c r="E978" s="258" t="s">
        <v>989</v>
      </c>
      <c r="F978" s="244" t="s">
        <v>77</v>
      </c>
      <c r="G978" s="239"/>
      <c r="H978" s="245">
        <v>200000</v>
      </c>
      <c r="I978" s="240">
        <v>0</v>
      </c>
    </row>
    <row r="979" spans="2:9" ht="12.75" hidden="1" customHeight="1" x14ac:dyDescent="0.2">
      <c r="B979" s="238">
        <v>45901</v>
      </c>
      <c r="C979" s="239">
        <v>212</v>
      </c>
      <c r="D979" s="239" t="str">
        <f>IFERROR(VLOOKUP(C979,'Neraca Saldo'!$B$6:$C$56,2,0),"")</f>
        <v>Simpanan Karyawan</v>
      </c>
      <c r="E979" s="258" t="s">
        <v>989</v>
      </c>
      <c r="F979" s="244" t="s">
        <v>77</v>
      </c>
      <c r="G979" s="239"/>
      <c r="H979" s="240">
        <f t="shared" si="22"/>
        <v>0</v>
      </c>
      <c r="I979" s="240">
        <f t="shared" si="23"/>
        <v>200000</v>
      </c>
    </row>
    <row r="980" spans="2:9" ht="12.75" hidden="1" customHeight="1" x14ac:dyDescent="0.2">
      <c r="B980" s="238">
        <v>45901</v>
      </c>
      <c r="C980" s="239">
        <v>111</v>
      </c>
      <c r="D980" s="239" t="str">
        <f>IFERROR(VLOOKUP(C980,'Neraca Saldo'!$B$6:$C$56,2,0),"")</f>
        <v>Bank</v>
      </c>
      <c r="E980" s="258" t="s">
        <v>1068</v>
      </c>
      <c r="F980" s="244" t="s">
        <v>77</v>
      </c>
      <c r="G980" s="239"/>
      <c r="H980" s="245">
        <v>200000</v>
      </c>
      <c r="I980" s="240">
        <v>0</v>
      </c>
    </row>
    <row r="981" spans="2:9" ht="12.75" hidden="1" customHeight="1" x14ac:dyDescent="0.2">
      <c r="B981" s="238">
        <v>45901</v>
      </c>
      <c r="C981" s="239">
        <v>212</v>
      </c>
      <c r="D981" s="239" t="str">
        <f>IFERROR(VLOOKUP(C981,'Neraca Saldo'!$B$6:$C$56,2,0),"")</f>
        <v>Simpanan Karyawan</v>
      </c>
      <c r="E981" s="258" t="s">
        <v>1068</v>
      </c>
      <c r="F981" s="244" t="s">
        <v>77</v>
      </c>
      <c r="G981" s="239"/>
      <c r="H981" s="240">
        <f t="shared" si="22"/>
        <v>0</v>
      </c>
      <c r="I981" s="240">
        <f t="shared" si="23"/>
        <v>200000</v>
      </c>
    </row>
    <row r="982" spans="2:9" ht="12.75" hidden="1" customHeight="1" x14ac:dyDescent="0.2">
      <c r="B982" s="231">
        <v>45901</v>
      </c>
      <c r="C982" s="232">
        <v>515</v>
      </c>
      <c r="D982" s="232" t="str">
        <f>IFERROR(VLOOKUP(C982,'Neraca Saldo'!$B$6:$C$56,2,0),"")</f>
        <v>Beban Gaji</v>
      </c>
      <c r="E982" s="194" t="s">
        <v>1124</v>
      </c>
      <c r="F982" s="234" t="s">
        <v>838</v>
      </c>
      <c r="G982" s="232"/>
      <c r="H982" s="188">
        <v>2020000</v>
      </c>
      <c r="I982" s="236">
        <f t="shared" si="23"/>
        <v>0</v>
      </c>
    </row>
    <row r="983" spans="2:9" ht="12.75" hidden="1" customHeight="1" x14ac:dyDescent="0.2">
      <c r="B983" s="231">
        <v>45901</v>
      </c>
      <c r="C983" s="232">
        <v>112</v>
      </c>
      <c r="D983" s="232" t="str">
        <f>IFERROR(VLOOKUP(C983,'Neraca Saldo'!$B$6:$C$56,2,0),"")</f>
        <v>Kas</v>
      </c>
      <c r="E983" s="194" t="s">
        <v>1124</v>
      </c>
      <c r="F983" s="234" t="s">
        <v>838</v>
      </c>
      <c r="G983" s="232"/>
      <c r="H983" s="236">
        <f t="shared" si="22"/>
        <v>0</v>
      </c>
      <c r="I983" s="236">
        <f t="shared" si="23"/>
        <v>2020000</v>
      </c>
    </row>
    <row r="984" spans="2:9" ht="12.75" hidden="1" customHeight="1" x14ac:dyDescent="0.2">
      <c r="B984" s="231">
        <v>45901</v>
      </c>
      <c r="C984" s="232">
        <v>515</v>
      </c>
      <c r="D984" s="232" t="str">
        <f>IFERROR(VLOOKUP(C984,'Neraca Saldo'!$B$6:$C$56,2,0),"")</f>
        <v>Beban Gaji</v>
      </c>
      <c r="E984" s="194" t="s">
        <v>1125</v>
      </c>
      <c r="F984" s="234" t="s">
        <v>838</v>
      </c>
      <c r="G984" s="232"/>
      <c r="H984" s="188">
        <v>2120000</v>
      </c>
      <c r="I984" s="236">
        <f t="shared" si="23"/>
        <v>0</v>
      </c>
    </row>
    <row r="985" spans="2:9" ht="12.75" hidden="1" customHeight="1" x14ac:dyDescent="0.2">
      <c r="B985" s="231">
        <v>45901</v>
      </c>
      <c r="C985" s="232">
        <v>112</v>
      </c>
      <c r="D985" s="232" t="str">
        <f>IFERROR(VLOOKUP(C985,'Neraca Saldo'!$B$6:$C$56,2,0),"")</f>
        <v>Kas</v>
      </c>
      <c r="E985" s="194" t="s">
        <v>1125</v>
      </c>
      <c r="F985" s="234" t="s">
        <v>838</v>
      </c>
      <c r="G985" s="232"/>
      <c r="H985" s="236">
        <f t="shared" si="22"/>
        <v>0</v>
      </c>
      <c r="I985" s="236">
        <f t="shared" si="23"/>
        <v>2120000</v>
      </c>
    </row>
    <row r="986" spans="2:9" ht="12.75" hidden="1" customHeight="1" x14ac:dyDescent="0.2">
      <c r="B986" s="231">
        <v>45902</v>
      </c>
      <c r="C986" s="232">
        <v>124</v>
      </c>
      <c r="D986" s="232" t="str">
        <f>IFERROR(VLOOKUP(C986,'Neraca Saldo'!$B$6:$C$56,2,0),"")</f>
        <v>Piutang USP</v>
      </c>
      <c r="E986" s="233" t="s">
        <v>947</v>
      </c>
      <c r="F986" s="234" t="s">
        <v>77</v>
      </c>
      <c r="G986" s="232"/>
      <c r="H986" s="196">
        <v>10000000</v>
      </c>
      <c r="I986" s="236">
        <v>0</v>
      </c>
    </row>
    <row r="987" spans="2:9" ht="12.75" hidden="1" customHeight="1" x14ac:dyDescent="0.2">
      <c r="B987" s="231">
        <v>45902</v>
      </c>
      <c r="C987" s="232">
        <v>111</v>
      </c>
      <c r="D987" s="232" t="str">
        <f>IFERROR(VLOOKUP(C987,'Neraca Saldo'!$B$6:$C$56,2,0),"")</f>
        <v>Bank</v>
      </c>
      <c r="E987" s="233" t="s">
        <v>947</v>
      </c>
      <c r="F987" s="234" t="s">
        <v>77</v>
      </c>
      <c r="G987" s="232"/>
      <c r="H987" s="236">
        <f t="shared" si="22"/>
        <v>0</v>
      </c>
      <c r="I987" s="236">
        <f t="shared" si="23"/>
        <v>10000000</v>
      </c>
    </row>
    <row r="988" spans="2:9" ht="12.75" hidden="1" customHeight="1" x14ac:dyDescent="0.2">
      <c r="B988" s="238">
        <v>45903</v>
      </c>
      <c r="C988" s="239">
        <v>111</v>
      </c>
      <c r="D988" s="239" t="str">
        <f>IFERROR(VLOOKUP(C988,'Neraca Saldo'!$B$6:$C$56,2,0),"")</f>
        <v>Bank</v>
      </c>
      <c r="E988" s="258" t="s">
        <v>1104</v>
      </c>
      <c r="F988" s="244" t="s">
        <v>77</v>
      </c>
      <c r="G988" s="239"/>
      <c r="H988" s="245">
        <v>1000000</v>
      </c>
      <c r="I988" s="240">
        <v>0</v>
      </c>
    </row>
    <row r="989" spans="2:9" ht="12.75" hidden="1" customHeight="1" x14ac:dyDescent="0.2">
      <c r="B989" s="238">
        <v>45903</v>
      </c>
      <c r="C989" s="239">
        <v>212</v>
      </c>
      <c r="D989" s="239" t="str">
        <f>IFERROR(VLOOKUP(C989,'Neraca Saldo'!$B$6:$C$56,2,0),"")</f>
        <v>Simpanan Karyawan</v>
      </c>
      <c r="E989" s="258" t="s">
        <v>1104</v>
      </c>
      <c r="F989" s="244" t="s">
        <v>77</v>
      </c>
      <c r="G989" s="239"/>
      <c r="H989" s="240">
        <f t="shared" si="22"/>
        <v>0</v>
      </c>
      <c r="I989" s="240">
        <f t="shared" si="23"/>
        <v>1000000</v>
      </c>
    </row>
    <row r="990" spans="2:9" ht="12.75" hidden="1" customHeight="1" x14ac:dyDescent="0.2">
      <c r="B990" s="238">
        <v>45903</v>
      </c>
      <c r="C990" s="239">
        <v>111</v>
      </c>
      <c r="D990" s="239" t="str">
        <f>IFERROR(VLOOKUP(C990,'Neraca Saldo'!$B$6:$C$56,2,0),"")</f>
        <v>Bank</v>
      </c>
      <c r="E990" s="258" t="s">
        <v>988</v>
      </c>
      <c r="F990" s="244" t="s">
        <v>77</v>
      </c>
      <c r="G990" s="239"/>
      <c r="H990" s="245">
        <v>200000</v>
      </c>
      <c r="I990" s="240">
        <v>0</v>
      </c>
    </row>
    <row r="991" spans="2:9" ht="12.75" hidden="1" customHeight="1" x14ac:dyDescent="0.2">
      <c r="B991" s="238">
        <v>45903</v>
      </c>
      <c r="C991" s="239">
        <v>212</v>
      </c>
      <c r="D991" s="239" t="str">
        <f>IFERROR(VLOOKUP(C991,'Neraca Saldo'!$B$6:$C$56,2,0),"")</f>
        <v>Simpanan Karyawan</v>
      </c>
      <c r="E991" s="258" t="s">
        <v>988</v>
      </c>
      <c r="F991" s="244" t="s">
        <v>77</v>
      </c>
      <c r="G991" s="239"/>
      <c r="H991" s="240">
        <f t="shared" si="22"/>
        <v>0</v>
      </c>
      <c r="I991" s="240">
        <f t="shared" si="23"/>
        <v>200000</v>
      </c>
    </row>
    <row r="992" spans="2:9" ht="12.75" hidden="1" customHeight="1" x14ac:dyDescent="0.2">
      <c r="B992" s="238">
        <v>45903</v>
      </c>
      <c r="C992" s="239">
        <v>111</v>
      </c>
      <c r="D992" s="239" t="str">
        <f>IFERROR(VLOOKUP(C992,'Neraca Saldo'!$B$6:$C$56,2,0),"")</f>
        <v>Bank</v>
      </c>
      <c r="E992" s="258" t="s">
        <v>1099</v>
      </c>
      <c r="F992" s="244" t="s">
        <v>77</v>
      </c>
      <c r="G992" s="239"/>
      <c r="H992" s="245">
        <v>807000</v>
      </c>
      <c r="I992" s="240">
        <v>0</v>
      </c>
    </row>
    <row r="993" spans="2:9" ht="12.75" hidden="1" customHeight="1" x14ac:dyDescent="0.2">
      <c r="B993" s="238">
        <v>45903</v>
      </c>
      <c r="C993" s="239">
        <v>212</v>
      </c>
      <c r="D993" s="239" t="str">
        <f>IFERROR(VLOOKUP(C993,'Neraca Saldo'!$B$6:$C$56,2,0),"")</f>
        <v>Simpanan Karyawan</v>
      </c>
      <c r="E993" s="258" t="s">
        <v>1099</v>
      </c>
      <c r="F993" s="244" t="s">
        <v>77</v>
      </c>
      <c r="G993" s="239"/>
      <c r="H993" s="240">
        <f t="shared" si="22"/>
        <v>0</v>
      </c>
      <c r="I993" s="240">
        <f t="shared" si="23"/>
        <v>807000</v>
      </c>
    </row>
    <row r="994" spans="2:9" ht="12.75" hidden="1" customHeight="1" x14ac:dyDescent="0.2">
      <c r="B994" s="238">
        <v>45903</v>
      </c>
      <c r="C994" s="239">
        <v>111</v>
      </c>
      <c r="D994" s="239" t="str">
        <f>IFERROR(VLOOKUP(C994,'Neraca Saldo'!$B$6:$C$56,2,0),"")</f>
        <v>Bank</v>
      </c>
      <c r="E994" s="258" t="s">
        <v>1100</v>
      </c>
      <c r="F994" s="244" t="s">
        <v>77</v>
      </c>
      <c r="G994" s="239"/>
      <c r="H994" s="245">
        <v>200000</v>
      </c>
      <c r="I994" s="240">
        <v>0</v>
      </c>
    </row>
    <row r="995" spans="2:9" ht="12.75" hidden="1" customHeight="1" x14ac:dyDescent="0.2">
      <c r="B995" s="238">
        <v>45903</v>
      </c>
      <c r="C995" s="239">
        <v>212</v>
      </c>
      <c r="D995" s="239" t="str">
        <f>IFERROR(VLOOKUP(C995,'Neraca Saldo'!$B$6:$C$56,2,0),"")</f>
        <v>Simpanan Karyawan</v>
      </c>
      <c r="E995" s="258" t="s">
        <v>1100</v>
      </c>
      <c r="F995" s="244" t="s">
        <v>77</v>
      </c>
      <c r="G995" s="239"/>
      <c r="H995" s="240">
        <f t="shared" si="22"/>
        <v>0</v>
      </c>
      <c r="I995" s="240">
        <f t="shared" si="23"/>
        <v>200000</v>
      </c>
    </row>
    <row r="996" spans="2:9" ht="12.75" customHeight="1" x14ac:dyDescent="0.2">
      <c r="B996" s="231">
        <v>45903</v>
      </c>
      <c r="C996" s="232">
        <v>513</v>
      </c>
      <c r="D996" s="232" t="str">
        <f>IFERROR(VLOOKUP(C996,'Neraca Saldo'!$B$6:$C$56,2,0),"")</f>
        <v>Beban Pengurus dan Anggota</v>
      </c>
      <c r="E996" s="194" t="s">
        <v>839</v>
      </c>
      <c r="F996" s="234" t="s">
        <v>838</v>
      </c>
      <c r="G996" s="232"/>
      <c r="H996" s="188">
        <v>416400</v>
      </c>
      <c r="I996" s="236">
        <v>0</v>
      </c>
    </row>
    <row r="997" spans="2:9" ht="12.75" hidden="1" customHeight="1" x14ac:dyDescent="0.2">
      <c r="B997" s="231">
        <v>45903</v>
      </c>
      <c r="C997" s="232">
        <v>112</v>
      </c>
      <c r="D997" s="232" t="str">
        <f>IFERROR(VLOOKUP(C997,'Neraca Saldo'!$B$6:$C$56,2,0),"")</f>
        <v>Kas</v>
      </c>
      <c r="E997" s="194" t="s">
        <v>839</v>
      </c>
      <c r="F997" s="234" t="s">
        <v>838</v>
      </c>
      <c r="G997" s="232"/>
      <c r="H997" s="236">
        <f t="shared" ref="H997:H1055" si="24">I996</f>
        <v>0</v>
      </c>
      <c r="I997" s="236">
        <f t="shared" ref="I997:I1055" si="25">H996</f>
        <v>416400</v>
      </c>
    </row>
    <row r="998" spans="2:9" ht="12.75" hidden="1" customHeight="1" x14ac:dyDescent="0.2">
      <c r="B998" s="238">
        <v>45904</v>
      </c>
      <c r="C998" s="239">
        <v>111</v>
      </c>
      <c r="D998" s="239" t="str">
        <f>IFERROR(VLOOKUP(C998,'Neraca Saldo'!$B$6:$C$56,2,0),"")</f>
        <v>Bank</v>
      </c>
      <c r="E998" s="258" t="s">
        <v>1025</v>
      </c>
      <c r="F998" s="244" t="s">
        <v>77</v>
      </c>
      <c r="G998" s="239"/>
      <c r="H998" s="245">
        <v>200000</v>
      </c>
      <c r="I998" s="240">
        <v>0</v>
      </c>
    </row>
    <row r="999" spans="2:9" ht="12.75" hidden="1" customHeight="1" x14ac:dyDescent="0.2">
      <c r="B999" s="238">
        <v>45904</v>
      </c>
      <c r="C999" s="239">
        <v>212</v>
      </c>
      <c r="D999" s="239" t="str">
        <f>IFERROR(VLOOKUP(C999,'Neraca Saldo'!$B$6:$C$56,2,0),"")</f>
        <v>Simpanan Karyawan</v>
      </c>
      <c r="E999" s="258" t="s">
        <v>1025</v>
      </c>
      <c r="F999" s="244" t="s">
        <v>77</v>
      </c>
      <c r="G999" s="239"/>
      <c r="H999" s="240">
        <f t="shared" si="24"/>
        <v>0</v>
      </c>
      <c r="I999" s="240">
        <f t="shared" si="25"/>
        <v>200000</v>
      </c>
    </row>
    <row r="1000" spans="2:9" ht="12.75" hidden="1" customHeight="1" x14ac:dyDescent="0.2">
      <c r="B1000" s="238">
        <v>45904</v>
      </c>
      <c r="C1000" s="239">
        <v>111</v>
      </c>
      <c r="D1000" s="239" t="str">
        <f>IFERROR(VLOOKUP(C1000,'Neraca Saldo'!$B$6:$C$56,2,0),"")</f>
        <v>Bank</v>
      </c>
      <c r="E1000" s="258" t="s">
        <v>1026</v>
      </c>
      <c r="F1000" s="244" t="s">
        <v>77</v>
      </c>
      <c r="G1000" s="239"/>
      <c r="H1000" s="245">
        <v>241000</v>
      </c>
      <c r="I1000" s="240">
        <v>0</v>
      </c>
    </row>
    <row r="1001" spans="2:9" ht="12.75" hidden="1" customHeight="1" x14ac:dyDescent="0.2">
      <c r="B1001" s="238">
        <v>45904</v>
      </c>
      <c r="C1001" s="239">
        <v>212</v>
      </c>
      <c r="D1001" s="239" t="str">
        <f>IFERROR(VLOOKUP(C1001,'Neraca Saldo'!$B$6:$C$56,2,0),"")</f>
        <v>Simpanan Karyawan</v>
      </c>
      <c r="E1001" s="258" t="s">
        <v>1026</v>
      </c>
      <c r="F1001" s="244" t="s">
        <v>77</v>
      </c>
      <c r="G1001" s="239"/>
      <c r="H1001" s="240">
        <f t="shared" si="24"/>
        <v>0</v>
      </c>
      <c r="I1001" s="240">
        <f t="shared" si="25"/>
        <v>241000</v>
      </c>
    </row>
    <row r="1002" spans="2:9" ht="12.75" hidden="1" customHeight="1" x14ac:dyDescent="0.2">
      <c r="B1002" s="238">
        <v>45908</v>
      </c>
      <c r="C1002" s="239">
        <v>111</v>
      </c>
      <c r="D1002" s="239" t="str">
        <f>IFERROR(VLOOKUP(C1002,'Neraca Saldo'!$B$6:$C$56,2,0),"")</f>
        <v>Bank</v>
      </c>
      <c r="E1002" s="258" t="s">
        <v>1022</v>
      </c>
      <c r="F1002" s="244" t="s">
        <v>77</v>
      </c>
      <c r="G1002" s="239"/>
      <c r="H1002" s="245">
        <v>200000</v>
      </c>
      <c r="I1002" s="240">
        <v>0</v>
      </c>
    </row>
    <row r="1003" spans="2:9" ht="12.75" hidden="1" customHeight="1" x14ac:dyDescent="0.2">
      <c r="B1003" s="238">
        <v>45908</v>
      </c>
      <c r="C1003" s="239">
        <v>212</v>
      </c>
      <c r="D1003" s="239" t="str">
        <f>IFERROR(VLOOKUP(C1003,'Neraca Saldo'!$B$6:$C$56,2,0),"")</f>
        <v>Simpanan Karyawan</v>
      </c>
      <c r="E1003" s="258" t="s">
        <v>1022</v>
      </c>
      <c r="F1003" s="244" t="s">
        <v>77</v>
      </c>
      <c r="G1003" s="239"/>
      <c r="H1003" s="240">
        <f t="shared" si="24"/>
        <v>0</v>
      </c>
      <c r="I1003" s="240">
        <f t="shared" si="25"/>
        <v>200000</v>
      </c>
    </row>
    <row r="1004" spans="2:9" ht="12.75" hidden="1" customHeight="1" x14ac:dyDescent="0.2">
      <c r="B1004" s="238">
        <v>45908</v>
      </c>
      <c r="C1004" s="239">
        <v>111</v>
      </c>
      <c r="D1004" s="239" t="str">
        <f>IFERROR(VLOOKUP(C1004,'Neraca Saldo'!$B$6:$C$56,2,0),"")</f>
        <v>Bank</v>
      </c>
      <c r="E1004" s="258" t="s">
        <v>1031</v>
      </c>
      <c r="F1004" s="244" t="s">
        <v>77</v>
      </c>
      <c r="G1004" s="239"/>
      <c r="H1004" s="245">
        <v>200000</v>
      </c>
      <c r="I1004" s="240">
        <v>0</v>
      </c>
    </row>
    <row r="1005" spans="2:9" ht="12.75" hidden="1" customHeight="1" x14ac:dyDescent="0.2">
      <c r="B1005" s="238">
        <v>45908</v>
      </c>
      <c r="C1005" s="239">
        <v>212</v>
      </c>
      <c r="D1005" s="239" t="str">
        <f>IFERROR(VLOOKUP(C1005,'Neraca Saldo'!$B$6:$C$56,2,0),"")</f>
        <v>Simpanan Karyawan</v>
      </c>
      <c r="E1005" s="258" t="s">
        <v>1031</v>
      </c>
      <c r="F1005" s="244" t="s">
        <v>77</v>
      </c>
      <c r="G1005" s="239"/>
      <c r="H1005" s="240">
        <f t="shared" si="24"/>
        <v>0</v>
      </c>
      <c r="I1005" s="240">
        <f t="shared" si="25"/>
        <v>200000</v>
      </c>
    </row>
    <row r="1006" spans="2:9" ht="12.75" hidden="1" customHeight="1" x14ac:dyDescent="0.2">
      <c r="B1006" s="238">
        <v>45908</v>
      </c>
      <c r="C1006" s="239">
        <v>111</v>
      </c>
      <c r="D1006" s="239" t="str">
        <f>IFERROR(VLOOKUP(C1006,'Neraca Saldo'!$B$6:$C$56,2,0),"")</f>
        <v>Bank</v>
      </c>
      <c r="E1006" s="258" t="s">
        <v>1029</v>
      </c>
      <c r="F1006" s="244" t="s">
        <v>77</v>
      </c>
      <c r="G1006" s="239"/>
      <c r="H1006" s="245">
        <v>200000</v>
      </c>
      <c r="I1006" s="240">
        <v>0</v>
      </c>
    </row>
    <row r="1007" spans="2:9" ht="12.75" hidden="1" customHeight="1" x14ac:dyDescent="0.2">
      <c r="B1007" s="238">
        <v>45908</v>
      </c>
      <c r="C1007" s="239">
        <v>212</v>
      </c>
      <c r="D1007" s="239" t="str">
        <f>IFERROR(VLOOKUP(C1007,'Neraca Saldo'!$B$6:$C$56,2,0),"")</f>
        <v>Simpanan Karyawan</v>
      </c>
      <c r="E1007" s="258" t="s">
        <v>1029</v>
      </c>
      <c r="F1007" s="244" t="s">
        <v>77</v>
      </c>
      <c r="G1007" s="239"/>
      <c r="H1007" s="240">
        <f t="shared" si="24"/>
        <v>0</v>
      </c>
      <c r="I1007" s="240">
        <f t="shared" si="25"/>
        <v>200000</v>
      </c>
    </row>
    <row r="1008" spans="2:9" ht="12.75" hidden="1" customHeight="1" x14ac:dyDescent="0.2">
      <c r="B1008" s="231">
        <v>45909</v>
      </c>
      <c r="C1008" s="232">
        <v>212</v>
      </c>
      <c r="D1008" s="232" t="str">
        <f>IFERROR(VLOOKUP(C1008,'Neraca Saldo'!$B$6:$C$56,2,0),"")</f>
        <v>Simpanan Karyawan</v>
      </c>
      <c r="E1008" s="194" t="s">
        <v>1126</v>
      </c>
      <c r="F1008" s="234" t="s">
        <v>838</v>
      </c>
      <c r="G1008" s="232"/>
      <c r="H1008" s="188">
        <v>1000000</v>
      </c>
      <c r="I1008" s="236">
        <v>0</v>
      </c>
    </row>
    <row r="1009" spans="2:9" ht="12.75" hidden="1" customHeight="1" x14ac:dyDescent="0.2">
      <c r="B1009" s="231">
        <v>45909</v>
      </c>
      <c r="C1009" s="232">
        <v>112</v>
      </c>
      <c r="D1009" s="232" t="str">
        <f>IFERROR(VLOOKUP(C1009,'Neraca Saldo'!$B$6:$C$56,2,0),"")</f>
        <v>Kas</v>
      </c>
      <c r="E1009" s="194" t="s">
        <v>1126</v>
      </c>
      <c r="F1009" s="234" t="s">
        <v>838</v>
      </c>
      <c r="G1009" s="232"/>
      <c r="H1009" s="236">
        <f t="shared" si="24"/>
        <v>0</v>
      </c>
      <c r="I1009" s="236">
        <f t="shared" si="25"/>
        <v>1000000</v>
      </c>
    </row>
    <row r="1010" spans="2:9" ht="12.75" hidden="1" customHeight="1" x14ac:dyDescent="0.2">
      <c r="B1010" s="238">
        <v>45910</v>
      </c>
      <c r="C1010" s="239">
        <v>111</v>
      </c>
      <c r="D1010" s="239" t="str">
        <f>IFERROR(VLOOKUP(C1010,'Neraca Saldo'!$B$6:$C$56,2,0),"")</f>
        <v>Bank</v>
      </c>
      <c r="E1010" s="258" t="s">
        <v>1127</v>
      </c>
      <c r="F1010" s="244" t="s">
        <v>77</v>
      </c>
      <c r="G1010" s="239"/>
      <c r="H1010" s="245">
        <v>350000</v>
      </c>
      <c r="I1010" s="240">
        <v>0</v>
      </c>
    </row>
    <row r="1011" spans="2:9" ht="12.75" hidden="1" customHeight="1" x14ac:dyDescent="0.2">
      <c r="B1011" s="238">
        <v>45910</v>
      </c>
      <c r="C1011" s="239">
        <v>212</v>
      </c>
      <c r="D1011" s="239" t="str">
        <f>IFERROR(VLOOKUP(C1011,'Neraca Saldo'!$B$6:$C$56,2,0),"")</f>
        <v>Simpanan Karyawan</v>
      </c>
      <c r="E1011" s="258" t="s">
        <v>1127</v>
      </c>
      <c r="F1011" s="244" t="s">
        <v>77</v>
      </c>
      <c r="G1011" s="239"/>
      <c r="H1011" s="240">
        <f t="shared" si="24"/>
        <v>0</v>
      </c>
      <c r="I1011" s="240">
        <f t="shared" si="25"/>
        <v>350000</v>
      </c>
    </row>
    <row r="1012" spans="2:9" ht="12.75" hidden="1" customHeight="1" x14ac:dyDescent="0.2">
      <c r="B1012" s="231">
        <v>45911</v>
      </c>
      <c r="C1012" s="232">
        <v>515</v>
      </c>
      <c r="D1012" s="232" t="str">
        <f>IFERROR(VLOOKUP(C1012,'Neraca Saldo'!$B$6:$C$56,2,0),"")</f>
        <v>Beban Gaji</v>
      </c>
      <c r="E1012" s="194" t="s">
        <v>1128</v>
      </c>
      <c r="F1012" s="234" t="s">
        <v>838</v>
      </c>
      <c r="G1012" s="232"/>
      <c r="H1012" s="188">
        <v>5500000</v>
      </c>
      <c r="I1012" s="236">
        <v>0</v>
      </c>
    </row>
    <row r="1013" spans="2:9" ht="12.75" hidden="1" customHeight="1" x14ac:dyDescent="0.2">
      <c r="B1013" s="231">
        <v>45911</v>
      </c>
      <c r="C1013" s="232">
        <v>112</v>
      </c>
      <c r="D1013" s="232" t="str">
        <f>IFERROR(VLOOKUP(C1013,'Neraca Saldo'!$B$6:$C$56,2,0),"")</f>
        <v>Kas</v>
      </c>
      <c r="E1013" s="194" t="s">
        <v>1128</v>
      </c>
      <c r="F1013" s="234" t="s">
        <v>838</v>
      </c>
      <c r="G1013" s="232"/>
      <c r="H1013" s="236">
        <f t="shared" si="24"/>
        <v>0</v>
      </c>
      <c r="I1013" s="236">
        <f t="shared" si="25"/>
        <v>5500000</v>
      </c>
    </row>
    <row r="1014" spans="2:9" ht="12.75" hidden="1" customHeight="1" x14ac:dyDescent="0.2">
      <c r="B1014" s="238">
        <v>45911</v>
      </c>
      <c r="C1014" s="239">
        <v>111</v>
      </c>
      <c r="D1014" s="239" t="str">
        <f>IFERROR(VLOOKUP(C1014,'Neraca Saldo'!$B$6:$C$56,2,0),"")</f>
        <v>Bank</v>
      </c>
      <c r="E1014" s="258" t="s">
        <v>927</v>
      </c>
      <c r="F1014" s="244" t="s">
        <v>77</v>
      </c>
      <c r="G1014" s="239"/>
      <c r="H1014" s="245">
        <v>700000</v>
      </c>
      <c r="I1014" s="240">
        <v>0</v>
      </c>
    </row>
    <row r="1015" spans="2:9" ht="12.75" hidden="1" customHeight="1" x14ac:dyDescent="0.2">
      <c r="B1015" s="238">
        <v>45911</v>
      </c>
      <c r="C1015" s="239">
        <v>212</v>
      </c>
      <c r="D1015" s="239" t="str">
        <f>IFERROR(VLOOKUP(C1015,'Neraca Saldo'!$B$6:$C$56,2,0),"")</f>
        <v>Simpanan Karyawan</v>
      </c>
      <c r="E1015" s="258" t="s">
        <v>927</v>
      </c>
      <c r="F1015" s="244" t="s">
        <v>77</v>
      </c>
      <c r="G1015" s="239"/>
      <c r="H1015" s="240">
        <f t="shared" si="24"/>
        <v>0</v>
      </c>
      <c r="I1015" s="240">
        <f t="shared" si="25"/>
        <v>700000</v>
      </c>
    </row>
    <row r="1016" spans="2:9" ht="12.75" hidden="1" customHeight="1" x14ac:dyDescent="0.2">
      <c r="B1016" s="238">
        <v>45911</v>
      </c>
      <c r="C1016" s="239">
        <v>111</v>
      </c>
      <c r="D1016" s="239" t="str">
        <f>IFERROR(VLOOKUP(C1016,'Neraca Saldo'!$B$6:$C$56,2,0),"")</f>
        <v>Bank</v>
      </c>
      <c r="E1016" s="258" t="s">
        <v>964</v>
      </c>
      <c r="F1016" s="244" t="s">
        <v>77</v>
      </c>
      <c r="G1016" s="239"/>
      <c r="H1016" s="245">
        <v>600000</v>
      </c>
      <c r="I1016" s="240">
        <v>0</v>
      </c>
    </row>
    <row r="1017" spans="2:9" ht="12.75" hidden="1" customHeight="1" x14ac:dyDescent="0.2">
      <c r="B1017" s="238">
        <v>45911</v>
      </c>
      <c r="C1017" s="239">
        <v>212</v>
      </c>
      <c r="D1017" s="239" t="str">
        <f>IFERROR(VLOOKUP(C1017,'Neraca Saldo'!$B$6:$C$56,2,0),"")</f>
        <v>Simpanan Karyawan</v>
      </c>
      <c r="E1017" s="258" t="s">
        <v>964</v>
      </c>
      <c r="F1017" s="244" t="s">
        <v>77</v>
      </c>
      <c r="G1017" s="239"/>
      <c r="H1017" s="240">
        <f t="shared" si="24"/>
        <v>0</v>
      </c>
      <c r="I1017" s="240">
        <f t="shared" si="25"/>
        <v>600000</v>
      </c>
    </row>
    <row r="1018" spans="2:9" ht="12.75" hidden="1" customHeight="1" x14ac:dyDescent="0.2">
      <c r="B1018" s="238">
        <v>45911</v>
      </c>
      <c r="C1018" s="239">
        <v>111</v>
      </c>
      <c r="D1018" s="239" t="str">
        <f>IFERROR(VLOOKUP(C1018,'Neraca Saldo'!$B$6:$C$56,2,0),"")</f>
        <v>Bank</v>
      </c>
      <c r="E1018" s="258" t="s">
        <v>965</v>
      </c>
      <c r="F1018" s="244" t="s">
        <v>77</v>
      </c>
      <c r="G1018" s="239"/>
      <c r="H1018" s="245">
        <v>650000</v>
      </c>
      <c r="I1018" s="240">
        <v>0</v>
      </c>
    </row>
    <row r="1019" spans="2:9" ht="12.75" hidden="1" customHeight="1" x14ac:dyDescent="0.2">
      <c r="B1019" s="238">
        <v>45911</v>
      </c>
      <c r="C1019" s="239">
        <v>212</v>
      </c>
      <c r="D1019" s="239" t="str">
        <f>IFERROR(VLOOKUP(C1019,'Neraca Saldo'!$B$6:$C$56,2,0),"")</f>
        <v>Simpanan Karyawan</v>
      </c>
      <c r="E1019" s="258" t="s">
        <v>965</v>
      </c>
      <c r="F1019" s="244" t="s">
        <v>77</v>
      </c>
      <c r="G1019" s="239"/>
      <c r="H1019" s="240">
        <f t="shared" si="24"/>
        <v>0</v>
      </c>
      <c r="I1019" s="240">
        <f t="shared" si="25"/>
        <v>650000</v>
      </c>
    </row>
    <row r="1020" spans="2:9" ht="12.75" hidden="1" customHeight="1" x14ac:dyDescent="0.2">
      <c r="B1020" s="238">
        <v>45911</v>
      </c>
      <c r="C1020" s="239">
        <v>111</v>
      </c>
      <c r="D1020" s="239" t="str">
        <f>IFERROR(VLOOKUP(C1020,'Neraca Saldo'!$B$6:$C$56,2,0),"")</f>
        <v>Bank</v>
      </c>
      <c r="E1020" s="258" t="s">
        <v>1049</v>
      </c>
      <c r="F1020" s="244" t="s">
        <v>77</v>
      </c>
      <c r="G1020" s="239"/>
      <c r="H1020" s="245">
        <v>600000</v>
      </c>
      <c r="I1020" s="240">
        <v>0</v>
      </c>
    </row>
    <row r="1021" spans="2:9" ht="12.75" hidden="1" customHeight="1" x14ac:dyDescent="0.2">
      <c r="B1021" s="238">
        <v>45911</v>
      </c>
      <c r="C1021" s="239">
        <v>212</v>
      </c>
      <c r="D1021" s="239" t="str">
        <f>IFERROR(VLOOKUP(C1021,'Neraca Saldo'!$B$6:$C$56,2,0),"")</f>
        <v>Simpanan Karyawan</v>
      </c>
      <c r="E1021" s="258" t="s">
        <v>1049</v>
      </c>
      <c r="F1021" s="244" t="s">
        <v>77</v>
      </c>
      <c r="G1021" s="239"/>
      <c r="H1021" s="240">
        <f t="shared" si="24"/>
        <v>0</v>
      </c>
      <c r="I1021" s="240">
        <f t="shared" si="25"/>
        <v>600000</v>
      </c>
    </row>
    <row r="1022" spans="2:9" ht="12.75" hidden="1" customHeight="1" x14ac:dyDescent="0.2">
      <c r="B1022" s="238">
        <v>45911</v>
      </c>
      <c r="C1022" s="239">
        <v>111</v>
      </c>
      <c r="D1022" s="239" t="str">
        <f>IFERROR(VLOOKUP(C1022,'Neraca Saldo'!$B$6:$C$56,2,0),"")</f>
        <v>Bank</v>
      </c>
      <c r="E1022" s="258" t="s">
        <v>1050</v>
      </c>
      <c r="F1022" s="244" t="s">
        <v>77</v>
      </c>
      <c r="G1022" s="239"/>
      <c r="H1022" s="245">
        <v>450000</v>
      </c>
      <c r="I1022" s="240">
        <v>0</v>
      </c>
    </row>
    <row r="1023" spans="2:9" ht="12.75" hidden="1" customHeight="1" x14ac:dyDescent="0.2">
      <c r="B1023" s="238">
        <v>45911</v>
      </c>
      <c r="C1023" s="239">
        <v>212</v>
      </c>
      <c r="D1023" s="239" t="str">
        <f>IFERROR(VLOOKUP(C1023,'Neraca Saldo'!$B$6:$C$56,2,0),"")</f>
        <v>Simpanan Karyawan</v>
      </c>
      <c r="E1023" s="258" t="s">
        <v>1050</v>
      </c>
      <c r="F1023" s="244" t="s">
        <v>77</v>
      </c>
      <c r="G1023" s="239"/>
      <c r="H1023" s="240">
        <f t="shared" si="24"/>
        <v>0</v>
      </c>
      <c r="I1023" s="240">
        <f t="shared" si="25"/>
        <v>450000</v>
      </c>
    </row>
    <row r="1024" spans="2:9" ht="12.75" hidden="1" customHeight="1" x14ac:dyDescent="0.2">
      <c r="B1024" s="238">
        <v>45911</v>
      </c>
      <c r="C1024" s="239">
        <v>111</v>
      </c>
      <c r="D1024" s="239" t="str">
        <f>IFERROR(VLOOKUP(C1024,'Neraca Saldo'!$B$6:$C$56,2,0),"")</f>
        <v>Bank</v>
      </c>
      <c r="E1024" s="258" t="s">
        <v>1077</v>
      </c>
      <c r="F1024" s="244" t="s">
        <v>77</v>
      </c>
      <c r="G1024" s="239"/>
      <c r="H1024" s="245">
        <v>550000</v>
      </c>
      <c r="I1024" s="240">
        <v>0</v>
      </c>
    </row>
    <row r="1025" spans="2:9" ht="12.75" hidden="1" customHeight="1" x14ac:dyDescent="0.2">
      <c r="B1025" s="238">
        <v>45911</v>
      </c>
      <c r="C1025" s="239">
        <v>212</v>
      </c>
      <c r="D1025" s="239" t="str">
        <f>IFERROR(VLOOKUP(C1025,'Neraca Saldo'!$B$6:$C$56,2,0),"")</f>
        <v>Simpanan Karyawan</v>
      </c>
      <c r="E1025" s="258" t="s">
        <v>1077</v>
      </c>
      <c r="F1025" s="244" t="s">
        <v>77</v>
      </c>
      <c r="G1025" s="239"/>
      <c r="H1025" s="240">
        <f t="shared" si="24"/>
        <v>0</v>
      </c>
      <c r="I1025" s="240">
        <f t="shared" si="25"/>
        <v>550000</v>
      </c>
    </row>
    <row r="1026" spans="2:9" ht="12.75" hidden="1" customHeight="1" x14ac:dyDescent="0.2">
      <c r="B1026" s="231">
        <v>45911</v>
      </c>
      <c r="C1026" s="232">
        <v>112</v>
      </c>
      <c r="D1026" s="232" t="str">
        <f>IFERROR(VLOOKUP(C1026,'Neraca Saldo'!$B$6:$C$56,2,0),"")</f>
        <v>Kas</v>
      </c>
      <c r="E1026" s="232" t="s">
        <v>838</v>
      </c>
      <c r="F1026" s="234" t="s">
        <v>77</v>
      </c>
      <c r="G1026" s="232"/>
      <c r="H1026" s="196">
        <v>3550000</v>
      </c>
      <c r="I1026" s="236">
        <v>0</v>
      </c>
    </row>
    <row r="1027" spans="2:9" ht="12.75" hidden="1" customHeight="1" x14ac:dyDescent="0.2">
      <c r="B1027" s="231">
        <v>45911</v>
      </c>
      <c r="C1027" s="232">
        <v>111</v>
      </c>
      <c r="D1027" s="232" t="str">
        <f>IFERROR(VLOOKUP(C1027,'Neraca Saldo'!$B$6:$C$56,2,0),"")</f>
        <v>Bank</v>
      </c>
      <c r="E1027" s="232" t="s">
        <v>838</v>
      </c>
      <c r="F1027" s="234" t="s">
        <v>77</v>
      </c>
      <c r="G1027" s="232"/>
      <c r="H1027" s="236">
        <f t="shared" si="24"/>
        <v>0</v>
      </c>
      <c r="I1027" s="236">
        <f t="shared" si="25"/>
        <v>3550000</v>
      </c>
    </row>
    <row r="1028" spans="2:9" ht="12.75" hidden="1" customHeight="1" x14ac:dyDescent="0.2">
      <c r="B1028" s="238">
        <v>45911</v>
      </c>
      <c r="C1028" s="239">
        <v>111</v>
      </c>
      <c r="D1028" s="239" t="str">
        <f>IFERROR(VLOOKUP(C1028,'Neraca Saldo'!$B$6:$C$56,2,0),"")</f>
        <v>Bank</v>
      </c>
      <c r="E1028" s="258" t="s">
        <v>1129</v>
      </c>
      <c r="F1028" s="244" t="s">
        <v>77</v>
      </c>
      <c r="G1028" s="239"/>
      <c r="H1028" s="245">
        <v>23431063</v>
      </c>
      <c r="I1028" s="240">
        <v>0</v>
      </c>
    </row>
    <row r="1029" spans="2:9" ht="12.75" hidden="1" customHeight="1" x14ac:dyDescent="0.2">
      <c r="B1029" s="238">
        <v>45911</v>
      </c>
      <c r="C1029" s="239">
        <v>212</v>
      </c>
      <c r="D1029" s="239" t="str">
        <f>IFERROR(VLOOKUP(C1029,'Neraca Saldo'!$B$6:$C$56,2,0),"")</f>
        <v>Simpanan Karyawan</v>
      </c>
      <c r="E1029" s="258" t="s">
        <v>1129</v>
      </c>
      <c r="F1029" s="244" t="s">
        <v>77</v>
      </c>
      <c r="G1029" s="239"/>
      <c r="H1029" s="240">
        <f t="shared" si="24"/>
        <v>0</v>
      </c>
      <c r="I1029" s="240">
        <f t="shared" si="25"/>
        <v>23431063</v>
      </c>
    </row>
    <row r="1030" spans="2:9" ht="12.75" hidden="1" customHeight="1" x14ac:dyDescent="0.2">
      <c r="B1030" s="238">
        <v>45915</v>
      </c>
      <c r="C1030" s="239">
        <v>111</v>
      </c>
      <c r="D1030" s="239" t="str">
        <f>IFERROR(VLOOKUP(C1030,'Neraca Saldo'!$B$6:$C$56,2,0),"")</f>
        <v>Bank</v>
      </c>
      <c r="E1030" s="258" t="s">
        <v>1048</v>
      </c>
      <c r="F1030" s="244" t="s">
        <v>77</v>
      </c>
      <c r="G1030" s="239"/>
      <c r="H1030" s="245">
        <v>200000</v>
      </c>
      <c r="I1030" s="240">
        <v>0</v>
      </c>
    </row>
    <row r="1031" spans="2:9" ht="12.75" hidden="1" customHeight="1" x14ac:dyDescent="0.2">
      <c r="B1031" s="238">
        <v>45915</v>
      </c>
      <c r="C1031" s="239">
        <v>212</v>
      </c>
      <c r="D1031" s="239" t="str">
        <f>IFERROR(VLOOKUP(C1031,'Neraca Saldo'!$B$6:$C$56,2,0),"")</f>
        <v>Simpanan Karyawan</v>
      </c>
      <c r="E1031" s="258" t="s">
        <v>1048</v>
      </c>
      <c r="F1031" s="244" t="s">
        <v>77</v>
      </c>
      <c r="G1031" s="239"/>
      <c r="H1031" s="240">
        <f t="shared" si="24"/>
        <v>0</v>
      </c>
      <c r="I1031" s="240">
        <f t="shared" si="25"/>
        <v>200000</v>
      </c>
    </row>
    <row r="1032" spans="2:9" ht="12.75" hidden="1" customHeight="1" x14ac:dyDescent="0.2">
      <c r="B1032" s="231">
        <v>45920</v>
      </c>
      <c r="C1032" s="232">
        <v>517</v>
      </c>
      <c r="D1032" s="232" t="str">
        <f>IFERROR(VLOOKUP(C1032,'Neraca Saldo'!$B$6:$C$56,2,0),"")</f>
        <v>Beban Transport</v>
      </c>
      <c r="E1032" s="194" t="s">
        <v>1130</v>
      </c>
      <c r="F1032" s="234" t="s">
        <v>838</v>
      </c>
      <c r="G1032" s="232"/>
      <c r="H1032" s="188">
        <v>200000</v>
      </c>
      <c r="I1032" s="236">
        <v>0</v>
      </c>
    </row>
    <row r="1033" spans="2:9" ht="12.75" hidden="1" customHeight="1" x14ac:dyDescent="0.2">
      <c r="B1033" s="231">
        <v>45920</v>
      </c>
      <c r="C1033" s="232">
        <v>112</v>
      </c>
      <c r="D1033" s="232" t="str">
        <f>IFERROR(VLOOKUP(C1033,'Neraca Saldo'!$B$6:$C$56,2,0),"")</f>
        <v>Kas</v>
      </c>
      <c r="E1033" s="194" t="s">
        <v>1130</v>
      </c>
      <c r="F1033" s="234" t="s">
        <v>838</v>
      </c>
      <c r="G1033" s="232"/>
      <c r="H1033" s="236">
        <f t="shared" si="24"/>
        <v>0</v>
      </c>
      <c r="I1033" s="236">
        <f t="shared" si="25"/>
        <v>200000</v>
      </c>
    </row>
    <row r="1034" spans="2:9" ht="12.75" customHeight="1" x14ac:dyDescent="0.2">
      <c r="B1034" s="231">
        <v>45922</v>
      </c>
      <c r="C1034" s="232">
        <v>513</v>
      </c>
      <c r="D1034" s="232" t="str">
        <f>IFERROR(VLOOKUP(C1034,'Neraca Saldo'!$B$6:$C$56,2,0),"")</f>
        <v>Beban Pengurus dan Anggota</v>
      </c>
      <c r="E1034" s="194" t="s">
        <v>1131</v>
      </c>
      <c r="F1034" s="234" t="s">
        <v>838</v>
      </c>
      <c r="G1034" s="232"/>
      <c r="H1034" s="188">
        <v>1000000</v>
      </c>
      <c r="I1034" s="236">
        <v>0</v>
      </c>
    </row>
    <row r="1035" spans="2:9" ht="12.75" hidden="1" customHeight="1" x14ac:dyDescent="0.2">
      <c r="B1035" s="231">
        <v>45922</v>
      </c>
      <c r="C1035" s="232">
        <v>112</v>
      </c>
      <c r="D1035" s="232" t="str">
        <f>IFERROR(VLOOKUP(C1035,'Neraca Saldo'!$B$6:$C$56,2,0),"")</f>
        <v>Kas</v>
      </c>
      <c r="E1035" s="194" t="s">
        <v>1131</v>
      </c>
      <c r="F1035" s="234" t="s">
        <v>838</v>
      </c>
      <c r="G1035" s="232"/>
      <c r="H1035" s="236">
        <f t="shared" si="24"/>
        <v>0</v>
      </c>
      <c r="I1035" s="236">
        <f t="shared" si="25"/>
        <v>1000000</v>
      </c>
    </row>
    <row r="1036" spans="2:9" ht="12.75" customHeight="1" x14ac:dyDescent="0.2">
      <c r="B1036" s="231">
        <v>45923</v>
      </c>
      <c r="C1036" s="232">
        <v>513</v>
      </c>
      <c r="D1036" s="232" t="str">
        <f>IFERROR(VLOOKUP(C1036,'Neraca Saldo'!$B$6:$C$56,2,0),"")</f>
        <v>Beban Pengurus dan Anggota</v>
      </c>
      <c r="E1036" s="194" t="s">
        <v>1132</v>
      </c>
      <c r="F1036" s="234" t="s">
        <v>838</v>
      </c>
      <c r="G1036" s="232"/>
      <c r="H1036" s="188">
        <v>1000000</v>
      </c>
      <c r="I1036" s="236">
        <v>0</v>
      </c>
    </row>
    <row r="1037" spans="2:9" ht="12.75" hidden="1" customHeight="1" x14ac:dyDescent="0.2">
      <c r="B1037" s="231">
        <v>45923</v>
      </c>
      <c r="C1037" s="232">
        <v>112</v>
      </c>
      <c r="D1037" s="232" t="str">
        <f>IFERROR(VLOOKUP(C1037,'Neraca Saldo'!$B$6:$C$56,2,0),"")</f>
        <v>Kas</v>
      </c>
      <c r="E1037" s="194" t="s">
        <v>1132</v>
      </c>
      <c r="F1037" s="234" t="s">
        <v>838</v>
      </c>
      <c r="G1037" s="232"/>
      <c r="H1037" s="236">
        <f t="shared" si="24"/>
        <v>0</v>
      </c>
      <c r="I1037" s="236">
        <f t="shared" si="25"/>
        <v>1000000</v>
      </c>
    </row>
    <row r="1038" spans="2:9" ht="12.75" hidden="1" customHeight="1" x14ac:dyDescent="0.2">
      <c r="B1038" s="231">
        <v>45923</v>
      </c>
      <c r="C1038" s="232">
        <v>313</v>
      </c>
      <c r="D1038" s="232" t="str">
        <f>IFERROR(VLOOKUP(C1038,'Neraca Saldo'!$B$6:$C$56,2,0),"")</f>
        <v>(Laba)/Rugi ditahan</v>
      </c>
      <c r="E1038" s="194" t="s">
        <v>1133</v>
      </c>
      <c r="F1038" s="234" t="s">
        <v>838</v>
      </c>
      <c r="G1038" s="232"/>
      <c r="H1038" s="188">
        <v>1000000</v>
      </c>
      <c r="I1038" s="236">
        <v>0</v>
      </c>
    </row>
    <row r="1039" spans="2:9" ht="12.75" hidden="1" customHeight="1" x14ac:dyDescent="0.2">
      <c r="B1039" s="231">
        <v>45923</v>
      </c>
      <c r="C1039" s="232">
        <v>112</v>
      </c>
      <c r="D1039" s="232" t="str">
        <f>IFERROR(VLOOKUP(C1039,'Neraca Saldo'!$B$6:$C$56,2,0),"")</f>
        <v>Kas</v>
      </c>
      <c r="E1039" s="194" t="s">
        <v>1133</v>
      </c>
      <c r="F1039" s="234" t="s">
        <v>838</v>
      </c>
      <c r="G1039" s="232"/>
      <c r="H1039" s="236">
        <f t="shared" si="24"/>
        <v>0</v>
      </c>
      <c r="I1039" s="236">
        <f t="shared" si="25"/>
        <v>1000000</v>
      </c>
    </row>
    <row r="1040" spans="2:9" ht="12.75" hidden="1" customHeight="1" x14ac:dyDescent="0.2">
      <c r="B1040" s="231">
        <v>45923</v>
      </c>
      <c r="C1040" s="232">
        <v>126</v>
      </c>
      <c r="D1040" s="232" t="str">
        <f>IFERROR(VLOOKUP(C1040,'Neraca Saldo'!$B$6:$C$56,2,0),"")</f>
        <v>Piutang Pengadaan</v>
      </c>
      <c r="E1040" s="259" t="s">
        <v>1134</v>
      </c>
      <c r="F1040" s="234" t="s">
        <v>77</v>
      </c>
      <c r="G1040" s="232"/>
      <c r="H1040" s="196">
        <v>20039063</v>
      </c>
      <c r="I1040" s="236">
        <v>0</v>
      </c>
    </row>
    <row r="1041" spans="2:9" ht="12.75" hidden="1" customHeight="1" x14ac:dyDescent="0.2">
      <c r="B1041" s="231">
        <v>45923</v>
      </c>
      <c r="C1041" s="232">
        <v>111</v>
      </c>
      <c r="D1041" s="232" t="str">
        <f>IFERROR(VLOOKUP(C1041,'Neraca Saldo'!$B$6:$C$56,2,0),"")</f>
        <v>Bank</v>
      </c>
      <c r="E1041" s="259" t="s">
        <v>1134</v>
      </c>
      <c r="F1041" s="234" t="s">
        <v>77</v>
      </c>
      <c r="G1041" s="232"/>
      <c r="H1041" s="236">
        <f t="shared" si="24"/>
        <v>0</v>
      </c>
      <c r="I1041" s="236">
        <f t="shared" si="25"/>
        <v>20039063</v>
      </c>
    </row>
    <row r="1042" spans="2:9" ht="12.75" hidden="1" customHeight="1" x14ac:dyDescent="0.2">
      <c r="B1042" s="231">
        <v>45923</v>
      </c>
      <c r="C1042" s="232">
        <v>124</v>
      </c>
      <c r="D1042" s="232" t="str">
        <f>IFERROR(VLOOKUP(C1042,'Neraca Saldo'!$B$6:$C$56,2,0),"")</f>
        <v>Piutang USP</v>
      </c>
      <c r="E1042" s="259" t="s">
        <v>1135</v>
      </c>
      <c r="F1042" s="234" t="s">
        <v>77</v>
      </c>
      <c r="G1042" s="232"/>
      <c r="H1042" s="196">
        <v>3392000</v>
      </c>
      <c r="I1042" s="236">
        <v>0</v>
      </c>
    </row>
    <row r="1043" spans="2:9" ht="12.75" hidden="1" customHeight="1" x14ac:dyDescent="0.2">
      <c r="B1043" s="231">
        <v>45923</v>
      </c>
      <c r="C1043" s="232">
        <v>111</v>
      </c>
      <c r="D1043" s="232" t="str">
        <f>IFERROR(VLOOKUP(C1043,'Neraca Saldo'!$B$6:$C$56,2,0),"")</f>
        <v>Bank</v>
      </c>
      <c r="E1043" s="259" t="s">
        <v>1135</v>
      </c>
      <c r="F1043" s="234" t="s">
        <v>77</v>
      </c>
      <c r="G1043" s="232"/>
      <c r="H1043" s="236">
        <f t="shared" si="24"/>
        <v>0</v>
      </c>
      <c r="I1043" s="236">
        <f t="shared" si="25"/>
        <v>3392000</v>
      </c>
    </row>
    <row r="1044" spans="2:9" ht="12.75" hidden="1" customHeight="1" x14ac:dyDescent="0.2">
      <c r="B1044" s="231">
        <v>45923</v>
      </c>
      <c r="C1044" s="232">
        <v>212</v>
      </c>
      <c r="D1044" s="232" t="str">
        <f>IFERROR(VLOOKUP(C1044,'Neraca Saldo'!$B$6:$C$56,2,0),"")</f>
        <v>Simpanan Karyawan</v>
      </c>
      <c r="E1044" s="259" t="s">
        <v>1136</v>
      </c>
      <c r="F1044" s="234" t="s">
        <v>77</v>
      </c>
      <c r="G1044" s="232"/>
      <c r="H1044" s="196">
        <v>3350000</v>
      </c>
      <c r="I1044" s="236">
        <v>0</v>
      </c>
    </row>
    <row r="1045" spans="2:9" ht="12.75" hidden="1" customHeight="1" x14ac:dyDescent="0.2">
      <c r="B1045" s="231">
        <v>45923</v>
      </c>
      <c r="C1045" s="232">
        <v>111</v>
      </c>
      <c r="D1045" s="232" t="str">
        <f>IFERROR(VLOOKUP(C1045,'Neraca Saldo'!$B$6:$C$56,2,0),"")</f>
        <v>Bank</v>
      </c>
      <c r="E1045" s="259" t="s">
        <v>1136</v>
      </c>
      <c r="F1045" s="234" t="s">
        <v>77</v>
      </c>
      <c r="G1045" s="232"/>
      <c r="H1045" s="236">
        <f t="shared" si="24"/>
        <v>0</v>
      </c>
      <c r="I1045" s="236">
        <f t="shared" si="25"/>
        <v>3350000</v>
      </c>
    </row>
    <row r="1046" spans="2:9" ht="12.75" hidden="1" customHeight="1" x14ac:dyDescent="0.2">
      <c r="B1046" s="231">
        <v>45923</v>
      </c>
      <c r="C1046" s="232">
        <v>112</v>
      </c>
      <c r="D1046" s="232" t="str">
        <f>IFERROR(VLOOKUP(C1046,'Neraca Saldo'!$B$6:$C$56,2,0),"")</f>
        <v>Kas</v>
      </c>
      <c r="E1046" s="232" t="s">
        <v>838</v>
      </c>
      <c r="F1046" s="234" t="s">
        <v>77</v>
      </c>
      <c r="G1046" s="232"/>
      <c r="H1046" s="196">
        <v>3000000</v>
      </c>
      <c r="I1046" s="236">
        <v>0</v>
      </c>
    </row>
    <row r="1047" spans="2:9" ht="12.75" hidden="1" customHeight="1" x14ac:dyDescent="0.2">
      <c r="B1047" s="231">
        <v>45923</v>
      </c>
      <c r="C1047" s="232">
        <v>111</v>
      </c>
      <c r="D1047" s="232" t="str">
        <f>IFERROR(VLOOKUP(C1047,'Neraca Saldo'!$B$6:$C$56,2,0),"")</f>
        <v>Bank</v>
      </c>
      <c r="E1047" s="232" t="s">
        <v>838</v>
      </c>
      <c r="F1047" s="234" t="s">
        <v>77</v>
      </c>
      <c r="G1047" s="232"/>
      <c r="H1047" s="236">
        <f t="shared" si="24"/>
        <v>0</v>
      </c>
      <c r="I1047" s="236">
        <f t="shared" si="25"/>
        <v>3000000</v>
      </c>
    </row>
    <row r="1048" spans="2:9" ht="12.75" hidden="1" customHeight="1" x14ac:dyDescent="0.2">
      <c r="B1048" s="238">
        <v>45923</v>
      </c>
      <c r="C1048" s="239">
        <v>111</v>
      </c>
      <c r="D1048" s="239" t="str">
        <f>IFERROR(VLOOKUP(C1048,'Neraca Saldo'!$B$6:$C$56,2,0),"")</f>
        <v>Bank</v>
      </c>
      <c r="E1048" s="258" t="s">
        <v>1137</v>
      </c>
      <c r="F1048" s="244" t="s">
        <v>77</v>
      </c>
      <c r="G1048" s="239"/>
      <c r="H1048" s="245">
        <v>10000000</v>
      </c>
      <c r="I1048" s="240">
        <v>0</v>
      </c>
    </row>
    <row r="1049" spans="2:9" ht="12.75" hidden="1" customHeight="1" x14ac:dyDescent="0.2">
      <c r="B1049" s="238">
        <v>45923</v>
      </c>
      <c r="C1049" s="239">
        <v>212</v>
      </c>
      <c r="D1049" s="239" t="str">
        <f>IFERROR(VLOOKUP(C1049,'Neraca Saldo'!$B$6:$C$56,2,0),"")</f>
        <v>Simpanan Karyawan</v>
      </c>
      <c r="E1049" s="258" t="s">
        <v>1137</v>
      </c>
      <c r="F1049" s="244" t="s">
        <v>77</v>
      </c>
      <c r="G1049" s="239"/>
      <c r="H1049" s="240">
        <f t="shared" si="24"/>
        <v>0</v>
      </c>
      <c r="I1049" s="240">
        <f t="shared" si="25"/>
        <v>10000000</v>
      </c>
    </row>
    <row r="1050" spans="2:9" ht="12.75" hidden="1" customHeight="1" x14ac:dyDescent="0.2">
      <c r="B1050" s="238">
        <v>45925</v>
      </c>
      <c r="C1050" s="239">
        <v>111</v>
      </c>
      <c r="D1050" s="239" t="str">
        <f>IFERROR(VLOOKUP(C1050,'Neraca Saldo'!$B$6:$C$56,2,0),"")</f>
        <v>Bank</v>
      </c>
      <c r="E1050" s="258" t="s">
        <v>1138</v>
      </c>
      <c r="F1050" s="244" t="s">
        <v>77</v>
      </c>
      <c r="G1050" s="239"/>
      <c r="H1050" s="245">
        <v>4287050</v>
      </c>
      <c r="I1050" s="240">
        <v>0</v>
      </c>
    </row>
    <row r="1051" spans="2:9" ht="12.75" hidden="1" customHeight="1" x14ac:dyDescent="0.2">
      <c r="B1051" s="238">
        <v>45925</v>
      </c>
      <c r="C1051" s="239">
        <v>411</v>
      </c>
      <c r="D1051" s="239" t="str">
        <f>IFERROR(VLOOKUP(C1051,'Neraca Saldo'!$B$6:$C$56,2,0),"")</f>
        <v>Pendapatan Toko</v>
      </c>
      <c r="E1051" s="258" t="s">
        <v>1138</v>
      </c>
      <c r="F1051" s="244" t="s">
        <v>77</v>
      </c>
      <c r="G1051" s="239"/>
      <c r="H1051" s="240">
        <f t="shared" si="24"/>
        <v>0</v>
      </c>
      <c r="I1051" s="240">
        <f t="shared" si="25"/>
        <v>4287050</v>
      </c>
    </row>
    <row r="1052" spans="2:9" ht="12.75" hidden="1" customHeight="1" x14ac:dyDescent="0.2">
      <c r="B1052" s="238">
        <v>45925</v>
      </c>
      <c r="C1052" s="239">
        <v>111</v>
      </c>
      <c r="D1052" s="239" t="str">
        <f>IFERROR(VLOOKUP(C1052,'Neraca Saldo'!$B$6:$C$56,2,0),"")</f>
        <v>Bank</v>
      </c>
      <c r="E1052" s="206" t="s">
        <v>1139</v>
      </c>
      <c r="F1052" s="244" t="s">
        <v>77</v>
      </c>
      <c r="G1052" s="239"/>
      <c r="H1052" s="245">
        <v>900000</v>
      </c>
      <c r="I1052" s="240">
        <v>0</v>
      </c>
    </row>
    <row r="1053" spans="2:9" ht="12.75" hidden="1" customHeight="1" x14ac:dyDescent="0.2">
      <c r="B1053" s="238">
        <v>45925</v>
      </c>
      <c r="C1053" s="239">
        <v>212</v>
      </c>
      <c r="D1053" s="239" t="str">
        <f>IFERROR(VLOOKUP(C1053,'Neraca Saldo'!$B$6:$C$56,2,0),"")</f>
        <v>Simpanan Karyawan</v>
      </c>
      <c r="E1053" s="206" t="s">
        <v>1139</v>
      </c>
      <c r="F1053" s="244" t="s">
        <v>77</v>
      </c>
      <c r="G1053" s="239"/>
      <c r="H1053" s="240">
        <f t="shared" si="24"/>
        <v>0</v>
      </c>
      <c r="I1053" s="240">
        <f t="shared" si="25"/>
        <v>900000</v>
      </c>
    </row>
    <row r="1054" spans="2:9" ht="12.75" hidden="1" customHeight="1" x14ac:dyDescent="0.2">
      <c r="B1054" s="238">
        <v>45925</v>
      </c>
      <c r="C1054" s="239">
        <v>111</v>
      </c>
      <c r="D1054" s="239" t="str">
        <f>IFERROR(VLOOKUP(C1054,'Neraca Saldo'!$B$6:$C$56,2,0),"")</f>
        <v>Bank</v>
      </c>
      <c r="E1054" s="206" t="s">
        <v>1140</v>
      </c>
      <c r="F1054" s="244" t="s">
        <v>77</v>
      </c>
      <c r="G1054" s="239"/>
      <c r="H1054" s="245">
        <v>63400000</v>
      </c>
      <c r="I1054" s="240">
        <v>0</v>
      </c>
    </row>
    <row r="1055" spans="2:9" ht="12.75" hidden="1" customHeight="1" x14ac:dyDescent="0.2">
      <c r="B1055" s="238">
        <v>45925</v>
      </c>
      <c r="C1055" s="239">
        <v>212</v>
      </c>
      <c r="D1055" s="239" t="str">
        <f>IFERROR(VLOOKUP(C1055,'Neraca Saldo'!$B$6:$C$56,2,0),"")</f>
        <v>Simpanan Karyawan</v>
      </c>
      <c r="E1055" s="206" t="s">
        <v>1140</v>
      </c>
      <c r="F1055" s="244" t="s">
        <v>77</v>
      </c>
      <c r="G1055" s="239"/>
      <c r="H1055" s="240">
        <f t="shared" si="24"/>
        <v>0</v>
      </c>
      <c r="I1055" s="240">
        <f t="shared" si="25"/>
        <v>63400000</v>
      </c>
    </row>
    <row r="1056" spans="2:9" ht="12.75" hidden="1" customHeight="1" x14ac:dyDescent="0.2">
      <c r="B1056" s="238">
        <v>45925</v>
      </c>
      <c r="C1056" s="239">
        <v>111</v>
      </c>
      <c r="D1056" s="239" t="str">
        <f>IFERROR(VLOOKUP(C1056,'Neraca Saldo'!$B$6:$C$56,2,0),"")</f>
        <v>Bank</v>
      </c>
      <c r="E1056" s="206" t="s">
        <v>1141</v>
      </c>
      <c r="F1056" s="244" t="s">
        <v>77</v>
      </c>
      <c r="G1056" s="239"/>
      <c r="H1056" s="245">
        <v>32027300</v>
      </c>
      <c r="I1056" s="240">
        <v>0</v>
      </c>
    </row>
    <row r="1057" spans="2:9" ht="12.75" hidden="1" customHeight="1" x14ac:dyDescent="0.2">
      <c r="B1057" s="238">
        <v>45925</v>
      </c>
      <c r="C1057" s="239">
        <v>212</v>
      </c>
      <c r="D1057" s="239" t="str">
        <f>IFERROR(VLOOKUP(C1057,'Neraca Saldo'!$B$6:$C$56,2,0),"")</f>
        <v>Simpanan Karyawan</v>
      </c>
      <c r="E1057" s="206" t="s">
        <v>1141</v>
      </c>
      <c r="F1057" s="244" t="s">
        <v>77</v>
      </c>
      <c r="G1057" s="239"/>
      <c r="H1057" s="240">
        <f t="shared" ref="H1057:H1119" si="26">I1056</f>
        <v>0</v>
      </c>
      <c r="I1057" s="240">
        <f t="shared" ref="I1057:I1119" si="27">H1056</f>
        <v>32027300</v>
      </c>
    </row>
    <row r="1058" spans="2:9" ht="12.75" hidden="1" customHeight="1" x14ac:dyDescent="0.2">
      <c r="B1058" s="238">
        <v>45925</v>
      </c>
      <c r="C1058" s="239">
        <v>111</v>
      </c>
      <c r="D1058" s="239" t="str">
        <f>IFERROR(VLOOKUP(C1058,'Neraca Saldo'!$B$6:$C$56,2,0),"")</f>
        <v>Bank</v>
      </c>
      <c r="E1058" s="206" t="s">
        <v>1142</v>
      </c>
      <c r="F1058" s="244" t="s">
        <v>77</v>
      </c>
      <c r="G1058" s="239"/>
      <c r="H1058" s="245">
        <v>7500000</v>
      </c>
      <c r="I1058" s="240">
        <v>0</v>
      </c>
    </row>
    <row r="1059" spans="2:9" ht="12.75" hidden="1" customHeight="1" x14ac:dyDescent="0.2">
      <c r="B1059" s="238">
        <v>45925</v>
      </c>
      <c r="C1059" s="239">
        <v>222</v>
      </c>
      <c r="D1059" s="239" t="str">
        <f>IFERROR(VLOOKUP(C1059,'Neraca Saldo'!$B$6:$C$56,2,0),"")</f>
        <v>Hutang SPN</v>
      </c>
      <c r="E1059" s="206" t="s">
        <v>1142</v>
      </c>
      <c r="F1059" s="244" t="s">
        <v>77</v>
      </c>
      <c r="G1059" s="239"/>
      <c r="H1059" s="240">
        <f t="shared" si="26"/>
        <v>0</v>
      </c>
      <c r="I1059" s="240">
        <f t="shared" si="27"/>
        <v>7500000</v>
      </c>
    </row>
    <row r="1060" spans="2:9" ht="12.75" hidden="1" customHeight="1" x14ac:dyDescent="0.2">
      <c r="B1060" s="238">
        <v>45925</v>
      </c>
      <c r="C1060" s="239">
        <v>111</v>
      </c>
      <c r="D1060" s="239" t="str">
        <f>IFERROR(VLOOKUP(C1060,'Neraca Saldo'!$B$6:$C$56,2,0),"")</f>
        <v>Bank</v>
      </c>
      <c r="E1060" s="206" t="s">
        <v>1143</v>
      </c>
      <c r="F1060" s="244" t="s">
        <v>77</v>
      </c>
      <c r="G1060" s="239"/>
      <c r="H1060" s="245">
        <v>79130147</v>
      </c>
      <c r="I1060" s="240">
        <v>0</v>
      </c>
    </row>
    <row r="1061" spans="2:9" ht="12.75" hidden="1" customHeight="1" x14ac:dyDescent="0.2">
      <c r="B1061" s="238">
        <v>45925</v>
      </c>
      <c r="C1061" s="239">
        <v>121</v>
      </c>
      <c r="D1061" s="239" t="str">
        <f>IFERROR(VLOOKUP(C1061,'Neraca Saldo'!$B$6:$C$56,2,0),"")</f>
        <v>Piutang Anggota</v>
      </c>
      <c r="E1061" s="206" t="s">
        <v>1143</v>
      </c>
      <c r="F1061" s="244" t="s">
        <v>77</v>
      </c>
      <c r="G1061" s="239"/>
      <c r="H1061" s="240">
        <f t="shared" si="26"/>
        <v>0</v>
      </c>
      <c r="I1061" s="240">
        <f t="shared" si="27"/>
        <v>79130147</v>
      </c>
    </row>
    <row r="1062" spans="2:9" ht="12.75" hidden="1" customHeight="1" x14ac:dyDescent="0.2">
      <c r="B1062" s="238">
        <v>45925</v>
      </c>
      <c r="C1062" s="239">
        <v>111</v>
      </c>
      <c r="D1062" s="239" t="str">
        <f>IFERROR(VLOOKUP(C1062,'Neraca Saldo'!$B$6:$C$56,2,0),"")</f>
        <v>Bank</v>
      </c>
      <c r="E1062" s="206" t="s">
        <v>1144</v>
      </c>
      <c r="F1062" s="244" t="s">
        <v>77</v>
      </c>
      <c r="G1062" s="239"/>
      <c r="H1062" s="245">
        <v>171218875</v>
      </c>
      <c r="I1062" s="240">
        <v>0</v>
      </c>
    </row>
    <row r="1063" spans="2:9" ht="12.75" hidden="1" customHeight="1" x14ac:dyDescent="0.2">
      <c r="B1063" s="238">
        <v>45925</v>
      </c>
      <c r="C1063" s="239">
        <v>121</v>
      </c>
      <c r="D1063" s="239" t="str">
        <f>IFERROR(VLOOKUP(C1063,'Neraca Saldo'!$B$6:$C$56,2,0),"")</f>
        <v>Piutang Anggota</v>
      </c>
      <c r="E1063" s="206" t="s">
        <v>1144</v>
      </c>
      <c r="F1063" s="244" t="s">
        <v>77</v>
      </c>
      <c r="G1063" s="239"/>
      <c r="H1063" s="240">
        <f t="shared" si="26"/>
        <v>0</v>
      </c>
      <c r="I1063" s="240">
        <f t="shared" si="27"/>
        <v>171218875</v>
      </c>
    </row>
    <row r="1064" spans="2:9" ht="12.75" hidden="1" customHeight="1" x14ac:dyDescent="0.2">
      <c r="B1064" s="238">
        <v>45925</v>
      </c>
      <c r="C1064" s="239">
        <v>111</v>
      </c>
      <c r="D1064" s="239" t="str">
        <f>IFERROR(VLOOKUP(C1064,'Neraca Saldo'!$B$6:$C$56,2,0),"")</f>
        <v>Bank</v>
      </c>
      <c r="E1064" s="206" t="s">
        <v>1145</v>
      </c>
      <c r="F1064" s="244" t="s">
        <v>77</v>
      </c>
      <c r="G1064" s="239"/>
      <c r="H1064" s="245">
        <v>6200000</v>
      </c>
      <c r="I1064" s="240">
        <v>0</v>
      </c>
    </row>
    <row r="1065" spans="2:9" ht="12.75" hidden="1" customHeight="1" x14ac:dyDescent="0.2">
      <c r="B1065" s="238">
        <v>45925</v>
      </c>
      <c r="C1065" s="239">
        <v>411</v>
      </c>
      <c r="D1065" s="239" t="str">
        <f>IFERROR(VLOOKUP(C1065,'Neraca Saldo'!$B$6:$C$56,2,0),"")</f>
        <v>Pendapatan Toko</v>
      </c>
      <c r="E1065" s="206" t="s">
        <v>1145</v>
      </c>
      <c r="F1065" s="244" t="s">
        <v>77</v>
      </c>
      <c r="G1065" s="239"/>
      <c r="H1065" s="240">
        <f t="shared" si="26"/>
        <v>0</v>
      </c>
      <c r="I1065" s="240">
        <f t="shared" si="27"/>
        <v>6200000</v>
      </c>
    </row>
    <row r="1066" spans="2:9" ht="12.75" hidden="1" customHeight="1" x14ac:dyDescent="0.2">
      <c r="B1066" s="238">
        <v>45925</v>
      </c>
      <c r="C1066" s="239">
        <v>111</v>
      </c>
      <c r="D1066" s="239" t="str">
        <f>IFERROR(VLOOKUP(C1066,'Neraca Saldo'!$B$6:$C$56,2,0),"")</f>
        <v>Bank</v>
      </c>
      <c r="E1066" s="258" t="s">
        <v>940</v>
      </c>
      <c r="F1066" s="244" t="s">
        <v>77</v>
      </c>
      <c r="G1066" s="239"/>
      <c r="H1066" s="245">
        <v>1000000</v>
      </c>
      <c r="I1066" s="240">
        <v>0</v>
      </c>
    </row>
    <row r="1067" spans="2:9" ht="12.75" hidden="1" customHeight="1" x14ac:dyDescent="0.2">
      <c r="B1067" s="238">
        <v>45925</v>
      </c>
      <c r="C1067" s="239">
        <v>212</v>
      </c>
      <c r="D1067" s="239" t="str">
        <f>IFERROR(VLOOKUP(C1067,'Neraca Saldo'!$B$6:$C$56,2,0),"")</f>
        <v>Simpanan Karyawan</v>
      </c>
      <c r="E1067" s="258" t="s">
        <v>940</v>
      </c>
      <c r="F1067" s="244" t="s">
        <v>77</v>
      </c>
      <c r="G1067" s="239"/>
      <c r="H1067" s="240">
        <f t="shared" si="26"/>
        <v>0</v>
      </c>
      <c r="I1067" s="240">
        <f t="shared" si="27"/>
        <v>1000000</v>
      </c>
    </row>
    <row r="1068" spans="2:9" ht="12.75" hidden="1" customHeight="1" x14ac:dyDescent="0.2">
      <c r="B1068" s="231">
        <v>45926</v>
      </c>
      <c r="C1068" s="232">
        <v>411</v>
      </c>
      <c r="D1068" s="232" t="str">
        <f>IFERROR(VLOOKUP(C1068,'Neraca Saldo'!$B$6:$C$56,2,0),"")</f>
        <v>Pendapatan Toko</v>
      </c>
      <c r="E1068" s="259" t="s">
        <v>1138</v>
      </c>
      <c r="F1068" s="234" t="s">
        <v>77</v>
      </c>
      <c r="G1068" s="232"/>
      <c r="H1068" s="246">
        <v>4287050</v>
      </c>
      <c r="I1068" s="236">
        <v>0</v>
      </c>
    </row>
    <row r="1069" spans="2:9" ht="12.75" hidden="1" customHeight="1" x14ac:dyDescent="0.2">
      <c r="B1069" s="231">
        <v>45926</v>
      </c>
      <c r="C1069" s="232">
        <v>111</v>
      </c>
      <c r="D1069" s="232" t="str">
        <f>IFERROR(VLOOKUP(C1069,'Neraca Saldo'!$B$6:$C$56,2,0),"")</f>
        <v>Bank</v>
      </c>
      <c r="E1069" s="259" t="s">
        <v>1138</v>
      </c>
      <c r="F1069" s="234" t="s">
        <v>77</v>
      </c>
      <c r="G1069" s="232"/>
      <c r="H1069" s="236">
        <f t="shared" si="26"/>
        <v>0</v>
      </c>
      <c r="I1069" s="236">
        <f t="shared" si="27"/>
        <v>4287050</v>
      </c>
    </row>
    <row r="1070" spans="2:9" ht="12.75" hidden="1" customHeight="1" x14ac:dyDescent="0.2">
      <c r="B1070" s="231">
        <v>45926</v>
      </c>
      <c r="C1070" s="232">
        <v>124</v>
      </c>
      <c r="D1070" s="232" t="str">
        <f>IFERROR(VLOOKUP(C1070,'Neraca Saldo'!$B$6:$C$56,2,0),"")</f>
        <v>Piutang USP</v>
      </c>
      <c r="E1070" s="205" t="s">
        <v>1141</v>
      </c>
      <c r="F1070" s="234" t="s">
        <v>77</v>
      </c>
      <c r="G1070" s="232"/>
      <c r="H1070" s="246">
        <v>32027300</v>
      </c>
      <c r="I1070" s="236">
        <v>0</v>
      </c>
    </row>
    <row r="1071" spans="2:9" ht="12.75" hidden="1" customHeight="1" x14ac:dyDescent="0.2">
      <c r="B1071" s="231">
        <v>45926</v>
      </c>
      <c r="C1071" s="232">
        <v>111</v>
      </c>
      <c r="D1071" s="232" t="str">
        <f>IFERROR(VLOOKUP(C1071,'Neraca Saldo'!$B$6:$C$56,2,0),"")</f>
        <v>Bank</v>
      </c>
      <c r="E1071" s="205" t="s">
        <v>1141</v>
      </c>
      <c r="F1071" s="234" t="s">
        <v>77</v>
      </c>
      <c r="G1071" s="232"/>
      <c r="H1071" s="236">
        <f t="shared" si="26"/>
        <v>0</v>
      </c>
      <c r="I1071" s="236">
        <f t="shared" si="27"/>
        <v>32027300</v>
      </c>
    </row>
    <row r="1072" spans="2:9" ht="12.75" hidden="1" customHeight="1" x14ac:dyDescent="0.2">
      <c r="B1072" s="231">
        <v>45926</v>
      </c>
      <c r="C1072" s="232">
        <v>222</v>
      </c>
      <c r="D1072" s="232" t="str">
        <f>IFERROR(VLOOKUP(C1072,'Neraca Saldo'!$B$6:$C$56,2,0),"")</f>
        <v>Hutang SPN</v>
      </c>
      <c r="E1072" s="205" t="s">
        <v>1142</v>
      </c>
      <c r="F1072" s="234" t="s">
        <v>77</v>
      </c>
      <c r="G1072" s="232"/>
      <c r="H1072" s="246">
        <v>7500000</v>
      </c>
      <c r="I1072" s="236">
        <v>0</v>
      </c>
    </row>
    <row r="1073" spans="2:9" ht="12.75" hidden="1" customHeight="1" x14ac:dyDescent="0.2">
      <c r="B1073" s="231">
        <v>45926</v>
      </c>
      <c r="C1073" s="232">
        <v>111</v>
      </c>
      <c r="D1073" s="232" t="str">
        <f>IFERROR(VLOOKUP(C1073,'Neraca Saldo'!$B$6:$C$56,2,0),"")</f>
        <v>Bank</v>
      </c>
      <c r="E1073" s="205" t="s">
        <v>1142</v>
      </c>
      <c r="F1073" s="234" t="s">
        <v>77</v>
      </c>
      <c r="G1073" s="232"/>
      <c r="H1073" s="236">
        <f t="shared" si="26"/>
        <v>0</v>
      </c>
      <c r="I1073" s="236">
        <f t="shared" si="27"/>
        <v>7500000</v>
      </c>
    </row>
    <row r="1074" spans="2:9" ht="12.75" hidden="1" customHeight="1" x14ac:dyDescent="0.2">
      <c r="B1074" s="231">
        <v>45926</v>
      </c>
      <c r="C1074" s="232">
        <v>126</v>
      </c>
      <c r="D1074" s="232" t="str">
        <f>IFERROR(VLOOKUP(C1074,'Neraca Saldo'!$B$6:$C$56,2,0),"")</f>
        <v>Piutang Pengadaan</v>
      </c>
      <c r="E1074" s="205" t="s">
        <v>1143</v>
      </c>
      <c r="F1074" s="234" t="s">
        <v>77</v>
      </c>
      <c r="G1074" s="232"/>
      <c r="H1074" s="246">
        <v>79130147</v>
      </c>
      <c r="I1074" s="236">
        <v>0</v>
      </c>
    </row>
    <row r="1075" spans="2:9" ht="12.75" hidden="1" customHeight="1" x14ac:dyDescent="0.2">
      <c r="B1075" s="231">
        <v>45926</v>
      </c>
      <c r="C1075" s="232">
        <v>111</v>
      </c>
      <c r="D1075" s="232" t="str">
        <f>IFERROR(VLOOKUP(C1075,'Neraca Saldo'!$B$6:$C$56,2,0),"")</f>
        <v>Bank</v>
      </c>
      <c r="E1075" s="205" t="s">
        <v>1143</v>
      </c>
      <c r="F1075" s="234" t="s">
        <v>77</v>
      </c>
      <c r="G1075" s="232"/>
      <c r="H1075" s="236">
        <f t="shared" si="26"/>
        <v>0</v>
      </c>
      <c r="I1075" s="236">
        <f t="shared" si="27"/>
        <v>79130147</v>
      </c>
    </row>
    <row r="1076" spans="2:9" ht="12.75" hidden="1" customHeight="1" x14ac:dyDescent="0.2">
      <c r="B1076" s="231">
        <v>45926</v>
      </c>
      <c r="C1076" s="232">
        <v>124</v>
      </c>
      <c r="D1076" s="232" t="str">
        <f>IFERROR(VLOOKUP(C1076,'Neraca Saldo'!$B$6:$C$56,2,0),"")</f>
        <v>Piutang USP</v>
      </c>
      <c r="E1076" s="205" t="s">
        <v>1144</v>
      </c>
      <c r="F1076" s="234" t="s">
        <v>77</v>
      </c>
      <c r="G1076" s="232"/>
      <c r="H1076" s="246">
        <v>171218875</v>
      </c>
      <c r="I1076" s="236">
        <v>0</v>
      </c>
    </row>
    <row r="1077" spans="2:9" ht="12.75" hidden="1" customHeight="1" x14ac:dyDescent="0.2">
      <c r="B1077" s="231">
        <v>45926</v>
      </c>
      <c r="C1077" s="232">
        <v>111</v>
      </c>
      <c r="D1077" s="232" t="str">
        <f>IFERROR(VLOOKUP(C1077,'Neraca Saldo'!$B$6:$C$56,2,0),"")</f>
        <v>Bank</v>
      </c>
      <c r="E1077" s="205" t="s">
        <v>1144</v>
      </c>
      <c r="F1077" s="234" t="s">
        <v>77</v>
      </c>
      <c r="G1077" s="232"/>
      <c r="H1077" s="236">
        <f t="shared" si="26"/>
        <v>0</v>
      </c>
      <c r="I1077" s="236">
        <f t="shared" si="27"/>
        <v>171218875</v>
      </c>
    </row>
    <row r="1078" spans="2:9" ht="12.75" hidden="1" customHeight="1" x14ac:dyDescent="0.2">
      <c r="B1078" s="231">
        <v>45926</v>
      </c>
      <c r="C1078" s="232">
        <v>411</v>
      </c>
      <c r="D1078" s="232" t="str">
        <f>IFERROR(VLOOKUP(C1078,'Neraca Saldo'!$B$6:$C$56,2,0),"")</f>
        <v>Pendapatan Toko</v>
      </c>
      <c r="E1078" s="205" t="s">
        <v>1145</v>
      </c>
      <c r="F1078" s="234" t="s">
        <v>77</v>
      </c>
      <c r="G1078" s="232"/>
      <c r="H1078" s="246">
        <v>6200000</v>
      </c>
      <c r="I1078" s="236">
        <v>0</v>
      </c>
    </row>
    <row r="1079" spans="2:9" ht="12.75" hidden="1" customHeight="1" x14ac:dyDescent="0.2">
      <c r="B1079" s="231">
        <v>45926</v>
      </c>
      <c r="C1079" s="232">
        <v>111</v>
      </c>
      <c r="D1079" s="232" t="str">
        <f>IFERROR(VLOOKUP(C1079,'Neraca Saldo'!$B$6:$C$56,2,0),"")</f>
        <v>Bank</v>
      </c>
      <c r="E1079" s="205" t="s">
        <v>1145</v>
      </c>
      <c r="F1079" s="234" t="s">
        <v>77</v>
      </c>
      <c r="G1079" s="232"/>
      <c r="H1079" s="236">
        <f t="shared" si="26"/>
        <v>0</v>
      </c>
      <c r="I1079" s="236">
        <f t="shared" si="27"/>
        <v>6200000</v>
      </c>
    </row>
    <row r="1080" spans="2:9" ht="12.75" hidden="1" customHeight="1" x14ac:dyDescent="0.2">
      <c r="B1080" s="231">
        <v>45926</v>
      </c>
      <c r="C1080" s="232">
        <v>124</v>
      </c>
      <c r="D1080" s="232" t="str">
        <f>IFERROR(VLOOKUP(C1080,'Neraca Saldo'!$B$6:$C$56,2,0),"")</f>
        <v>Piutang USP</v>
      </c>
      <c r="E1080" s="233" t="s">
        <v>947</v>
      </c>
      <c r="F1080" s="234" t="s">
        <v>77</v>
      </c>
      <c r="G1080" s="232"/>
      <c r="H1080" s="196">
        <v>35000000</v>
      </c>
      <c r="I1080" s="236">
        <v>0</v>
      </c>
    </row>
    <row r="1081" spans="2:9" ht="12.75" hidden="1" customHeight="1" x14ac:dyDescent="0.2">
      <c r="B1081" s="231">
        <v>45926</v>
      </c>
      <c r="C1081" s="232">
        <v>111</v>
      </c>
      <c r="D1081" s="232" t="str">
        <f>IFERROR(VLOOKUP(C1081,'Neraca Saldo'!$B$6:$C$56,2,0),"")</f>
        <v>Bank</v>
      </c>
      <c r="E1081" s="233" t="s">
        <v>947</v>
      </c>
      <c r="F1081" s="234" t="s">
        <v>77</v>
      </c>
      <c r="G1081" s="232"/>
      <c r="H1081" s="236">
        <f t="shared" si="26"/>
        <v>0</v>
      </c>
      <c r="I1081" s="236">
        <f t="shared" si="27"/>
        <v>35000000</v>
      </c>
    </row>
    <row r="1082" spans="2:9" ht="12.75" hidden="1" customHeight="1" x14ac:dyDescent="0.2">
      <c r="B1082" s="231">
        <v>45926</v>
      </c>
      <c r="C1082" s="232">
        <v>126</v>
      </c>
      <c r="D1082" s="232" t="str">
        <f>IFERROR(VLOOKUP(C1082,'Neraca Saldo'!$B$6:$C$56,2,0),"")</f>
        <v>Piutang Pengadaan</v>
      </c>
      <c r="E1082" s="259" t="s">
        <v>836</v>
      </c>
      <c r="F1082" s="234" t="s">
        <v>77</v>
      </c>
      <c r="G1082" s="232"/>
      <c r="H1082" s="196">
        <v>25000000</v>
      </c>
      <c r="I1082" s="236">
        <v>0</v>
      </c>
    </row>
    <row r="1083" spans="2:9" ht="12.75" hidden="1" customHeight="1" x14ac:dyDescent="0.2">
      <c r="B1083" s="231">
        <v>45926</v>
      </c>
      <c r="C1083" s="232">
        <v>111</v>
      </c>
      <c r="D1083" s="232" t="str">
        <f>IFERROR(VLOOKUP(C1083,'Neraca Saldo'!$B$6:$C$56,2,0),"")</f>
        <v>Bank</v>
      </c>
      <c r="E1083" s="259" t="s">
        <v>836</v>
      </c>
      <c r="F1083" s="234" t="s">
        <v>77</v>
      </c>
      <c r="G1083" s="232"/>
      <c r="H1083" s="236">
        <f t="shared" si="26"/>
        <v>0</v>
      </c>
      <c r="I1083" s="236">
        <f t="shared" si="27"/>
        <v>25000000</v>
      </c>
    </row>
    <row r="1084" spans="2:9" ht="12.75" hidden="1" customHeight="1" x14ac:dyDescent="0.2">
      <c r="B1084" s="231">
        <v>45926</v>
      </c>
      <c r="C1084" s="232">
        <v>112</v>
      </c>
      <c r="D1084" s="232" t="str">
        <f>IFERROR(VLOOKUP(C1084,'Neraca Saldo'!$B$6:$C$56,2,0),"")</f>
        <v>Kas</v>
      </c>
      <c r="E1084" s="232" t="s">
        <v>838</v>
      </c>
      <c r="F1084" s="234" t="s">
        <v>77</v>
      </c>
      <c r="G1084" s="232"/>
      <c r="H1084" s="196">
        <v>15000000</v>
      </c>
      <c r="I1084" s="236">
        <v>0</v>
      </c>
    </row>
    <row r="1085" spans="2:9" ht="12.75" hidden="1" customHeight="1" x14ac:dyDescent="0.2">
      <c r="B1085" s="231">
        <v>45926</v>
      </c>
      <c r="C1085" s="232">
        <v>111</v>
      </c>
      <c r="D1085" s="232" t="str">
        <f>IFERROR(VLOOKUP(C1085,'Neraca Saldo'!$B$6:$C$56,2,0),"")</f>
        <v>Bank</v>
      </c>
      <c r="E1085" s="232" t="s">
        <v>838</v>
      </c>
      <c r="F1085" s="234" t="s">
        <v>77</v>
      </c>
      <c r="G1085" s="232"/>
      <c r="H1085" s="236">
        <f t="shared" si="26"/>
        <v>0</v>
      </c>
      <c r="I1085" s="236">
        <f t="shared" si="27"/>
        <v>15000000</v>
      </c>
    </row>
    <row r="1086" spans="2:9" ht="12.75" hidden="1" customHeight="1" x14ac:dyDescent="0.2">
      <c r="B1086" s="231">
        <v>45926</v>
      </c>
      <c r="C1086" s="232">
        <v>520</v>
      </c>
      <c r="D1086" s="232" t="str">
        <f>IFERROR(VLOOKUP(C1086,'Neraca Saldo'!$B$6:$C$56,2,0),"")</f>
        <v>Beban Perlengkapan</v>
      </c>
      <c r="E1086" s="194" t="s">
        <v>1146</v>
      </c>
      <c r="F1086" s="234" t="s">
        <v>838</v>
      </c>
      <c r="G1086" s="232"/>
      <c r="H1086" s="196">
        <v>753850</v>
      </c>
      <c r="I1086" s="236">
        <v>0</v>
      </c>
    </row>
    <row r="1087" spans="2:9" ht="12.75" hidden="1" customHeight="1" x14ac:dyDescent="0.2">
      <c r="B1087" s="231">
        <v>45926</v>
      </c>
      <c r="C1087" s="232">
        <v>112</v>
      </c>
      <c r="D1087" s="232" t="str">
        <f>IFERROR(VLOOKUP(C1087,'Neraca Saldo'!$B$6:$C$56,2,0),"")</f>
        <v>Kas</v>
      </c>
      <c r="E1087" s="194" t="s">
        <v>1146</v>
      </c>
      <c r="F1087" s="234" t="s">
        <v>838</v>
      </c>
      <c r="G1087" s="232"/>
      <c r="H1087" s="236">
        <f t="shared" si="26"/>
        <v>0</v>
      </c>
      <c r="I1087" s="236">
        <f t="shared" si="27"/>
        <v>753850</v>
      </c>
    </row>
    <row r="1088" spans="2:9" ht="12.75" hidden="1" customHeight="1" x14ac:dyDescent="0.2">
      <c r="B1088" s="238">
        <v>45927</v>
      </c>
      <c r="C1088" s="239">
        <v>111</v>
      </c>
      <c r="D1088" s="239" t="str">
        <f>IFERROR(VLOOKUP(C1088,'Neraca Saldo'!$B$6:$C$56,2,0),"")</f>
        <v>Bank</v>
      </c>
      <c r="E1088" s="258" t="s">
        <v>1104</v>
      </c>
      <c r="F1088" s="244" t="s">
        <v>77</v>
      </c>
      <c r="G1088" s="239"/>
      <c r="H1088" s="245">
        <v>1000000</v>
      </c>
      <c r="I1088" s="240">
        <v>0</v>
      </c>
    </row>
    <row r="1089" spans="2:9" ht="12.75" hidden="1" customHeight="1" x14ac:dyDescent="0.2">
      <c r="B1089" s="238">
        <v>45927</v>
      </c>
      <c r="C1089" s="239">
        <v>212</v>
      </c>
      <c r="D1089" s="239" t="str">
        <f>IFERROR(VLOOKUP(C1089,'Neraca Saldo'!$B$6:$C$56,2,0),"")</f>
        <v>Simpanan Karyawan</v>
      </c>
      <c r="E1089" s="258" t="s">
        <v>1104</v>
      </c>
      <c r="F1089" s="244" t="s">
        <v>77</v>
      </c>
      <c r="G1089" s="239"/>
      <c r="H1089" s="240">
        <f t="shared" si="26"/>
        <v>0</v>
      </c>
      <c r="I1089" s="240">
        <f t="shared" si="27"/>
        <v>1000000</v>
      </c>
    </row>
    <row r="1090" spans="2:9" ht="12.75" hidden="1" customHeight="1" x14ac:dyDescent="0.2">
      <c r="B1090" s="238">
        <v>45928</v>
      </c>
      <c r="C1090" s="239">
        <v>111</v>
      </c>
      <c r="D1090" s="239" t="str">
        <f>IFERROR(VLOOKUP(C1090,'Neraca Saldo'!$B$6:$C$56,2,0),"")</f>
        <v>Bank</v>
      </c>
      <c r="E1090" s="258" t="s">
        <v>1048</v>
      </c>
      <c r="F1090" s="244" t="s">
        <v>77</v>
      </c>
      <c r="G1090" s="239"/>
      <c r="H1090" s="245">
        <v>200000</v>
      </c>
      <c r="I1090" s="240">
        <v>0</v>
      </c>
    </row>
    <row r="1091" spans="2:9" ht="12.75" hidden="1" customHeight="1" x14ac:dyDescent="0.2">
      <c r="B1091" s="238">
        <v>45928</v>
      </c>
      <c r="C1091" s="239">
        <v>212</v>
      </c>
      <c r="D1091" s="239" t="str">
        <f>IFERROR(VLOOKUP(C1091,'Neraca Saldo'!$B$6:$C$56,2,0),"")</f>
        <v>Simpanan Karyawan</v>
      </c>
      <c r="E1091" s="258" t="s">
        <v>1048</v>
      </c>
      <c r="F1091" s="244" t="s">
        <v>77</v>
      </c>
      <c r="G1091" s="239"/>
      <c r="H1091" s="240">
        <f t="shared" si="26"/>
        <v>0</v>
      </c>
      <c r="I1091" s="240">
        <f t="shared" si="27"/>
        <v>200000</v>
      </c>
    </row>
    <row r="1092" spans="2:9" ht="12.75" hidden="1" customHeight="1" x14ac:dyDescent="0.2">
      <c r="B1092" s="238">
        <v>45930</v>
      </c>
      <c r="C1092" s="239">
        <v>111</v>
      </c>
      <c r="D1092" s="239" t="str">
        <f>IFERROR(VLOOKUP(C1092,'Neraca Saldo'!$B$6:$C$56,2,0),"")</f>
        <v>Bank</v>
      </c>
      <c r="E1092" s="258" t="s">
        <v>1031</v>
      </c>
      <c r="F1092" s="244" t="s">
        <v>77</v>
      </c>
      <c r="G1092" s="239"/>
      <c r="H1092" s="245">
        <v>200000</v>
      </c>
      <c r="I1092" s="240">
        <v>0</v>
      </c>
    </row>
    <row r="1093" spans="2:9" ht="12.75" hidden="1" customHeight="1" x14ac:dyDescent="0.2">
      <c r="B1093" s="238">
        <v>45930</v>
      </c>
      <c r="C1093" s="239">
        <v>212</v>
      </c>
      <c r="D1093" s="239" t="str">
        <f>IFERROR(VLOOKUP(C1093,'Neraca Saldo'!$B$6:$C$56,2,0),"")</f>
        <v>Simpanan Karyawan</v>
      </c>
      <c r="E1093" s="258" t="s">
        <v>1031</v>
      </c>
      <c r="F1093" s="244" t="s">
        <v>77</v>
      </c>
      <c r="G1093" s="239"/>
      <c r="H1093" s="240">
        <f t="shared" si="26"/>
        <v>0</v>
      </c>
      <c r="I1093" s="240">
        <f t="shared" si="27"/>
        <v>200000</v>
      </c>
    </row>
    <row r="1094" spans="2:9" ht="12.75" hidden="1" customHeight="1" x14ac:dyDescent="0.2">
      <c r="B1094" s="238">
        <v>45930</v>
      </c>
      <c r="C1094" s="239">
        <v>111</v>
      </c>
      <c r="D1094" s="239" t="str">
        <f>IFERROR(VLOOKUP(C1094,'Neraca Saldo'!$B$6:$C$56,2,0),"")</f>
        <v>Bank</v>
      </c>
      <c r="E1094" s="216" t="s">
        <v>57</v>
      </c>
      <c r="F1094" s="239" t="s">
        <v>77</v>
      </c>
      <c r="G1094" s="239"/>
      <c r="H1094" s="245">
        <v>20552</v>
      </c>
      <c r="I1094" s="240">
        <v>0</v>
      </c>
    </row>
    <row r="1095" spans="2:9" ht="12.75" hidden="1" customHeight="1" x14ac:dyDescent="0.2">
      <c r="B1095" s="238">
        <v>45930</v>
      </c>
      <c r="C1095" s="239">
        <v>413</v>
      </c>
      <c r="D1095" s="239" t="str">
        <f>IFERROR(VLOOKUP(C1095,'Neraca Saldo'!$B$6:$C$56,2,0),"")</f>
        <v>Pendapatan Jasa Bank</v>
      </c>
      <c r="E1095" s="216" t="s">
        <v>57</v>
      </c>
      <c r="F1095" s="239" t="s">
        <v>77</v>
      </c>
      <c r="G1095" s="239"/>
      <c r="H1095" s="240">
        <f t="shared" si="26"/>
        <v>0</v>
      </c>
      <c r="I1095" s="240">
        <f t="shared" si="27"/>
        <v>20552</v>
      </c>
    </row>
    <row r="1096" spans="2:9" ht="12.75" hidden="1" customHeight="1" x14ac:dyDescent="0.2">
      <c r="B1096" s="231">
        <v>45930</v>
      </c>
      <c r="C1096" s="232">
        <v>521</v>
      </c>
      <c r="D1096" s="232" t="str">
        <f>IFERROR(VLOOKUP(C1096,'Neraca Saldo'!$B$6:$C$56,2,0),"")</f>
        <v>Beban Biaya Bank</v>
      </c>
      <c r="E1096" s="260" t="s">
        <v>94</v>
      </c>
      <c r="F1096" s="232" t="s">
        <v>77</v>
      </c>
      <c r="G1096" s="232"/>
      <c r="H1096" s="196">
        <v>4111</v>
      </c>
      <c r="I1096" s="236">
        <v>0</v>
      </c>
    </row>
    <row r="1097" spans="2:9" ht="12.75" hidden="1" customHeight="1" x14ac:dyDescent="0.2">
      <c r="B1097" s="231">
        <v>45930</v>
      </c>
      <c r="C1097" s="232">
        <v>111</v>
      </c>
      <c r="D1097" s="232" t="str">
        <f>IFERROR(VLOOKUP(C1097,'Neraca Saldo'!$B$6:$C$56,2,0),"")</f>
        <v>Bank</v>
      </c>
      <c r="E1097" s="260" t="s">
        <v>94</v>
      </c>
      <c r="F1097" s="232" t="s">
        <v>77</v>
      </c>
      <c r="G1097" s="232"/>
      <c r="H1097" s="236">
        <f t="shared" si="26"/>
        <v>0</v>
      </c>
      <c r="I1097" s="236">
        <f t="shared" si="27"/>
        <v>4111</v>
      </c>
    </row>
    <row r="1098" spans="2:9" ht="12.75" hidden="1" customHeight="1" x14ac:dyDescent="0.2">
      <c r="B1098" s="231">
        <v>45930</v>
      </c>
      <c r="C1098" s="232">
        <v>521</v>
      </c>
      <c r="D1098" s="232" t="str">
        <f>IFERROR(VLOOKUP(C1098,'Neraca Saldo'!$B$6:$C$56,2,0),"")</f>
        <v>Beban Biaya Bank</v>
      </c>
      <c r="E1098" s="260" t="s">
        <v>95</v>
      </c>
      <c r="F1098" s="232" t="s">
        <v>77</v>
      </c>
      <c r="G1098" s="232"/>
      <c r="H1098" s="196">
        <v>10000</v>
      </c>
      <c r="I1098" s="236">
        <v>0</v>
      </c>
    </row>
    <row r="1099" spans="2:9" ht="12.75" hidden="1" customHeight="1" x14ac:dyDescent="0.2">
      <c r="B1099" s="231">
        <v>45930</v>
      </c>
      <c r="C1099" s="232">
        <v>111</v>
      </c>
      <c r="D1099" s="232" t="str">
        <f>IFERROR(VLOOKUP(C1099,'Neraca Saldo'!$B$6:$C$56,2,0),"")</f>
        <v>Bank</v>
      </c>
      <c r="E1099" s="260" t="s">
        <v>95</v>
      </c>
      <c r="F1099" s="232" t="s">
        <v>77</v>
      </c>
      <c r="G1099" s="232"/>
      <c r="H1099" s="236">
        <f t="shared" si="26"/>
        <v>0</v>
      </c>
      <c r="I1099" s="236">
        <f t="shared" si="27"/>
        <v>10000</v>
      </c>
    </row>
    <row r="1100" spans="2:9" ht="12.75" hidden="1" customHeight="1" x14ac:dyDescent="0.2">
      <c r="B1100" s="231">
        <v>45931</v>
      </c>
      <c r="C1100" s="232">
        <v>515</v>
      </c>
      <c r="D1100" s="232" t="str">
        <f>IFERROR(VLOOKUP(C1100,'Neraca Saldo'!$B$6:$C$56,2,0),"")</f>
        <v>Beban Gaji</v>
      </c>
      <c r="E1100" s="194" t="s">
        <v>1147</v>
      </c>
      <c r="F1100" s="232" t="s">
        <v>838</v>
      </c>
      <c r="G1100" s="232"/>
      <c r="H1100" s="188">
        <v>2320000</v>
      </c>
      <c r="I1100" s="236">
        <v>0</v>
      </c>
    </row>
    <row r="1101" spans="2:9" ht="12.75" hidden="1" customHeight="1" x14ac:dyDescent="0.2">
      <c r="B1101" s="231">
        <v>45931</v>
      </c>
      <c r="C1101" s="232">
        <v>112</v>
      </c>
      <c r="D1101" s="232" t="str">
        <f>IFERROR(VLOOKUP(C1101,'Neraca Saldo'!$B$6:$C$56,2,0),"")</f>
        <v>Kas</v>
      </c>
      <c r="E1101" s="194" t="s">
        <v>1147</v>
      </c>
      <c r="F1101" s="232" t="s">
        <v>838</v>
      </c>
      <c r="G1101" s="232"/>
      <c r="H1101" s="236">
        <f t="shared" si="26"/>
        <v>0</v>
      </c>
      <c r="I1101" s="236">
        <f t="shared" si="27"/>
        <v>2320000</v>
      </c>
    </row>
    <row r="1102" spans="2:9" ht="12.75" hidden="1" customHeight="1" x14ac:dyDescent="0.2">
      <c r="B1102" s="231">
        <v>45931</v>
      </c>
      <c r="C1102" s="232">
        <v>515</v>
      </c>
      <c r="D1102" s="232" t="str">
        <f>IFERROR(VLOOKUP(C1102,'Neraca Saldo'!$B$6:$C$56,2,0),"")</f>
        <v>Beban Gaji</v>
      </c>
      <c r="E1102" s="194" t="s">
        <v>1148</v>
      </c>
      <c r="F1102" s="232" t="s">
        <v>838</v>
      </c>
      <c r="G1102" s="232"/>
      <c r="H1102" s="188">
        <v>2320000</v>
      </c>
      <c r="I1102" s="236">
        <v>0</v>
      </c>
    </row>
    <row r="1103" spans="2:9" ht="12.75" hidden="1" customHeight="1" x14ac:dyDescent="0.2">
      <c r="B1103" s="231">
        <v>45931</v>
      </c>
      <c r="C1103" s="232">
        <v>112</v>
      </c>
      <c r="D1103" s="232" t="str">
        <f>IFERROR(VLOOKUP(C1103,'Neraca Saldo'!$B$6:$C$56,2,0),"")</f>
        <v>Kas</v>
      </c>
      <c r="E1103" s="194" t="s">
        <v>1148</v>
      </c>
      <c r="F1103" s="232" t="s">
        <v>838</v>
      </c>
      <c r="G1103" s="232"/>
      <c r="H1103" s="236">
        <f t="shared" si="26"/>
        <v>0</v>
      </c>
      <c r="I1103" s="236">
        <f t="shared" si="27"/>
        <v>2320000</v>
      </c>
    </row>
    <row r="1104" spans="2:9" ht="12.75" hidden="1" customHeight="1" x14ac:dyDescent="0.2">
      <c r="B1104" s="231">
        <v>45931</v>
      </c>
      <c r="C1104" s="232">
        <v>515</v>
      </c>
      <c r="D1104" s="232" t="str">
        <f>IFERROR(VLOOKUP(C1104,'Neraca Saldo'!$B$6:$C$56,2,0),"")</f>
        <v>Beban Gaji</v>
      </c>
      <c r="E1104" s="194" t="s">
        <v>1149</v>
      </c>
      <c r="F1104" s="232" t="s">
        <v>838</v>
      </c>
      <c r="G1104" s="232"/>
      <c r="H1104" s="188">
        <v>5500000</v>
      </c>
      <c r="I1104" s="236">
        <v>0</v>
      </c>
    </row>
    <row r="1105" spans="2:9" ht="12.75" hidden="1" customHeight="1" x14ac:dyDescent="0.2">
      <c r="B1105" s="231">
        <v>45931</v>
      </c>
      <c r="C1105" s="232">
        <v>112</v>
      </c>
      <c r="D1105" s="232" t="str">
        <f>IFERROR(VLOOKUP(C1105,'Neraca Saldo'!$B$6:$C$56,2,0),"")</f>
        <v>Kas</v>
      </c>
      <c r="E1105" s="194" t="s">
        <v>1149</v>
      </c>
      <c r="F1105" s="232" t="s">
        <v>838</v>
      </c>
      <c r="G1105" s="232"/>
      <c r="H1105" s="236">
        <f t="shared" si="26"/>
        <v>0</v>
      </c>
      <c r="I1105" s="236">
        <f t="shared" si="27"/>
        <v>5500000</v>
      </c>
    </row>
    <row r="1106" spans="2:9" ht="12.75" hidden="1" customHeight="1" x14ac:dyDescent="0.2">
      <c r="B1106" s="231">
        <v>45931</v>
      </c>
      <c r="C1106" s="232">
        <v>212</v>
      </c>
      <c r="D1106" s="232" t="str">
        <f>IFERROR(VLOOKUP(C1106,'Neraca Saldo'!$B$6:$C$56,2,0),"")</f>
        <v>Simpanan Karyawan</v>
      </c>
      <c r="E1106" s="194" t="s">
        <v>1150</v>
      </c>
      <c r="F1106" s="232" t="s">
        <v>838</v>
      </c>
      <c r="G1106" s="232"/>
      <c r="H1106" s="196">
        <v>665000</v>
      </c>
      <c r="I1106" s="236">
        <v>0</v>
      </c>
    </row>
    <row r="1107" spans="2:9" ht="12.75" hidden="1" customHeight="1" x14ac:dyDescent="0.2">
      <c r="B1107" s="231">
        <v>45931</v>
      </c>
      <c r="C1107" s="232">
        <v>112</v>
      </c>
      <c r="D1107" s="232" t="str">
        <f>IFERROR(VLOOKUP(C1107,'Neraca Saldo'!$B$6:$C$56,2,0),"")</f>
        <v>Kas</v>
      </c>
      <c r="E1107" s="194" t="s">
        <v>1150</v>
      </c>
      <c r="F1107" s="232" t="s">
        <v>838</v>
      </c>
      <c r="G1107" s="232"/>
      <c r="H1107" s="236">
        <f t="shared" si="26"/>
        <v>0</v>
      </c>
      <c r="I1107" s="236">
        <f t="shared" si="27"/>
        <v>665000</v>
      </c>
    </row>
    <row r="1108" spans="2:9" ht="12.75" hidden="1" customHeight="1" x14ac:dyDescent="0.2">
      <c r="B1108" s="238">
        <v>45931</v>
      </c>
      <c r="C1108" s="239">
        <v>111</v>
      </c>
      <c r="D1108" s="239" t="str">
        <f>IFERROR(VLOOKUP(C1108,'Neraca Saldo'!$B$6:$C$56,2,0),"")</f>
        <v>Bank</v>
      </c>
      <c r="E1108" s="258" t="s">
        <v>1015</v>
      </c>
      <c r="F1108" s="244" t="s">
        <v>77</v>
      </c>
      <c r="G1108" s="239"/>
      <c r="H1108" s="245">
        <v>200000</v>
      </c>
      <c r="I1108" s="240">
        <v>0</v>
      </c>
    </row>
    <row r="1109" spans="2:9" ht="12.75" hidden="1" customHeight="1" x14ac:dyDescent="0.2">
      <c r="B1109" s="238">
        <v>45931</v>
      </c>
      <c r="C1109" s="239">
        <v>212</v>
      </c>
      <c r="D1109" s="239" t="str">
        <f>IFERROR(VLOOKUP(C1109,'Neraca Saldo'!$B$6:$C$56,2,0),"")</f>
        <v>Simpanan Karyawan</v>
      </c>
      <c r="E1109" s="258" t="s">
        <v>1015</v>
      </c>
      <c r="F1109" s="244" t="s">
        <v>77</v>
      </c>
      <c r="G1109" s="239"/>
      <c r="H1109" s="240">
        <f t="shared" si="26"/>
        <v>0</v>
      </c>
      <c r="I1109" s="240">
        <f t="shared" si="27"/>
        <v>200000</v>
      </c>
    </row>
    <row r="1110" spans="2:9" ht="12.75" hidden="1" customHeight="1" x14ac:dyDescent="0.2">
      <c r="B1110" s="238">
        <v>45931</v>
      </c>
      <c r="C1110" s="239">
        <v>111</v>
      </c>
      <c r="D1110" s="239" t="str">
        <f>IFERROR(VLOOKUP(C1110,'Neraca Saldo'!$B$6:$C$56,2,0),"")</f>
        <v>Bank</v>
      </c>
      <c r="E1110" s="258" t="s">
        <v>1021</v>
      </c>
      <c r="F1110" s="244" t="s">
        <v>77</v>
      </c>
      <c r="G1110" s="239"/>
      <c r="H1110" s="245">
        <v>200000</v>
      </c>
      <c r="I1110" s="240">
        <v>0</v>
      </c>
    </row>
    <row r="1111" spans="2:9" ht="12.75" hidden="1" customHeight="1" x14ac:dyDescent="0.2">
      <c r="B1111" s="238">
        <v>45931</v>
      </c>
      <c r="C1111" s="239">
        <v>212</v>
      </c>
      <c r="D1111" s="239" t="str">
        <f>IFERROR(VLOOKUP(C1111,'Neraca Saldo'!$B$6:$C$56,2,0),"")</f>
        <v>Simpanan Karyawan</v>
      </c>
      <c r="E1111" s="258" t="s">
        <v>1021</v>
      </c>
      <c r="F1111" s="244" t="s">
        <v>77</v>
      </c>
      <c r="G1111" s="239"/>
      <c r="H1111" s="240">
        <f t="shared" si="26"/>
        <v>0</v>
      </c>
      <c r="I1111" s="240">
        <f t="shared" si="27"/>
        <v>200000</v>
      </c>
    </row>
    <row r="1112" spans="2:9" ht="12.75" hidden="1" customHeight="1" x14ac:dyDescent="0.2">
      <c r="B1112" s="238">
        <v>45931</v>
      </c>
      <c r="C1112" s="239">
        <v>111</v>
      </c>
      <c r="D1112" s="239" t="str">
        <f>IFERROR(VLOOKUP(C1112,'Neraca Saldo'!$B$6:$C$56,2,0),"")</f>
        <v>Bank</v>
      </c>
      <c r="E1112" s="258" t="s">
        <v>1047</v>
      </c>
      <c r="F1112" s="244" t="s">
        <v>77</v>
      </c>
      <c r="G1112" s="239"/>
      <c r="H1112" s="245">
        <v>200000</v>
      </c>
      <c r="I1112" s="240">
        <v>0</v>
      </c>
    </row>
    <row r="1113" spans="2:9" ht="12.75" hidden="1" customHeight="1" x14ac:dyDescent="0.2">
      <c r="B1113" s="238">
        <v>45931</v>
      </c>
      <c r="C1113" s="239">
        <v>212</v>
      </c>
      <c r="D1113" s="239" t="str">
        <f>IFERROR(VLOOKUP(C1113,'Neraca Saldo'!$B$6:$C$56,2,0),"")</f>
        <v>Simpanan Karyawan</v>
      </c>
      <c r="E1113" s="258" t="s">
        <v>1047</v>
      </c>
      <c r="F1113" s="244" t="s">
        <v>77</v>
      </c>
      <c r="G1113" s="239"/>
      <c r="H1113" s="240">
        <f t="shared" si="26"/>
        <v>0</v>
      </c>
      <c r="I1113" s="240">
        <f t="shared" si="27"/>
        <v>200000</v>
      </c>
    </row>
    <row r="1114" spans="2:9" ht="12.75" hidden="1" customHeight="1" x14ac:dyDescent="0.2">
      <c r="B1114" s="238">
        <v>45931</v>
      </c>
      <c r="C1114" s="239">
        <v>111</v>
      </c>
      <c r="D1114" s="239" t="str">
        <f>IFERROR(VLOOKUP(C1114,'Neraca Saldo'!$B$6:$C$56,2,0),"")</f>
        <v>Bank</v>
      </c>
      <c r="E1114" s="258" t="s">
        <v>987</v>
      </c>
      <c r="F1114" s="244" t="s">
        <v>77</v>
      </c>
      <c r="G1114" s="239"/>
      <c r="H1114" s="245">
        <v>200000</v>
      </c>
      <c r="I1114" s="240">
        <v>0</v>
      </c>
    </row>
    <row r="1115" spans="2:9" ht="12.75" hidden="1" customHeight="1" x14ac:dyDescent="0.2">
      <c r="B1115" s="238">
        <v>45931</v>
      </c>
      <c r="C1115" s="239">
        <v>212</v>
      </c>
      <c r="D1115" s="239" t="str">
        <f>IFERROR(VLOOKUP(C1115,'Neraca Saldo'!$B$6:$C$56,2,0),"")</f>
        <v>Simpanan Karyawan</v>
      </c>
      <c r="E1115" s="258" t="s">
        <v>987</v>
      </c>
      <c r="F1115" s="244" t="s">
        <v>77</v>
      </c>
      <c r="G1115" s="239"/>
      <c r="H1115" s="240">
        <f t="shared" si="26"/>
        <v>0</v>
      </c>
      <c r="I1115" s="240">
        <f t="shared" si="27"/>
        <v>200000</v>
      </c>
    </row>
    <row r="1116" spans="2:9" ht="12.75" hidden="1" customHeight="1" x14ac:dyDescent="0.2">
      <c r="B1116" s="238">
        <v>45931</v>
      </c>
      <c r="C1116" s="239">
        <v>111</v>
      </c>
      <c r="D1116" s="239" t="str">
        <f>IFERROR(VLOOKUP(C1116,'Neraca Saldo'!$B$6:$C$56,2,0),"")</f>
        <v>Bank</v>
      </c>
      <c r="E1116" s="258" t="s">
        <v>1066</v>
      </c>
      <c r="F1116" s="244" t="s">
        <v>77</v>
      </c>
      <c r="G1116" s="239"/>
      <c r="H1116" s="245">
        <v>985000</v>
      </c>
      <c r="I1116" s="240">
        <v>0</v>
      </c>
    </row>
    <row r="1117" spans="2:9" ht="12.75" hidden="1" customHeight="1" x14ac:dyDescent="0.2">
      <c r="B1117" s="238">
        <v>45931</v>
      </c>
      <c r="C1117" s="239">
        <v>212</v>
      </c>
      <c r="D1117" s="239" t="str">
        <f>IFERROR(VLOOKUP(C1117,'Neraca Saldo'!$B$6:$C$56,2,0),"")</f>
        <v>Simpanan Karyawan</v>
      </c>
      <c r="E1117" s="258" t="s">
        <v>1066</v>
      </c>
      <c r="F1117" s="244" t="s">
        <v>77</v>
      </c>
      <c r="G1117" s="239"/>
      <c r="H1117" s="240">
        <f t="shared" si="26"/>
        <v>0</v>
      </c>
      <c r="I1117" s="240">
        <f t="shared" si="27"/>
        <v>985000</v>
      </c>
    </row>
    <row r="1118" spans="2:9" ht="12.75" hidden="1" customHeight="1" x14ac:dyDescent="0.2">
      <c r="B1118" s="238">
        <v>45931</v>
      </c>
      <c r="C1118" s="239">
        <v>111</v>
      </c>
      <c r="D1118" s="239" t="str">
        <f>IFERROR(VLOOKUP(C1118,'Neraca Saldo'!$B$6:$C$56,2,0),"")</f>
        <v>Bank</v>
      </c>
      <c r="E1118" s="258" t="s">
        <v>1151</v>
      </c>
      <c r="F1118" s="244" t="s">
        <v>77</v>
      </c>
      <c r="G1118" s="239"/>
      <c r="H1118" s="245">
        <v>665000</v>
      </c>
      <c r="I1118" s="240">
        <v>0</v>
      </c>
    </row>
    <row r="1119" spans="2:9" ht="12.75" hidden="1" customHeight="1" x14ac:dyDescent="0.2">
      <c r="B1119" s="238">
        <v>45931</v>
      </c>
      <c r="C1119" s="239">
        <v>212</v>
      </c>
      <c r="D1119" s="239" t="str">
        <f>IFERROR(VLOOKUP(C1119,'Neraca Saldo'!$B$6:$C$56,2,0),"")</f>
        <v>Simpanan Karyawan</v>
      </c>
      <c r="E1119" s="258" t="s">
        <v>1151</v>
      </c>
      <c r="F1119" s="244" t="s">
        <v>77</v>
      </c>
      <c r="G1119" s="239"/>
      <c r="H1119" s="240">
        <f t="shared" si="26"/>
        <v>0</v>
      </c>
      <c r="I1119" s="240">
        <f t="shared" si="27"/>
        <v>665000</v>
      </c>
    </row>
    <row r="1120" spans="2:9" ht="12.75" hidden="1" customHeight="1" x14ac:dyDescent="0.2">
      <c r="B1120" s="238">
        <v>45931</v>
      </c>
      <c r="C1120" s="239">
        <v>111</v>
      </c>
      <c r="D1120" s="239" t="str">
        <f>IFERROR(VLOOKUP(C1120,'Neraca Saldo'!$B$6:$C$56,2,0),"")</f>
        <v>Bank</v>
      </c>
      <c r="E1120" s="258" t="s">
        <v>1022</v>
      </c>
      <c r="F1120" s="244" t="s">
        <v>77</v>
      </c>
      <c r="G1120" s="239"/>
      <c r="H1120" s="245">
        <v>200000</v>
      </c>
      <c r="I1120" s="240">
        <v>0</v>
      </c>
    </row>
    <row r="1121" spans="2:9" ht="12.75" hidden="1" customHeight="1" x14ac:dyDescent="0.2">
      <c r="B1121" s="238">
        <v>45931</v>
      </c>
      <c r="C1121" s="239">
        <v>212</v>
      </c>
      <c r="D1121" s="239" t="str">
        <f>IFERROR(VLOOKUP(C1121,'Neraca Saldo'!$B$6:$C$56,2,0),"")</f>
        <v>Simpanan Karyawan</v>
      </c>
      <c r="E1121" s="258" t="s">
        <v>1022</v>
      </c>
      <c r="F1121" s="244" t="s">
        <v>77</v>
      </c>
      <c r="G1121" s="239"/>
      <c r="H1121" s="240">
        <f t="shared" ref="H1121:H1183" si="28">I1120</f>
        <v>0</v>
      </c>
      <c r="I1121" s="240">
        <f t="shared" ref="I1121:I1183" si="29">H1120</f>
        <v>200000</v>
      </c>
    </row>
    <row r="1122" spans="2:9" ht="12.75" hidden="1" customHeight="1" x14ac:dyDescent="0.2">
      <c r="B1122" s="238">
        <v>45931</v>
      </c>
      <c r="C1122" s="239">
        <v>111</v>
      </c>
      <c r="D1122" s="239" t="str">
        <f>IFERROR(VLOOKUP(C1122,'Neraca Saldo'!$B$6:$C$56,2,0),"")</f>
        <v>Bank</v>
      </c>
      <c r="E1122" s="258" t="s">
        <v>1020</v>
      </c>
      <c r="F1122" s="244" t="s">
        <v>77</v>
      </c>
      <c r="G1122" s="239"/>
      <c r="H1122" s="245">
        <v>200000</v>
      </c>
      <c r="I1122" s="240">
        <v>0</v>
      </c>
    </row>
    <row r="1123" spans="2:9" ht="12.75" hidden="1" customHeight="1" x14ac:dyDescent="0.2">
      <c r="B1123" s="238">
        <v>45931</v>
      </c>
      <c r="C1123" s="239">
        <v>212</v>
      </c>
      <c r="D1123" s="239" t="str">
        <f>IFERROR(VLOOKUP(C1123,'Neraca Saldo'!$B$6:$C$56,2,0),"")</f>
        <v>Simpanan Karyawan</v>
      </c>
      <c r="E1123" s="258" t="s">
        <v>1020</v>
      </c>
      <c r="F1123" s="244" t="s">
        <v>77</v>
      </c>
      <c r="G1123" s="239"/>
      <c r="H1123" s="240">
        <f t="shared" si="28"/>
        <v>0</v>
      </c>
      <c r="I1123" s="240">
        <f t="shared" si="29"/>
        <v>200000</v>
      </c>
    </row>
    <row r="1124" spans="2:9" ht="12.75" hidden="1" customHeight="1" x14ac:dyDescent="0.2">
      <c r="B1124" s="238">
        <v>45931</v>
      </c>
      <c r="C1124" s="239">
        <v>111</v>
      </c>
      <c r="D1124" s="239" t="str">
        <f>IFERROR(VLOOKUP(C1124,'Neraca Saldo'!$B$6:$C$56,2,0),"")</f>
        <v>Bank</v>
      </c>
      <c r="E1124" s="258" t="s">
        <v>1046</v>
      </c>
      <c r="F1124" s="244" t="s">
        <v>77</v>
      </c>
      <c r="G1124" s="239"/>
      <c r="H1124" s="245">
        <v>328300</v>
      </c>
      <c r="I1124" s="240">
        <v>0</v>
      </c>
    </row>
    <row r="1125" spans="2:9" ht="12.75" hidden="1" customHeight="1" x14ac:dyDescent="0.2">
      <c r="B1125" s="238">
        <v>45931</v>
      </c>
      <c r="C1125" s="239">
        <v>212</v>
      </c>
      <c r="D1125" s="239" t="str">
        <f>IFERROR(VLOOKUP(C1125,'Neraca Saldo'!$B$6:$C$56,2,0),"")</f>
        <v>Simpanan Karyawan</v>
      </c>
      <c r="E1125" s="258" t="s">
        <v>1046</v>
      </c>
      <c r="F1125" s="244" t="s">
        <v>77</v>
      </c>
      <c r="G1125" s="239"/>
      <c r="H1125" s="240">
        <f t="shared" si="28"/>
        <v>0</v>
      </c>
      <c r="I1125" s="240">
        <f t="shared" si="29"/>
        <v>328300</v>
      </c>
    </row>
    <row r="1126" spans="2:9" ht="12.75" hidden="1" customHeight="1" x14ac:dyDescent="0.2">
      <c r="B1126" s="238">
        <v>45931</v>
      </c>
      <c r="C1126" s="239">
        <v>111</v>
      </c>
      <c r="D1126" s="239" t="str">
        <f>IFERROR(VLOOKUP(C1126,'Neraca Saldo'!$B$6:$C$56,2,0),"")</f>
        <v>Bank</v>
      </c>
      <c r="E1126" s="258" t="s">
        <v>1018</v>
      </c>
      <c r="F1126" s="244" t="s">
        <v>77</v>
      </c>
      <c r="G1126" s="239"/>
      <c r="H1126" s="245">
        <v>200000</v>
      </c>
      <c r="I1126" s="240">
        <v>0</v>
      </c>
    </row>
    <row r="1127" spans="2:9" ht="12.75" hidden="1" customHeight="1" x14ac:dyDescent="0.2">
      <c r="B1127" s="238">
        <v>45931</v>
      </c>
      <c r="C1127" s="239">
        <v>212</v>
      </c>
      <c r="D1127" s="239" t="str">
        <f>IFERROR(VLOOKUP(C1127,'Neraca Saldo'!$B$6:$C$56,2,0),"")</f>
        <v>Simpanan Karyawan</v>
      </c>
      <c r="E1127" s="258" t="s">
        <v>1018</v>
      </c>
      <c r="F1127" s="244" t="s">
        <v>77</v>
      </c>
      <c r="G1127" s="239"/>
      <c r="H1127" s="240">
        <f t="shared" si="28"/>
        <v>0</v>
      </c>
      <c r="I1127" s="240">
        <f t="shared" si="29"/>
        <v>200000</v>
      </c>
    </row>
    <row r="1128" spans="2:9" ht="12.75" hidden="1" customHeight="1" x14ac:dyDescent="0.2">
      <c r="B1128" s="238">
        <v>45931</v>
      </c>
      <c r="C1128" s="239">
        <v>111</v>
      </c>
      <c r="D1128" s="239" t="str">
        <f>IFERROR(VLOOKUP(C1128,'Neraca Saldo'!$B$6:$C$56,2,0),"")</f>
        <v>Bank</v>
      </c>
      <c r="E1128" s="258" t="s">
        <v>1016</v>
      </c>
      <c r="F1128" s="244" t="s">
        <v>77</v>
      </c>
      <c r="G1128" s="239"/>
      <c r="H1128" s="245">
        <v>200000</v>
      </c>
      <c r="I1128" s="240">
        <v>0</v>
      </c>
    </row>
    <row r="1129" spans="2:9" ht="12.75" hidden="1" customHeight="1" x14ac:dyDescent="0.2">
      <c r="B1129" s="238">
        <v>45931</v>
      </c>
      <c r="C1129" s="239">
        <v>212</v>
      </c>
      <c r="D1129" s="239" t="str">
        <f>IFERROR(VLOOKUP(C1129,'Neraca Saldo'!$B$6:$C$56,2,0),"")</f>
        <v>Simpanan Karyawan</v>
      </c>
      <c r="E1129" s="258" t="s">
        <v>1016</v>
      </c>
      <c r="F1129" s="244" t="s">
        <v>77</v>
      </c>
      <c r="G1129" s="239"/>
      <c r="H1129" s="240">
        <f t="shared" si="28"/>
        <v>0</v>
      </c>
      <c r="I1129" s="240">
        <f t="shared" si="29"/>
        <v>200000</v>
      </c>
    </row>
    <row r="1130" spans="2:9" ht="12.75" hidden="1" customHeight="1" x14ac:dyDescent="0.2">
      <c r="B1130" s="238">
        <v>45931</v>
      </c>
      <c r="C1130" s="239">
        <v>111</v>
      </c>
      <c r="D1130" s="239" t="str">
        <f>IFERROR(VLOOKUP(C1130,'Neraca Saldo'!$B$6:$C$56,2,0),"")</f>
        <v>Bank</v>
      </c>
      <c r="E1130" s="258" t="s">
        <v>1102</v>
      </c>
      <c r="F1130" s="244" t="s">
        <v>77</v>
      </c>
      <c r="G1130" s="239"/>
      <c r="H1130" s="245">
        <v>164000</v>
      </c>
      <c r="I1130" s="240">
        <v>0</v>
      </c>
    </row>
    <row r="1131" spans="2:9" ht="12.75" hidden="1" customHeight="1" x14ac:dyDescent="0.2">
      <c r="B1131" s="238">
        <v>45931</v>
      </c>
      <c r="C1131" s="239">
        <v>212</v>
      </c>
      <c r="D1131" s="239" t="str">
        <f>IFERROR(VLOOKUP(C1131,'Neraca Saldo'!$B$6:$C$56,2,0),"")</f>
        <v>Simpanan Karyawan</v>
      </c>
      <c r="E1131" s="258" t="s">
        <v>1102</v>
      </c>
      <c r="F1131" s="244" t="s">
        <v>77</v>
      </c>
      <c r="G1131" s="239"/>
      <c r="H1131" s="240">
        <f t="shared" si="28"/>
        <v>0</v>
      </c>
      <c r="I1131" s="240">
        <f t="shared" si="29"/>
        <v>164000</v>
      </c>
    </row>
    <row r="1132" spans="2:9" ht="12.75" hidden="1" customHeight="1" x14ac:dyDescent="0.2">
      <c r="B1132" s="238">
        <v>45931</v>
      </c>
      <c r="C1132" s="239">
        <v>111</v>
      </c>
      <c r="D1132" s="239" t="str">
        <f>IFERROR(VLOOKUP(C1132,'Neraca Saldo'!$B$6:$C$56,2,0),"")</f>
        <v>Bank</v>
      </c>
      <c r="E1132" s="258" t="s">
        <v>989</v>
      </c>
      <c r="F1132" s="244" t="s">
        <v>77</v>
      </c>
      <c r="G1132" s="239"/>
      <c r="H1132" s="245">
        <v>200000</v>
      </c>
      <c r="I1132" s="240">
        <v>0</v>
      </c>
    </row>
    <row r="1133" spans="2:9" ht="12.75" hidden="1" customHeight="1" x14ac:dyDescent="0.2">
      <c r="B1133" s="238">
        <v>45931</v>
      </c>
      <c r="C1133" s="239">
        <v>212</v>
      </c>
      <c r="D1133" s="239" t="str">
        <f>IFERROR(VLOOKUP(C1133,'Neraca Saldo'!$B$6:$C$56,2,0),"")</f>
        <v>Simpanan Karyawan</v>
      </c>
      <c r="E1133" s="258" t="s">
        <v>989</v>
      </c>
      <c r="F1133" s="244" t="s">
        <v>77</v>
      </c>
      <c r="G1133" s="239"/>
      <c r="H1133" s="240">
        <f t="shared" si="28"/>
        <v>0</v>
      </c>
      <c r="I1133" s="240">
        <f t="shared" si="29"/>
        <v>200000</v>
      </c>
    </row>
    <row r="1134" spans="2:9" ht="12.75" hidden="1" customHeight="1" x14ac:dyDescent="0.2">
      <c r="B1134" s="238">
        <v>45932</v>
      </c>
      <c r="C1134" s="239">
        <v>111</v>
      </c>
      <c r="D1134" s="239" t="str">
        <f>IFERROR(VLOOKUP(C1134,'Neraca Saldo'!$B$6:$C$56,2,0),"")</f>
        <v>Bank</v>
      </c>
      <c r="E1134" s="258" t="s">
        <v>1103</v>
      </c>
      <c r="F1134" s="244" t="s">
        <v>77</v>
      </c>
      <c r="G1134" s="239"/>
      <c r="H1134" s="245">
        <v>200000</v>
      </c>
      <c r="I1134" s="240">
        <v>0</v>
      </c>
    </row>
    <row r="1135" spans="2:9" ht="12.75" hidden="1" customHeight="1" x14ac:dyDescent="0.2">
      <c r="B1135" s="238">
        <v>45932</v>
      </c>
      <c r="C1135" s="239">
        <v>212</v>
      </c>
      <c r="D1135" s="239" t="str">
        <f>IFERROR(VLOOKUP(C1135,'Neraca Saldo'!$B$6:$C$56,2,0),"")</f>
        <v>Simpanan Karyawan</v>
      </c>
      <c r="E1135" s="258" t="s">
        <v>1103</v>
      </c>
      <c r="F1135" s="244" t="s">
        <v>77</v>
      </c>
      <c r="G1135" s="239"/>
      <c r="H1135" s="240">
        <f t="shared" si="28"/>
        <v>0</v>
      </c>
      <c r="I1135" s="240">
        <f t="shared" si="29"/>
        <v>200000</v>
      </c>
    </row>
    <row r="1136" spans="2:9" ht="12.75" hidden="1" customHeight="1" x14ac:dyDescent="0.2">
      <c r="B1136" s="238">
        <v>45932</v>
      </c>
      <c r="C1136" s="239">
        <v>111</v>
      </c>
      <c r="D1136" s="239" t="str">
        <f>IFERROR(VLOOKUP(C1136,'Neraca Saldo'!$B$6:$C$56,2,0),"")</f>
        <v>Bank</v>
      </c>
      <c r="E1136" s="258" t="s">
        <v>1023</v>
      </c>
      <c r="F1136" s="244" t="s">
        <v>77</v>
      </c>
      <c r="G1136" s="239"/>
      <c r="H1136" s="245">
        <v>200000</v>
      </c>
      <c r="I1136" s="240">
        <v>0</v>
      </c>
    </row>
    <row r="1137" spans="2:9" ht="12.75" hidden="1" customHeight="1" x14ac:dyDescent="0.2">
      <c r="B1137" s="238">
        <v>45932</v>
      </c>
      <c r="C1137" s="239">
        <v>212</v>
      </c>
      <c r="D1137" s="239" t="str">
        <f>IFERROR(VLOOKUP(C1137,'Neraca Saldo'!$B$6:$C$56,2,0),"")</f>
        <v>Simpanan Karyawan</v>
      </c>
      <c r="E1137" s="258" t="s">
        <v>1023</v>
      </c>
      <c r="F1137" s="244" t="s">
        <v>77</v>
      </c>
      <c r="G1137" s="239"/>
      <c r="H1137" s="240">
        <f t="shared" si="28"/>
        <v>0</v>
      </c>
      <c r="I1137" s="240">
        <f t="shared" si="29"/>
        <v>200000</v>
      </c>
    </row>
    <row r="1138" spans="2:9" ht="12.75" hidden="1" customHeight="1" x14ac:dyDescent="0.2">
      <c r="B1138" s="238">
        <v>45932</v>
      </c>
      <c r="C1138" s="239">
        <v>111</v>
      </c>
      <c r="D1138" s="239" t="str">
        <f>IFERROR(VLOOKUP(C1138,'Neraca Saldo'!$B$6:$C$56,2,0),"")</f>
        <v>Bank</v>
      </c>
      <c r="E1138" s="258" t="s">
        <v>1019</v>
      </c>
      <c r="F1138" s="244" t="s">
        <v>77</v>
      </c>
      <c r="G1138" s="239"/>
      <c r="H1138" s="245">
        <v>200000</v>
      </c>
      <c r="I1138" s="240">
        <v>0</v>
      </c>
    </row>
    <row r="1139" spans="2:9" ht="12.75" hidden="1" customHeight="1" x14ac:dyDescent="0.2">
      <c r="B1139" s="238">
        <v>45932</v>
      </c>
      <c r="C1139" s="239">
        <v>212</v>
      </c>
      <c r="D1139" s="239" t="str">
        <f>IFERROR(VLOOKUP(C1139,'Neraca Saldo'!$B$6:$C$56,2,0),"")</f>
        <v>Simpanan Karyawan</v>
      </c>
      <c r="E1139" s="258" t="s">
        <v>1019</v>
      </c>
      <c r="F1139" s="244" t="s">
        <v>77</v>
      </c>
      <c r="G1139" s="239"/>
      <c r="H1139" s="240">
        <f t="shared" si="28"/>
        <v>0</v>
      </c>
      <c r="I1139" s="240">
        <f t="shared" si="29"/>
        <v>200000</v>
      </c>
    </row>
    <row r="1140" spans="2:9" ht="12.75" hidden="1" customHeight="1" x14ac:dyDescent="0.2">
      <c r="B1140" s="238">
        <v>45932</v>
      </c>
      <c r="C1140" s="239">
        <v>111</v>
      </c>
      <c r="D1140" s="239" t="str">
        <f>IFERROR(VLOOKUP(C1140,'Neraca Saldo'!$B$6:$C$56,2,0),"")</f>
        <v>Bank</v>
      </c>
      <c r="E1140" s="258" t="s">
        <v>1045</v>
      </c>
      <c r="F1140" s="244" t="s">
        <v>77</v>
      </c>
      <c r="G1140" s="239"/>
      <c r="H1140" s="245">
        <v>821000</v>
      </c>
      <c r="I1140" s="240">
        <v>0</v>
      </c>
    </row>
    <row r="1141" spans="2:9" ht="12.75" hidden="1" customHeight="1" x14ac:dyDescent="0.2">
      <c r="B1141" s="238">
        <v>45932</v>
      </c>
      <c r="C1141" s="239">
        <v>212</v>
      </c>
      <c r="D1141" s="239" t="str">
        <f>IFERROR(VLOOKUP(C1141,'Neraca Saldo'!$B$6:$C$56,2,0),"")</f>
        <v>Simpanan Karyawan</v>
      </c>
      <c r="E1141" s="258" t="s">
        <v>1045</v>
      </c>
      <c r="F1141" s="244" t="s">
        <v>77</v>
      </c>
      <c r="G1141" s="239"/>
      <c r="H1141" s="240">
        <f t="shared" si="28"/>
        <v>0</v>
      </c>
      <c r="I1141" s="240">
        <f t="shared" si="29"/>
        <v>821000</v>
      </c>
    </row>
    <row r="1142" spans="2:9" ht="12.75" hidden="1" customHeight="1" x14ac:dyDescent="0.2">
      <c r="B1142" s="238">
        <v>45932</v>
      </c>
      <c r="C1142" s="239">
        <v>111</v>
      </c>
      <c r="D1142" s="239" t="str">
        <f>IFERROR(VLOOKUP(C1142,'Neraca Saldo'!$B$6:$C$56,2,0),"")</f>
        <v>Bank</v>
      </c>
      <c r="E1142" s="258" t="s">
        <v>1025</v>
      </c>
      <c r="F1142" s="244" t="s">
        <v>77</v>
      </c>
      <c r="G1142" s="239"/>
      <c r="H1142" s="245">
        <v>200000</v>
      </c>
      <c r="I1142" s="240">
        <v>0</v>
      </c>
    </row>
    <row r="1143" spans="2:9" ht="12.75" hidden="1" customHeight="1" x14ac:dyDescent="0.2">
      <c r="B1143" s="238">
        <v>45932</v>
      </c>
      <c r="C1143" s="239">
        <v>212</v>
      </c>
      <c r="D1143" s="239" t="str">
        <f>IFERROR(VLOOKUP(C1143,'Neraca Saldo'!$B$6:$C$56,2,0),"")</f>
        <v>Simpanan Karyawan</v>
      </c>
      <c r="E1143" s="258" t="s">
        <v>1025</v>
      </c>
      <c r="F1143" s="244" t="s">
        <v>77</v>
      </c>
      <c r="G1143" s="239"/>
      <c r="H1143" s="240">
        <f t="shared" si="28"/>
        <v>0</v>
      </c>
      <c r="I1143" s="240">
        <f t="shared" si="29"/>
        <v>200000</v>
      </c>
    </row>
    <row r="1144" spans="2:9" ht="12.75" hidden="1" customHeight="1" x14ac:dyDescent="0.2">
      <c r="B1144" s="238">
        <v>45932</v>
      </c>
      <c r="C1144" s="239">
        <v>111</v>
      </c>
      <c r="D1144" s="239" t="str">
        <f>IFERROR(VLOOKUP(C1144,'Neraca Saldo'!$B$6:$C$56,2,0),"")</f>
        <v>Bank</v>
      </c>
      <c r="E1144" s="258" t="s">
        <v>1026</v>
      </c>
      <c r="F1144" s="244" t="s">
        <v>77</v>
      </c>
      <c r="G1144" s="239"/>
      <c r="H1144" s="245">
        <v>241000</v>
      </c>
      <c r="I1144" s="240">
        <v>0</v>
      </c>
    </row>
    <row r="1145" spans="2:9" ht="12.75" hidden="1" customHeight="1" x14ac:dyDescent="0.2">
      <c r="B1145" s="238">
        <v>45932</v>
      </c>
      <c r="C1145" s="239">
        <v>212</v>
      </c>
      <c r="D1145" s="239" t="str">
        <f>IFERROR(VLOOKUP(C1145,'Neraca Saldo'!$B$6:$C$56,2,0),"")</f>
        <v>Simpanan Karyawan</v>
      </c>
      <c r="E1145" s="258" t="s">
        <v>1026</v>
      </c>
      <c r="F1145" s="244" t="s">
        <v>77</v>
      </c>
      <c r="G1145" s="239"/>
      <c r="H1145" s="240">
        <f t="shared" si="28"/>
        <v>0</v>
      </c>
      <c r="I1145" s="240">
        <f t="shared" si="29"/>
        <v>241000</v>
      </c>
    </row>
    <row r="1146" spans="2:9" ht="12.75" hidden="1" customHeight="1" x14ac:dyDescent="0.2">
      <c r="B1146" s="238">
        <v>45932</v>
      </c>
      <c r="C1146" s="239">
        <v>111</v>
      </c>
      <c r="D1146" s="239" t="str">
        <f>IFERROR(VLOOKUP(C1146,'Neraca Saldo'!$B$6:$C$56,2,0),"")</f>
        <v>Bank</v>
      </c>
      <c r="E1146" s="258" t="s">
        <v>1067</v>
      </c>
      <c r="F1146" s="244" t="s">
        <v>77</v>
      </c>
      <c r="G1146" s="239"/>
      <c r="H1146" s="245">
        <v>200000</v>
      </c>
      <c r="I1146" s="240">
        <v>0</v>
      </c>
    </row>
    <row r="1147" spans="2:9" ht="12.75" hidden="1" customHeight="1" x14ac:dyDescent="0.2">
      <c r="B1147" s="238">
        <v>45932</v>
      </c>
      <c r="C1147" s="239">
        <v>212</v>
      </c>
      <c r="D1147" s="239" t="str">
        <f>IFERROR(VLOOKUP(C1147,'Neraca Saldo'!$B$6:$C$56,2,0),"")</f>
        <v>Simpanan Karyawan</v>
      </c>
      <c r="E1147" s="258" t="s">
        <v>1067</v>
      </c>
      <c r="F1147" s="244" t="s">
        <v>77</v>
      </c>
      <c r="G1147" s="239"/>
      <c r="H1147" s="240">
        <f t="shared" si="28"/>
        <v>0</v>
      </c>
      <c r="I1147" s="240">
        <f t="shared" si="29"/>
        <v>200000</v>
      </c>
    </row>
    <row r="1148" spans="2:9" ht="12.75" hidden="1" customHeight="1" x14ac:dyDescent="0.2">
      <c r="B1148" s="238">
        <v>45932</v>
      </c>
      <c r="C1148" s="239">
        <v>111</v>
      </c>
      <c r="D1148" s="239" t="str">
        <f>IFERROR(VLOOKUP(C1148,'Neraca Saldo'!$B$6:$C$56,2,0),"")</f>
        <v>Bank</v>
      </c>
      <c r="E1148" s="258" t="s">
        <v>1101</v>
      </c>
      <c r="F1148" s="244" t="s">
        <v>77</v>
      </c>
      <c r="G1148" s="239"/>
      <c r="H1148" s="245">
        <v>81000</v>
      </c>
      <c r="I1148" s="240">
        <v>0</v>
      </c>
    </row>
    <row r="1149" spans="2:9" ht="12.75" hidden="1" customHeight="1" x14ac:dyDescent="0.2">
      <c r="B1149" s="238">
        <v>45932</v>
      </c>
      <c r="C1149" s="239">
        <v>212</v>
      </c>
      <c r="D1149" s="239" t="str">
        <f>IFERROR(VLOOKUP(C1149,'Neraca Saldo'!$B$6:$C$56,2,0),"")</f>
        <v>Simpanan Karyawan</v>
      </c>
      <c r="E1149" s="258" t="s">
        <v>1101</v>
      </c>
      <c r="F1149" s="244" t="s">
        <v>77</v>
      </c>
      <c r="G1149" s="239"/>
      <c r="H1149" s="240">
        <f t="shared" si="28"/>
        <v>0</v>
      </c>
      <c r="I1149" s="240">
        <f t="shared" si="29"/>
        <v>81000</v>
      </c>
    </row>
    <row r="1150" spans="2:9" ht="12.75" hidden="1" customHeight="1" x14ac:dyDescent="0.2">
      <c r="B1150" s="238">
        <v>45932</v>
      </c>
      <c r="C1150" s="239">
        <v>111</v>
      </c>
      <c r="D1150" s="239" t="str">
        <f>IFERROR(VLOOKUP(C1150,'Neraca Saldo'!$B$6:$C$56,2,0),"")</f>
        <v>Bank</v>
      </c>
      <c r="E1150" s="258" t="s">
        <v>1024</v>
      </c>
      <c r="F1150" s="244" t="s">
        <v>77</v>
      </c>
      <c r="G1150" s="239"/>
      <c r="H1150" s="245">
        <v>200000</v>
      </c>
      <c r="I1150" s="240">
        <v>0</v>
      </c>
    </row>
    <row r="1151" spans="2:9" ht="12.75" hidden="1" customHeight="1" x14ac:dyDescent="0.2">
      <c r="B1151" s="238">
        <v>45932</v>
      </c>
      <c r="C1151" s="239">
        <v>212</v>
      </c>
      <c r="D1151" s="239" t="str">
        <f>IFERROR(VLOOKUP(C1151,'Neraca Saldo'!$B$6:$C$56,2,0),"")</f>
        <v>Simpanan Karyawan</v>
      </c>
      <c r="E1151" s="258" t="s">
        <v>1024</v>
      </c>
      <c r="F1151" s="244" t="s">
        <v>77</v>
      </c>
      <c r="G1151" s="239"/>
      <c r="H1151" s="240">
        <f t="shared" si="28"/>
        <v>0</v>
      </c>
      <c r="I1151" s="240">
        <f t="shared" si="29"/>
        <v>200000</v>
      </c>
    </row>
    <row r="1152" spans="2:9" ht="12.75" hidden="1" customHeight="1" x14ac:dyDescent="0.2">
      <c r="B1152" s="238">
        <v>45932</v>
      </c>
      <c r="C1152" s="239">
        <v>111</v>
      </c>
      <c r="D1152" s="239" t="str">
        <f>IFERROR(VLOOKUP(C1152,'Neraca Saldo'!$B$6:$C$56,2,0),"")</f>
        <v>Bank</v>
      </c>
      <c r="E1152" s="258" t="s">
        <v>1127</v>
      </c>
      <c r="F1152" s="244" t="s">
        <v>77</v>
      </c>
      <c r="G1152" s="239"/>
      <c r="H1152" s="245">
        <v>200000</v>
      </c>
      <c r="I1152" s="240">
        <v>0</v>
      </c>
    </row>
    <row r="1153" spans="2:9" ht="12.75" hidden="1" customHeight="1" x14ac:dyDescent="0.2">
      <c r="B1153" s="238">
        <v>45932</v>
      </c>
      <c r="C1153" s="239">
        <v>212</v>
      </c>
      <c r="D1153" s="239" t="str">
        <f>IFERROR(VLOOKUP(C1153,'Neraca Saldo'!$B$6:$C$56,2,0),"")</f>
        <v>Simpanan Karyawan</v>
      </c>
      <c r="E1153" s="258" t="s">
        <v>1127</v>
      </c>
      <c r="F1153" s="244" t="s">
        <v>77</v>
      </c>
      <c r="G1153" s="239"/>
      <c r="H1153" s="240">
        <f t="shared" si="28"/>
        <v>0</v>
      </c>
      <c r="I1153" s="240">
        <f t="shared" si="29"/>
        <v>200000</v>
      </c>
    </row>
    <row r="1154" spans="2:9" ht="12.75" hidden="1" customHeight="1" x14ac:dyDescent="0.2">
      <c r="B1154" s="238">
        <v>45932</v>
      </c>
      <c r="C1154" s="239">
        <v>111</v>
      </c>
      <c r="D1154" s="239" t="str">
        <f>IFERROR(VLOOKUP(C1154,'Neraca Saldo'!$B$6:$C$56,2,0),"")</f>
        <v>Bank</v>
      </c>
      <c r="E1154" s="258" t="s">
        <v>1100</v>
      </c>
      <c r="F1154" s="244" t="s">
        <v>77</v>
      </c>
      <c r="G1154" s="239"/>
      <c r="H1154" s="245">
        <v>200000</v>
      </c>
      <c r="I1154" s="240">
        <v>0</v>
      </c>
    </row>
    <row r="1155" spans="2:9" ht="12.75" hidden="1" customHeight="1" x14ac:dyDescent="0.2">
      <c r="B1155" s="238">
        <v>45932</v>
      </c>
      <c r="C1155" s="239">
        <v>212</v>
      </c>
      <c r="D1155" s="239" t="str">
        <f>IFERROR(VLOOKUP(C1155,'Neraca Saldo'!$B$6:$C$56,2,0),"")</f>
        <v>Simpanan Karyawan</v>
      </c>
      <c r="E1155" s="258" t="s">
        <v>1100</v>
      </c>
      <c r="F1155" s="244" t="s">
        <v>77</v>
      </c>
      <c r="G1155" s="239"/>
      <c r="H1155" s="240">
        <f t="shared" si="28"/>
        <v>0</v>
      </c>
      <c r="I1155" s="240">
        <f t="shared" si="29"/>
        <v>200000</v>
      </c>
    </row>
    <row r="1156" spans="2:9" ht="12.75" hidden="1" customHeight="1" x14ac:dyDescent="0.2">
      <c r="B1156" s="238">
        <v>45932</v>
      </c>
      <c r="C1156" s="239">
        <v>111</v>
      </c>
      <c r="D1156" s="239" t="str">
        <f>IFERROR(VLOOKUP(C1156,'Neraca Saldo'!$B$6:$C$56,2,0),"")</f>
        <v>Bank</v>
      </c>
      <c r="E1156" s="258" t="s">
        <v>1152</v>
      </c>
      <c r="F1156" s="244" t="s">
        <v>77</v>
      </c>
      <c r="G1156" s="239"/>
      <c r="H1156" s="245">
        <v>350000</v>
      </c>
      <c r="I1156" s="240">
        <v>0</v>
      </c>
    </row>
    <row r="1157" spans="2:9" ht="12.75" hidden="1" customHeight="1" x14ac:dyDescent="0.2">
      <c r="B1157" s="238">
        <v>45932</v>
      </c>
      <c r="C1157" s="239">
        <v>212</v>
      </c>
      <c r="D1157" s="239" t="str">
        <f>IFERROR(VLOOKUP(C1157,'Neraca Saldo'!$B$6:$C$56,2,0),"")</f>
        <v>Simpanan Karyawan</v>
      </c>
      <c r="E1157" s="258" t="s">
        <v>1152</v>
      </c>
      <c r="F1157" s="244" t="s">
        <v>77</v>
      </c>
      <c r="G1157" s="239"/>
      <c r="H1157" s="240">
        <f t="shared" si="28"/>
        <v>0</v>
      </c>
      <c r="I1157" s="240">
        <f t="shared" si="29"/>
        <v>350000</v>
      </c>
    </row>
    <row r="1158" spans="2:9" ht="12.75" hidden="1" customHeight="1" x14ac:dyDescent="0.2">
      <c r="B1158" s="238">
        <v>45932</v>
      </c>
      <c r="C1158" s="239">
        <v>111</v>
      </c>
      <c r="D1158" s="239" t="str">
        <f>IFERROR(VLOOKUP(C1158,'Neraca Saldo'!$B$6:$C$56,2,0),"")</f>
        <v>Bank</v>
      </c>
      <c r="E1158" s="258" t="s">
        <v>988</v>
      </c>
      <c r="F1158" s="244" t="s">
        <v>77</v>
      </c>
      <c r="G1158" s="239"/>
      <c r="H1158" s="245">
        <v>200000</v>
      </c>
      <c r="I1158" s="240">
        <v>0</v>
      </c>
    </row>
    <row r="1159" spans="2:9" ht="12.75" hidden="1" customHeight="1" x14ac:dyDescent="0.2">
      <c r="B1159" s="238">
        <v>45932</v>
      </c>
      <c r="C1159" s="239">
        <v>212</v>
      </c>
      <c r="D1159" s="239" t="str">
        <f>IFERROR(VLOOKUP(C1159,'Neraca Saldo'!$B$6:$C$56,2,0),"")</f>
        <v>Simpanan Karyawan</v>
      </c>
      <c r="E1159" s="258" t="s">
        <v>988</v>
      </c>
      <c r="F1159" s="244" t="s">
        <v>77</v>
      </c>
      <c r="G1159" s="239"/>
      <c r="H1159" s="240">
        <f t="shared" si="28"/>
        <v>0</v>
      </c>
      <c r="I1159" s="240">
        <f t="shared" si="29"/>
        <v>200000</v>
      </c>
    </row>
    <row r="1160" spans="2:9" ht="12.75" hidden="1" customHeight="1" x14ac:dyDescent="0.2">
      <c r="B1160" s="238">
        <v>45932</v>
      </c>
      <c r="C1160" s="239">
        <v>111</v>
      </c>
      <c r="D1160" s="239" t="str">
        <f>IFERROR(VLOOKUP(C1160,'Neraca Saldo'!$B$6:$C$56,2,0),"")</f>
        <v>Bank</v>
      </c>
      <c r="E1160" s="258" t="s">
        <v>1099</v>
      </c>
      <c r="F1160" s="244" t="s">
        <v>77</v>
      </c>
      <c r="G1160" s="239"/>
      <c r="H1160" s="245">
        <v>807000</v>
      </c>
      <c r="I1160" s="240">
        <v>0</v>
      </c>
    </row>
    <row r="1161" spans="2:9" ht="12.75" hidden="1" customHeight="1" x14ac:dyDescent="0.2">
      <c r="B1161" s="238">
        <v>45932</v>
      </c>
      <c r="C1161" s="239">
        <v>212</v>
      </c>
      <c r="D1161" s="239" t="str">
        <f>IFERROR(VLOOKUP(C1161,'Neraca Saldo'!$B$6:$C$56,2,0),"")</f>
        <v>Simpanan Karyawan</v>
      </c>
      <c r="E1161" s="258" t="s">
        <v>1099</v>
      </c>
      <c r="F1161" s="244" t="s">
        <v>77</v>
      </c>
      <c r="G1161" s="239"/>
      <c r="H1161" s="240">
        <f t="shared" si="28"/>
        <v>0</v>
      </c>
      <c r="I1161" s="240">
        <f t="shared" si="29"/>
        <v>807000</v>
      </c>
    </row>
    <row r="1162" spans="2:9" ht="12.75" hidden="1" customHeight="1" x14ac:dyDescent="0.2">
      <c r="B1162" s="238">
        <v>45932</v>
      </c>
      <c r="C1162" s="239">
        <v>111</v>
      </c>
      <c r="D1162" s="239" t="str">
        <f>IFERROR(VLOOKUP(C1162,'Neraca Saldo'!$B$6:$C$56,2,0),"")</f>
        <v>Bank</v>
      </c>
      <c r="E1162" s="258" t="s">
        <v>927</v>
      </c>
      <c r="F1162" s="244" t="s">
        <v>77</v>
      </c>
      <c r="G1162" s="239"/>
      <c r="H1162" s="245">
        <v>500000</v>
      </c>
      <c r="I1162" s="240">
        <v>0</v>
      </c>
    </row>
    <row r="1163" spans="2:9" ht="12.75" hidden="1" customHeight="1" x14ac:dyDescent="0.2">
      <c r="B1163" s="238">
        <v>45932</v>
      </c>
      <c r="C1163" s="239">
        <v>212</v>
      </c>
      <c r="D1163" s="239" t="str">
        <f>IFERROR(VLOOKUP(C1163,'Neraca Saldo'!$B$6:$C$56,2,0),"")</f>
        <v>Simpanan Karyawan</v>
      </c>
      <c r="E1163" s="258" t="s">
        <v>927</v>
      </c>
      <c r="F1163" s="244" t="s">
        <v>77</v>
      </c>
      <c r="G1163" s="239"/>
      <c r="H1163" s="240">
        <f t="shared" si="28"/>
        <v>0</v>
      </c>
      <c r="I1163" s="240">
        <f t="shared" si="29"/>
        <v>500000</v>
      </c>
    </row>
    <row r="1164" spans="2:9" ht="12.75" hidden="1" customHeight="1" x14ac:dyDescent="0.2">
      <c r="B1164" s="238">
        <v>45932</v>
      </c>
      <c r="C1164" s="239">
        <v>111</v>
      </c>
      <c r="D1164" s="239" t="str">
        <f>IFERROR(VLOOKUP(C1164,'Neraca Saldo'!$B$6:$C$56,2,0),"")</f>
        <v>Bank</v>
      </c>
      <c r="E1164" s="258" t="s">
        <v>964</v>
      </c>
      <c r="F1164" s="244" t="s">
        <v>77</v>
      </c>
      <c r="G1164" s="239"/>
      <c r="H1164" s="245">
        <v>600000</v>
      </c>
      <c r="I1164" s="240">
        <v>0</v>
      </c>
    </row>
    <row r="1165" spans="2:9" ht="12.75" hidden="1" customHeight="1" x14ac:dyDescent="0.2">
      <c r="B1165" s="238">
        <v>45932</v>
      </c>
      <c r="C1165" s="239">
        <v>212</v>
      </c>
      <c r="D1165" s="239" t="str">
        <f>IFERROR(VLOOKUP(C1165,'Neraca Saldo'!$B$6:$C$56,2,0),"")</f>
        <v>Simpanan Karyawan</v>
      </c>
      <c r="E1165" s="258" t="s">
        <v>964</v>
      </c>
      <c r="F1165" s="244" t="s">
        <v>77</v>
      </c>
      <c r="G1165" s="239"/>
      <c r="H1165" s="240">
        <f t="shared" si="28"/>
        <v>0</v>
      </c>
      <c r="I1165" s="240">
        <f t="shared" si="29"/>
        <v>600000</v>
      </c>
    </row>
    <row r="1166" spans="2:9" ht="12.75" hidden="1" customHeight="1" x14ac:dyDescent="0.2">
      <c r="B1166" s="238">
        <v>45932</v>
      </c>
      <c r="C1166" s="239">
        <v>111</v>
      </c>
      <c r="D1166" s="239" t="str">
        <f>IFERROR(VLOOKUP(C1166,'Neraca Saldo'!$B$6:$C$56,2,0),"")</f>
        <v>Bank</v>
      </c>
      <c r="E1166" s="258" t="s">
        <v>965</v>
      </c>
      <c r="F1166" s="244" t="s">
        <v>77</v>
      </c>
      <c r="G1166" s="239"/>
      <c r="H1166" s="245">
        <v>450000</v>
      </c>
      <c r="I1166" s="240">
        <v>0</v>
      </c>
    </row>
    <row r="1167" spans="2:9" ht="12.75" hidden="1" customHeight="1" x14ac:dyDescent="0.2">
      <c r="B1167" s="238">
        <v>45932</v>
      </c>
      <c r="C1167" s="239">
        <v>212</v>
      </c>
      <c r="D1167" s="239" t="str">
        <f>IFERROR(VLOOKUP(C1167,'Neraca Saldo'!$B$6:$C$56,2,0),"")</f>
        <v>Simpanan Karyawan</v>
      </c>
      <c r="E1167" s="258" t="s">
        <v>965</v>
      </c>
      <c r="F1167" s="244" t="s">
        <v>77</v>
      </c>
      <c r="G1167" s="239"/>
      <c r="H1167" s="240">
        <f t="shared" si="28"/>
        <v>0</v>
      </c>
      <c r="I1167" s="240">
        <f t="shared" si="29"/>
        <v>450000</v>
      </c>
    </row>
    <row r="1168" spans="2:9" ht="12.75" hidden="1" customHeight="1" x14ac:dyDescent="0.2">
      <c r="B1168" s="238">
        <v>45932</v>
      </c>
      <c r="C1168" s="239">
        <v>111</v>
      </c>
      <c r="D1168" s="239" t="str">
        <f>IFERROR(VLOOKUP(C1168,'Neraca Saldo'!$B$6:$C$56,2,0),"")</f>
        <v>Bank</v>
      </c>
      <c r="E1168" s="258" t="s">
        <v>1049</v>
      </c>
      <c r="F1168" s="244" t="s">
        <v>77</v>
      </c>
      <c r="G1168" s="239"/>
      <c r="H1168" s="245">
        <v>600000</v>
      </c>
      <c r="I1168" s="240">
        <v>0</v>
      </c>
    </row>
    <row r="1169" spans="2:9" ht="12.75" hidden="1" customHeight="1" x14ac:dyDescent="0.2">
      <c r="B1169" s="238">
        <v>45932</v>
      </c>
      <c r="C1169" s="239">
        <v>212</v>
      </c>
      <c r="D1169" s="239" t="str">
        <f>IFERROR(VLOOKUP(C1169,'Neraca Saldo'!$B$6:$C$56,2,0),"")</f>
        <v>Simpanan Karyawan</v>
      </c>
      <c r="E1169" s="258" t="s">
        <v>1049</v>
      </c>
      <c r="F1169" s="244" t="s">
        <v>77</v>
      </c>
      <c r="G1169" s="239"/>
      <c r="H1169" s="240">
        <f t="shared" si="28"/>
        <v>0</v>
      </c>
      <c r="I1169" s="240">
        <f t="shared" si="29"/>
        <v>600000</v>
      </c>
    </row>
    <row r="1170" spans="2:9" ht="12.75" hidden="1" customHeight="1" x14ac:dyDescent="0.2">
      <c r="B1170" s="238">
        <v>45932</v>
      </c>
      <c r="C1170" s="239">
        <v>111</v>
      </c>
      <c r="D1170" s="239" t="str">
        <f>IFERROR(VLOOKUP(C1170,'Neraca Saldo'!$B$6:$C$56,2,0),"")</f>
        <v>Bank</v>
      </c>
      <c r="E1170" s="258" t="s">
        <v>1077</v>
      </c>
      <c r="F1170" s="244" t="s">
        <v>77</v>
      </c>
      <c r="G1170" s="239"/>
      <c r="H1170" s="245">
        <v>550000</v>
      </c>
      <c r="I1170" s="240">
        <v>0</v>
      </c>
    </row>
    <row r="1171" spans="2:9" ht="12.75" hidden="1" customHeight="1" x14ac:dyDescent="0.2">
      <c r="B1171" s="238">
        <v>45932</v>
      </c>
      <c r="C1171" s="239">
        <v>212</v>
      </c>
      <c r="D1171" s="239" t="str">
        <f>IFERROR(VLOOKUP(C1171,'Neraca Saldo'!$B$6:$C$56,2,0),"")</f>
        <v>Simpanan Karyawan</v>
      </c>
      <c r="E1171" s="258" t="s">
        <v>1077</v>
      </c>
      <c r="F1171" s="244" t="s">
        <v>77</v>
      </c>
      <c r="G1171" s="239"/>
      <c r="H1171" s="240">
        <f t="shared" si="28"/>
        <v>0</v>
      </c>
      <c r="I1171" s="240">
        <f t="shared" si="29"/>
        <v>550000</v>
      </c>
    </row>
    <row r="1172" spans="2:9" ht="12.75" hidden="1" customHeight="1" x14ac:dyDescent="0.2">
      <c r="B1172" s="238">
        <v>45932</v>
      </c>
      <c r="C1172" s="239">
        <v>111</v>
      </c>
      <c r="D1172" s="239" t="str">
        <f>IFERROR(VLOOKUP(C1172,'Neraca Saldo'!$B$6:$C$56,2,0),"")</f>
        <v>Bank</v>
      </c>
      <c r="E1172" s="258" t="s">
        <v>1050</v>
      </c>
      <c r="F1172" s="244" t="s">
        <v>77</v>
      </c>
      <c r="G1172" s="239"/>
      <c r="H1172" s="245">
        <v>450000</v>
      </c>
      <c r="I1172" s="240">
        <v>0</v>
      </c>
    </row>
    <row r="1173" spans="2:9" ht="12.75" hidden="1" customHeight="1" x14ac:dyDescent="0.2">
      <c r="B1173" s="238">
        <v>45932</v>
      </c>
      <c r="C1173" s="239">
        <v>212</v>
      </c>
      <c r="D1173" s="239" t="str">
        <f>IFERROR(VLOOKUP(C1173,'Neraca Saldo'!$B$6:$C$56,2,0),"")</f>
        <v>Simpanan Karyawan</v>
      </c>
      <c r="E1173" s="258" t="s">
        <v>1050</v>
      </c>
      <c r="F1173" s="244" t="s">
        <v>77</v>
      </c>
      <c r="G1173" s="239"/>
      <c r="H1173" s="240">
        <f t="shared" si="28"/>
        <v>0</v>
      </c>
      <c r="I1173" s="240">
        <f t="shared" si="29"/>
        <v>450000</v>
      </c>
    </row>
    <row r="1174" spans="2:9" ht="12.75" hidden="1" customHeight="1" x14ac:dyDescent="0.2">
      <c r="B1174" s="231">
        <v>45933</v>
      </c>
      <c r="C1174" s="232">
        <v>516</v>
      </c>
      <c r="D1174" s="232" t="str">
        <f>IFERROR(VLOOKUP(C1174,'Neraca Saldo'!$B$6:$C$56,2,0),"")</f>
        <v>Beban ATK</v>
      </c>
      <c r="E1174" s="194" t="s">
        <v>842</v>
      </c>
      <c r="F1174" s="234" t="s">
        <v>838</v>
      </c>
      <c r="G1174" s="232"/>
      <c r="H1174" s="188">
        <v>559500</v>
      </c>
      <c r="I1174" s="236">
        <v>0</v>
      </c>
    </row>
    <row r="1175" spans="2:9" ht="12.75" hidden="1" customHeight="1" x14ac:dyDescent="0.2">
      <c r="B1175" s="231">
        <v>45933</v>
      </c>
      <c r="C1175" s="232">
        <v>112</v>
      </c>
      <c r="D1175" s="232" t="str">
        <f>IFERROR(VLOOKUP(C1175,'Neraca Saldo'!$B$6:$C$56,2,0),"")</f>
        <v>Kas</v>
      </c>
      <c r="E1175" s="194" t="s">
        <v>842</v>
      </c>
      <c r="F1175" s="234" t="s">
        <v>838</v>
      </c>
      <c r="G1175" s="232"/>
      <c r="H1175" s="236">
        <f t="shared" si="28"/>
        <v>0</v>
      </c>
      <c r="I1175" s="236">
        <f t="shared" si="29"/>
        <v>559500</v>
      </c>
    </row>
    <row r="1176" spans="2:9" ht="12.75" hidden="1" customHeight="1" x14ac:dyDescent="0.2">
      <c r="B1176" s="231">
        <v>45933</v>
      </c>
      <c r="C1176" s="232">
        <v>112</v>
      </c>
      <c r="D1176" s="232" t="str">
        <f>IFERROR(VLOOKUP(C1176,'Neraca Saldo'!$B$6:$C$56,2,0),"")</f>
        <v>Kas</v>
      </c>
      <c r="E1176" s="232" t="s">
        <v>838</v>
      </c>
      <c r="F1176" s="234" t="s">
        <v>77</v>
      </c>
      <c r="G1176" s="232"/>
      <c r="H1176" s="196">
        <v>4707000</v>
      </c>
      <c r="I1176" s="236">
        <v>0</v>
      </c>
    </row>
    <row r="1177" spans="2:9" ht="12.75" hidden="1" customHeight="1" x14ac:dyDescent="0.2">
      <c r="B1177" s="231">
        <v>45933</v>
      </c>
      <c r="C1177" s="232">
        <v>111</v>
      </c>
      <c r="D1177" s="232" t="str">
        <f>IFERROR(VLOOKUP(C1177,'Neraca Saldo'!$B$6:$C$56,2,0),"")</f>
        <v>Bank</v>
      </c>
      <c r="E1177" s="232" t="s">
        <v>838</v>
      </c>
      <c r="F1177" s="234" t="s">
        <v>77</v>
      </c>
      <c r="G1177" s="232"/>
      <c r="H1177" s="236">
        <f t="shared" si="28"/>
        <v>0</v>
      </c>
      <c r="I1177" s="236">
        <f t="shared" si="29"/>
        <v>4707000</v>
      </c>
    </row>
    <row r="1178" spans="2:9" ht="12.75" hidden="1" customHeight="1" x14ac:dyDescent="0.2">
      <c r="B1178" s="238">
        <v>45936</v>
      </c>
      <c r="C1178" s="239">
        <v>111</v>
      </c>
      <c r="D1178" s="239" t="str">
        <f>IFERROR(VLOOKUP(C1178,'Neraca Saldo'!$B$6:$C$56,2,0),"")</f>
        <v>Bank</v>
      </c>
      <c r="E1178" s="258" t="s">
        <v>1068</v>
      </c>
      <c r="F1178" s="244" t="s">
        <v>77</v>
      </c>
      <c r="G1178" s="239"/>
      <c r="H1178" s="245">
        <v>200000</v>
      </c>
      <c r="I1178" s="240">
        <v>0</v>
      </c>
    </row>
    <row r="1179" spans="2:9" ht="12.75" hidden="1" customHeight="1" x14ac:dyDescent="0.2">
      <c r="B1179" s="238">
        <v>45936</v>
      </c>
      <c r="C1179" s="239">
        <v>212</v>
      </c>
      <c r="D1179" s="239" t="str">
        <f>IFERROR(VLOOKUP(C1179,'Neraca Saldo'!$B$6:$C$56,2,0),"")</f>
        <v>Simpanan Karyawan</v>
      </c>
      <c r="E1179" s="258" t="s">
        <v>1068</v>
      </c>
      <c r="F1179" s="244" t="s">
        <v>77</v>
      </c>
      <c r="G1179" s="239"/>
      <c r="H1179" s="240">
        <f t="shared" si="28"/>
        <v>0</v>
      </c>
      <c r="I1179" s="240">
        <f t="shared" si="29"/>
        <v>200000</v>
      </c>
    </row>
    <row r="1180" spans="2:9" ht="12.75" customHeight="1" x14ac:dyDescent="0.2">
      <c r="B1180" s="231">
        <v>45937</v>
      </c>
      <c r="C1180" s="232">
        <v>513</v>
      </c>
      <c r="D1180" s="232" t="str">
        <f>IFERROR(VLOOKUP(C1180,'Neraca Saldo'!$B$6:$C$56,2,0),"")</f>
        <v>Beban Pengurus dan Anggota</v>
      </c>
      <c r="E1180" s="194" t="s">
        <v>1153</v>
      </c>
      <c r="F1180" s="234" t="s">
        <v>838</v>
      </c>
      <c r="G1180" s="232"/>
      <c r="H1180" s="188">
        <v>1000000</v>
      </c>
      <c r="I1180" s="236">
        <v>0</v>
      </c>
    </row>
    <row r="1181" spans="2:9" ht="12.75" hidden="1" customHeight="1" x14ac:dyDescent="0.2">
      <c r="B1181" s="231">
        <v>45937</v>
      </c>
      <c r="C1181" s="232">
        <v>112</v>
      </c>
      <c r="D1181" s="232" t="str">
        <f>IFERROR(VLOOKUP(C1181,'Neraca Saldo'!$B$6:$C$56,2,0),"")</f>
        <v>Kas</v>
      </c>
      <c r="E1181" s="194" t="s">
        <v>1153</v>
      </c>
      <c r="F1181" s="234" t="s">
        <v>838</v>
      </c>
      <c r="G1181" s="232"/>
      <c r="H1181" s="236">
        <f t="shared" si="28"/>
        <v>0</v>
      </c>
      <c r="I1181" s="236">
        <f t="shared" si="29"/>
        <v>1000000</v>
      </c>
    </row>
    <row r="1182" spans="2:9" ht="12.75" hidden="1" customHeight="1" x14ac:dyDescent="0.2">
      <c r="B1182" s="238">
        <v>45938</v>
      </c>
      <c r="C1182" s="239">
        <v>111</v>
      </c>
      <c r="D1182" s="239" t="str">
        <f>IFERROR(VLOOKUP(C1182,'Neraca Saldo'!$B$6:$C$56,2,0),"")</f>
        <v>Bank</v>
      </c>
      <c r="E1182" s="258" t="s">
        <v>964</v>
      </c>
      <c r="F1182" s="244" t="s">
        <v>77</v>
      </c>
      <c r="G1182" s="239"/>
      <c r="H1182" s="245">
        <v>200000</v>
      </c>
      <c r="I1182" s="240">
        <v>0</v>
      </c>
    </row>
    <row r="1183" spans="2:9" ht="12.75" hidden="1" customHeight="1" x14ac:dyDescent="0.2">
      <c r="B1183" s="238">
        <v>45938</v>
      </c>
      <c r="C1183" s="239">
        <v>212</v>
      </c>
      <c r="D1183" s="239" t="str">
        <f>IFERROR(VLOOKUP(C1183,'Neraca Saldo'!$B$6:$C$56,2,0),"")</f>
        <v>Simpanan Karyawan</v>
      </c>
      <c r="E1183" s="258" t="s">
        <v>964</v>
      </c>
      <c r="F1183" s="244" t="s">
        <v>77</v>
      </c>
      <c r="G1183" s="239"/>
      <c r="H1183" s="240">
        <f t="shared" si="28"/>
        <v>0</v>
      </c>
      <c r="I1183" s="240">
        <f t="shared" si="29"/>
        <v>200000</v>
      </c>
    </row>
    <row r="1184" spans="2:9" ht="12.75" hidden="1" customHeight="1" x14ac:dyDescent="0.2">
      <c r="B1184" s="231">
        <v>45938</v>
      </c>
      <c r="C1184" s="232">
        <v>112</v>
      </c>
      <c r="D1184" s="232" t="str">
        <f>IFERROR(VLOOKUP(C1184,'Neraca Saldo'!$B$6:$C$56,2,0),"")</f>
        <v>Kas</v>
      </c>
      <c r="E1184" s="232" t="s">
        <v>838</v>
      </c>
      <c r="F1184" s="234" t="s">
        <v>77</v>
      </c>
      <c r="G1184" s="232"/>
      <c r="H1184" s="196">
        <v>200000</v>
      </c>
      <c r="I1184" s="236">
        <v>0</v>
      </c>
    </row>
    <row r="1185" spans="2:9" ht="12.75" hidden="1" customHeight="1" x14ac:dyDescent="0.2">
      <c r="B1185" s="231">
        <v>45938</v>
      </c>
      <c r="C1185" s="232">
        <v>111</v>
      </c>
      <c r="D1185" s="232" t="str">
        <f>IFERROR(VLOOKUP(C1185,'Neraca Saldo'!$B$6:$C$56,2,0),"")</f>
        <v>Bank</v>
      </c>
      <c r="E1185" s="232" t="s">
        <v>838</v>
      </c>
      <c r="F1185" s="234" t="s">
        <v>77</v>
      </c>
      <c r="G1185" s="232"/>
      <c r="H1185" s="236">
        <f>I1184</f>
        <v>0</v>
      </c>
      <c r="I1185" s="236">
        <f>H1184</f>
        <v>200000</v>
      </c>
    </row>
    <row r="1186" spans="2:9" ht="12.75" customHeight="1" x14ac:dyDescent="0.2">
      <c r="B1186" s="231">
        <v>45938</v>
      </c>
      <c r="C1186" s="232">
        <v>513</v>
      </c>
      <c r="D1186" s="232" t="str">
        <f>IFERROR(VLOOKUP(C1186,'Neraca Saldo'!$B$6:$C$56,2,0),"")</f>
        <v>Beban Pengurus dan Anggota</v>
      </c>
      <c r="E1186" s="194" t="s">
        <v>881</v>
      </c>
      <c r="F1186" s="234" t="s">
        <v>838</v>
      </c>
      <c r="G1186" s="232"/>
      <c r="H1186" s="188">
        <v>768000</v>
      </c>
      <c r="I1186" s="236">
        <v>0</v>
      </c>
    </row>
    <row r="1187" spans="2:9" ht="12.75" hidden="1" customHeight="1" x14ac:dyDescent="0.2">
      <c r="B1187" s="231">
        <v>45938</v>
      </c>
      <c r="C1187" s="232">
        <v>112</v>
      </c>
      <c r="D1187" s="232" t="str">
        <f>IFERROR(VLOOKUP(C1187,'Neraca Saldo'!$B$6:$C$56,2,0),"")</f>
        <v>Kas</v>
      </c>
      <c r="E1187" s="194" t="s">
        <v>881</v>
      </c>
      <c r="F1187" s="234" t="s">
        <v>838</v>
      </c>
      <c r="G1187" s="232"/>
      <c r="H1187" s="236">
        <f>I1186</f>
        <v>0</v>
      </c>
      <c r="I1187" s="236">
        <f>H1186</f>
        <v>768000</v>
      </c>
    </row>
    <row r="1188" spans="2:9" ht="12.75" customHeight="1" x14ac:dyDescent="0.2">
      <c r="B1188" s="231">
        <v>45938</v>
      </c>
      <c r="C1188" s="232">
        <v>513</v>
      </c>
      <c r="D1188" s="232" t="str">
        <f>IFERROR(VLOOKUP(C1188,'Neraca Saldo'!$B$6:$C$56,2,0),"")</f>
        <v>Beban Pengurus dan Anggota</v>
      </c>
      <c r="E1188" s="194" t="s">
        <v>881</v>
      </c>
      <c r="F1188" s="234" t="s">
        <v>838</v>
      </c>
      <c r="G1188" s="232"/>
      <c r="H1188" s="188">
        <v>301700</v>
      </c>
      <c r="I1188" s="236">
        <v>0</v>
      </c>
    </row>
    <row r="1189" spans="2:9" ht="12.75" hidden="1" customHeight="1" x14ac:dyDescent="0.2">
      <c r="B1189" s="231">
        <v>45938</v>
      </c>
      <c r="C1189" s="232">
        <v>112</v>
      </c>
      <c r="D1189" s="232" t="str">
        <f>IFERROR(VLOOKUP(C1189,'Neraca Saldo'!$B$6:$C$56,2,0),"")</f>
        <v>Kas</v>
      </c>
      <c r="E1189" s="194" t="s">
        <v>881</v>
      </c>
      <c r="F1189" s="234" t="s">
        <v>838</v>
      </c>
      <c r="G1189" s="232"/>
      <c r="H1189" s="236">
        <f>I1188</f>
        <v>0</v>
      </c>
      <c r="I1189" s="236">
        <f>H1188</f>
        <v>301700</v>
      </c>
    </row>
    <row r="1190" spans="2:9" ht="12.75" hidden="1" customHeight="1" x14ac:dyDescent="0.2">
      <c r="B1190" s="238">
        <v>45939</v>
      </c>
      <c r="C1190" s="239">
        <v>111</v>
      </c>
      <c r="D1190" s="239" t="str">
        <f>IFERROR(VLOOKUP(C1190,'Neraca Saldo'!$B$6:$C$56,2,0),"")</f>
        <v>Bank</v>
      </c>
      <c r="E1190" s="258" t="s">
        <v>1029</v>
      </c>
      <c r="F1190" s="244" t="s">
        <v>77</v>
      </c>
      <c r="G1190" s="239"/>
      <c r="H1190" s="245">
        <v>200000</v>
      </c>
      <c r="I1190" s="240">
        <v>0</v>
      </c>
    </row>
    <row r="1191" spans="2:9" ht="12.75" hidden="1" customHeight="1" x14ac:dyDescent="0.2">
      <c r="B1191" s="238">
        <v>45939</v>
      </c>
      <c r="C1191" s="239">
        <v>212</v>
      </c>
      <c r="D1191" s="239" t="str">
        <f>IFERROR(VLOOKUP(C1191,'Neraca Saldo'!$B$6:$C$56,2,0),"")</f>
        <v>Simpanan Karyawan</v>
      </c>
      <c r="E1191" s="258" t="s">
        <v>1029</v>
      </c>
      <c r="F1191" s="244" t="s">
        <v>77</v>
      </c>
      <c r="G1191" s="239"/>
      <c r="H1191" s="240">
        <f>I1190</f>
        <v>0</v>
      </c>
      <c r="I1191" s="240">
        <f>H1190</f>
        <v>200000</v>
      </c>
    </row>
    <row r="1192" spans="2:9" ht="12.75" customHeight="1" x14ac:dyDescent="0.2">
      <c r="B1192" s="231">
        <v>45945</v>
      </c>
      <c r="C1192" s="232">
        <v>513</v>
      </c>
      <c r="D1192" s="232" t="str">
        <f>IFERROR(VLOOKUP(C1192,'Neraca Saldo'!$B$6:$C$56,2,0),"")</f>
        <v>Beban Pengurus dan Anggota</v>
      </c>
      <c r="E1192" s="194" t="s">
        <v>881</v>
      </c>
      <c r="F1192" s="234" t="s">
        <v>838</v>
      </c>
      <c r="G1192" s="232"/>
      <c r="H1192" s="188">
        <v>297500</v>
      </c>
      <c r="I1192" s="236">
        <v>0</v>
      </c>
    </row>
    <row r="1193" spans="2:9" ht="12.75" hidden="1" customHeight="1" x14ac:dyDescent="0.2">
      <c r="B1193" s="231">
        <v>45945</v>
      </c>
      <c r="C1193" s="232">
        <v>112</v>
      </c>
      <c r="D1193" s="232" t="str">
        <f>IFERROR(VLOOKUP(C1193,'Neraca Saldo'!$B$6:$C$56,2,0),"")</f>
        <v>Kas</v>
      </c>
      <c r="E1193" s="194" t="s">
        <v>881</v>
      </c>
      <c r="F1193" s="234" t="s">
        <v>838</v>
      </c>
      <c r="G1193" s="232"/>
      <c r="H1193" s="236">
        <f>I1192</f>
        <v>0</v>
      </c>
      <c r="I1193" s="236">
        <f>H1192</f>
        <v>297500</v>
      </c>
    </row>
    <row r="1194" spans="2:9" ht="12.75" customHeight="1" x14ac:dyDescent="0.2">
      <c r="B1194" s="231">
        <v>45945</v>
      </c>
      <c r="C1194" s="232">
        <v>513</v>
      </c>
      <c r="D1194" s="232" t="str">
        <f>IFERROR(VLOOKUP(C1194,'Neraca Saldo'!$B$6:$C$56,2,0),"")</f>
        <v>Beban Pengurus dan Anggota</v>
      </c>
      <c r="E1194" s="194" t="s">
        <v>881</v>
      </c>
      <c r="F1194" s="234" t="s">
        <v>838</v>
      </c>
      <c r="G1194" s="232"/>
      <c r="H1194" s="188">
        <v>172000</v>
      </c>
      <c r="I1194" s="236">
        <v>0</v>
      </c>
    </row>
    <row r="1195" spans="2:9" ht="12.75" hidden="1" customHeight="1" x14ac:dyDescent="0.2">
      <c r="B1195" s="231">
        <v>45945</v>
      </c>
      <c r="C1195" s="232">
        <v>112</v>
      </c>
      <c r="D1195" s="232" t="str">
        <f>IFERROR(VLOOKUP(C1195,'Neraca Saldo'!$B$6:$C$56,2,0),"")</f>
        <v>Kas</v>
      </c>
      <c r="E1195" s="194" t="s">
        <v>881</v>
      </c>
      <c r="F1195" s="234" t="s">
        <v>838</v>
      </c>
      <c r="G1195" s="232"/>
      <c r="H1195" s="236">
        <f>I1194</f>
        <v>0</v>
      </c>
      <c r="I1195" s="236">
        <f>H1194</f>
        <v>172000</v>
      </c>
    </row>
    <row r="1196" spans="2:9" ht="12.75" customHeight="1" x14ac:dyDescent="0.2">
      <c r="B1196" s="231">
        <v>45945</v>
      </c>
      <c r="C1196" s="232">
        <v>513</v>
      </c>
      <c r="D1196" s="232" t="str">
        <f>IFERROR(VLOOKUP(C1196,'Neraca Saldo'!$B$6:$C$56,2,0),"")</f>
        <v>Beban Pengurus dan Anggota</v>
      </c>
      <c r="E1196" s="194" t="s">
        <v>881</v>
      </c>
      <c r="F1196" s="234" t="s">
        <v>838</v>
      </c>
      <c r="G1196" s="232"/>
      <c r="H1196" s="188">
        <v>108900</v>
      </c>
      <c r="I1196" s="236">
        <v>0</v>
      </c>
    </row>
    <row r="1197" spans="2:9" ht="12.75" hidden="1" customHeight="1" x14ac:dyDescent="0.2">
      <c r="B1197" s="231">
        <v>45945</v>
      </c>
      <c r="C1197" s="232">
        <v>112</v>
      </c>
      <c r="D1197" s="232" t="str">
        <f>IFERROR(VLOOKUP(C1197,'Neraca Saldo'!$B$6:$C$56,2,0),"")</f>
        <v>Kas</v>
      </c>
      <c r="E1197" s="194" t="s">
        <v>881</v>
      </c>
      <c r="F1197" s="234" t="s">
        <v>838</v>
      </c>
      <c r="G1197" s="232"/>
      <c r="H1197" s="236">
        <f>I1196</f>
        <v>0</v>
      </c>
      <c r="I1197" s="236">
        <f>H1196</f>
        <v>108900</v>
      </c>
    </row>
    <row r="1198" spans="2:9" ht="12.75" hidden="1" customHeight="1" x14ac:dyDescent="0.2">
      <c r="B1198" s="231">
        <v>45945</v>
      </c>
      <c r="C1198" s="232">
        <v>212</v>
      </c>
      <c r="D1198" s="232" t="str">
        <f>IFERROR(VLOOKUP(C1198,'Neraca Saldo'!$B$6:$C$56,2,0),"")</f>
        <v>Simpanan Karyawan</v>
      </c>
      <c r="E1198" s="194" t="s">
        <v>1126</v>
      </c>
      <c r="F1198" s="234" t="s">
        <v>838</v>
      </c>
      <c r="G1198" s="232"/>
      <c r="H1198" s="188">
        <v>3000000</v>
      </c>
      <c r="I1198" s="236">
        <v>0</v>
      </c>
    </row>
    <row r="1199" spans="2:9" ht="12.75" hidden="1" customHeight="1" x14ac:dyDescent="0.2">
      <c r="B1199" s="231">
        <v>45945</v>
      </c>
      <c r="C1199" s="232">
        <v>112</v>
      </c>
      <c r="D1199" s="232" t="str">
        <f>IFERROR(VLOOKUP(C1199,'Neraca Saldo'!$B$6:$C$56,2,0),"")</f>
        <v>Kas</v>
      </c>
      <c r="E1199" s="194" t="s">
        <v>1126</v>
      </c>
      <c r="F1199" s="234" t="s">
        <v>838</v>
      </c>
      <c r="G1199" s="232"/>
      <c r="H1199" s="236">
        <f>I1198</f>
        <v>0</v>
      </c>
      <c r="I1199" s="236">
        <f>H1198</f>
        <v>3000000</v>
      </c>
    </row>
    <row r="1200" spans="2:9" ht="12.75" hidden="1" customHeight="1" x14ac:dyDescent="0.2">
      <c r="B1200" s="231">
        <v>45952</v>
      </c>
      <c r="C1200" s="232">
        <v>517</v>
      </c>
      <c r="D1200" s="232" t="str">
        <f>IFERROR(VLOOKUP(C1200,'Neraca Saldo'!$B$6:$C$56,2,0),"")</f>
        <v>Beban Transport</v>
      </c>
      <c r="E1200" s="194" t="s">
        <v>1154</v>
      </c>
      <c r="F1200" s="234" t="s">
        <v>838</v>
      </c>
      <c r="G1200" s="232"/>
      <c r="H1200" s="188">
        <v>745000</v>
      </c>
      <c r="I1200" s="236">
        <v>0</v>
      </c>
    </row>
    <row r="1201" spans="2:9" ht="12.75" hidden="1" customHeight="1" x14ac:dyDescent="0.2">
      <c r="B1201" s="231">
        <v>45952</v>
      </c>
      <c r="C1201" s="232">
        <v>112</v>
      </c>
      <c r="D1201" s="232" t="str">
        <f>IFERROR(VLOOKUP(C1201,'Neraca Saldo'!$B$6:$C$56,2,0),"")</f>
        <v>Kas</v>
      </c>
      <c r="E1201" s="194" t="s">
        <v>1154</v>
      </c>
      <c r="F1201" s="234" t="s">
        <v>838</v>
      </c>
      <c r="G1201" s="232"/>
      <c r="H1201" s="236">
        <f>I1200</f>
        <v>0</v>
      </c>
      <c r="I1201" s="236">
        <f>H1200</f>
        <v>745000</v>
      </c>
    </row>
    <row r="1202" spans="2:9" ht="12.75" hidden="1" customHeight="1" x14ac:dyDescent="0.2">
      <c r="B1202" s="238">
        <v>45953</v>
      </c>
      <c r="C1202" s="239">
        <v>111</v>
      </c>
      <c r="D1202" s="239" t="str">
        <f>IFERROR(VLOOKUP(C1202,'Neraca Saldo'!$B$6:$C$56,2,0),"")</f>
        <v>Bank</v>
      </c>
      <c r="E1202" s="258" t="s">
        <v>1104</v>
      </c>
      <c r="F1202" s="244" t="s">
        <v>77</v>
      </c>
      <c r="G1202" s="239"/>
      <c r="H1202" s="245">
        <v>1000000</v>
      </c>
      <c r="I1202" s="240">
        <v>0</v>
      </c>
    </row>
    <row r="1203" spans="2:9" ht="12.75" hidden="1" customHeight="1" x14ac:dyDescent="0.2">
      <c r="B1203" s="238">
        <v>45953</v>
      </c>
      <c r="C1203" s="239">
        <v>212</v>
      </c>
      <c r="D1203" s="239" t="str">
        <f>IFERROR(VLOOKUP(C1203,'Neraca Saldo'!$B$6:$C$56,2,0),"")</f>
        <v>Simpanan Karyawan</v>
      </c>
      <c r="E1203" s="258" t="s">
        <v>1104</v>
      </c>
      <c r="F1203" s="244" t="s">
        <v>77</v>
      </c>
      <c r="G1203" s="239"/>
      <c r="H1203" s="240">
        <f>I1202</f>
        <v>0</v>
      </c>
      <c r="I1203" s="240">
        <f>H1202</f>
        <v>1000000</v>
      </c>
    </row>
    <row r="1204" spans="2:9" ht="12.75" hidden="1" customHeight="1" x14ac:dyDescent="0.2">
      <c r="B1204" s="238">
        <v>45954</v>
      </c>
      <c r="C1204" s="239">
        <v>212</v>
      </c>
      <c r="D1204" s="239" t="str">
        <f>IFERROR(VLOOKUP(C1204,'Neraca Saldo'!$B$6:$C$56,2,0),"")</f>
        <v>Simpanan Karyawan</v>
      </c>
      <c r="E1204" s="258" t="s">
        <v>1155</v>
      </c>
      <c r="F1204" s="244" t="s">
        <v>77</v>
      </c>
      <c r="G1204" s="239"/>
      <c r="H1204" s="191">
        <v>13000000</v>
      </c>
      <c r="I1204" s="240">
        <v>0</v>
      </c>
    </row>
    <row r="1205" spans="2:9" ht="12.75" hidden="1" customHeight="1" x14ac:dyDescent="0.2">
      <c r="B1205" s="238">
        <v>45954</v>
      </c>
      <c r="C1205" s="239">
        <v>111</v>
      </c>
      <c r="D1205" s="239" t="str">
        <f>IFERROR(VLOOKUP(C1205,'Neraca Saldo'!$B$6:$C$56,2,0),"")</f>
        <v>Bank</v>
      </c>
      <c r="E1205" s="258" t="s">
        <v>1155</v>
      </c>
      <c r="F1205" s="244" t="s">
        <v>77</v>
      </c>
      <c r="G1205" s="239"/>
      <c r="H1205" s="240">
        <f>I1204</f>
        <v>0</v>
      </c>
      <c r="I1205" s="240">
        <f>H1204</f>
        <v>13000000</v>
      </c>
    </row>
    <row r="1206" spans="2:9" ht="12.75" hidden="1" customHeight="1" x14ac:dyDescent="0.2">
      <c r="B1206" s="238">
        <v>45954</v>
      </c>
      <c r="C1206" s="239">
        <v>111</v>
      </c>
      <c r="D1206" s="239" t="str">
        <f>IFERROR(VLOOKUP(C1206,'Neraca Saldo'!$B$6:$C$56,2,0),"")</f>
        <v>Bank</v>
      </c>
      <c r="E1206" s="258" t="s">
        <v>964</v>
      </c>
      <c r="F1206" s="244" t="s">
        <v>77</v>
      </c>
      <c r="G1206" s="239"/>
      <c r="H1206" s="245">
        <v>500000</v>
      </c>
      <c r="I1206" s="240">
        <v>0</v>
      </c>
    </row>
    <row r="1207" spans="2:9" ht="12.75" hidden="1" customHeight="1" x14ac:dyDescent="0.2">
      <c r="B1207" s="238">
        <v>45954</v>
      </c>
      <c r="C1207" s="239">
        <v>212</v>
      </c>
      <c r="D1207" s="239" t="str">
        <f>IFERROR(VLOOKUP(C1207,'Neraca Saldo'!$B$6:$C$56,2,0),"")</f>
        <v>Simpanan Karyawan</v>
      </c>
      <c r="E1207" s="258" t="s">
        <v>964</v>
      </c>
      <c r="F1207" s="244" t="s">
        <v>77</v>
      </c>
      <c r="G1207" s="239"/>
      <c r="H1207" s="240">
        <f>I1206</f>
        <v>0</v>
      </c>
      <c r="I1207" s="240">
        <f>H1206</f>
        <v>500000</v>
      </c>
    </row>
    <row r="1208" spans="2:9" ht="12.75" hidden="1" customHeight="1" x14ac:dyDescent="0.2">
      <c r="B1208" s="238">
        <v>45957</v>
      </c>
      <c r="C1208" s="239">
        <v>111</v>
      </c>
      <c r="D1208" s="239" t="str">
        <f>IFERROR(VLOOKUP(C1208,'Neraca Saldo'!$B$6:$C$56,2,0),"")</f>
        <v>Bank</v>
      </c>
      <c r="E1208" s="258" t="s">
        <v>1104</v>
      </c>
      <c r="F1208" s="244" t="s">
        <v>77</v>
      </c>
      <c r="G1208" s="239"/>
      <c r="H1208" s="245">
        <v>1500000</v>
      </c>
      <c r="I1208" s="240">
        <v>0</v>
      </c>
    </row>
    <row r="1209" spans="2:9" ht="12.75" hidden="1" customHeight="1" x14ac:dyDescent="0.2">
      <c r="B1209" s="238">
        <v>45957</v>
      </c>
      <c r="C1209" s="239">
        <v>212</v>
      </c>
      <c r="D1209" s="239" t="str">
        <f>IFERROR(VLOOKUP(C1209,'Neraca Saldo'!$B$6:$C$56,2,0),"")</f>
        <v>Simpanan Karyawan</v>
      </c>
      <c r="E1209" s="258" t="s">
        <v>1104</v>
      </c>
      <c r="F1209" s="244" t="s">
        <v>77</v>
      </c>
      <c r="G1209" s="239"/>
      <c r="H1209" s="240">
        <f>I1208</f>
        <v>0</v>
      </c>
      <c r="I1209" s="240">
        <f>H1208</f>
        <v>1500000</v>
      </c>
    </row>
    <row r="1210" spans="2:9" ht="12.75" hidden="1" customHeight="1" x14ac:dyDescent="0.2">
      <c r="B1210" s="238">
        <v>45957</v>
      </c>
      <c r="C1210" s="239">
        <v>111</v>
      </c>
      <c r="D1210" s="239" t="str">
        <f>IFERROR(VLOOKUP(C1210,'Neraca Saldo'!$B$6:$C$56,2,0),"")</f>
        <v>Bank</v>
      </c>
      <c r="E1210" s="258" t="s">
        <v>1020</v>
      </c>
      <c r="F1210" s="244" t="s">
        <v>77</v>
      </c>
      <c r="G1210" s="239"/>
      <c r="H1210" s="245">
        <v>200000</v>
      </c>
      <c r="I1210" s="240">
        <v>0</v>
      </c>
    </row>
    <row r="1211" spans="2:9" ht="12.75" hidden="1" customHeight="1" x14ac:dyDescent="0.2">
      <c r="B1211" s="238">
        <v>45957</v>
      </c>
      <c r="C1211" s="239">
        <v>212</v>
      </c>
      <c r="D1211" s="239" t="str">
        <f>IFERROR(VLOOKUP(C1211,'Neraca Saldo'!$B$6:$C$56,2,0),"")</f>
        <v>Simpanan Karyawan</v>
      </c>
      <c r="E1211" s="258" t="s">
        <v>1020</v>
      </c>
      <c r="F1211" s="244" t="s">
        <v>77</v>
      </c>
      <c r="G1211" s="239"/>
      <c r="H1211" s="240">
        <f>I1210</f>
        <v>0</v>
      </c>
      <c r="I1211" s="240">
        <f>H1210</f>
        <v>200000</v>
      </c>
    </row>
    <row r="1212" spans="2:9" ht="12.75" hidden="1" customHeight="1" x14ac:dyDescent="0.2">
      <c r="B1212" s="238">
        <v>45957</v>
      </c>
      <c r="C1212" s="239">
        <v>111</v>
      </c>
      <c r="D1212" s="239" t="str">
        <f>IFERROR(VLOOKUP(C1212,'Neraca Saldo'!$B$6:$C$56,2,0),"")</f>
        <v>Bank</v>
      </c>
      <c r="E1212" s="258" t="s">
        <v>1046</v>
      </c>
      <c r="F1212" s="244" t="s">
        <v>77</v>
      </c>
      <c r="G1212" s="239"/>
      <c r="H1212" s="245">
        <v>328300</v>
      </c>
      <c r="I1212" s="240">
        <v>0</v>
      </c>
    </row>
    <row r="1213" spans="2:9" ht="12.75" hidden="1" customHeight="1" x14ac:dyDescent="0.2">
      <c r="B1213" s="238">
        <v>45957</v>
      </c>
      <c r="C1213" s="239">
        <v>212</v>
      </c>
      <c r="D1213" s="239" t="str">
        <f>IFERROR(VLOOKUP(C1213,'Neraca Saldo'!$B$6:$C$56,2,0),"")</f>
        <v>Simpanan Karyawan</v>
      </c>
      <c r="E1213" s="258" t="s">
        <v>1046</v>
      </c>
      <c r="F1213" s="244" t="s">
        <v>77</v>
      </c>
      <c r="G1213" s="239"/>
      <c r="H1213" s="240">
        <f>I1212</f>
        <v>0</v>
      </c>
      <c r="I1213" s="240">
        <f>H1212</f>
        <v>328300</v>
      </c>
    </row>
    <row r="1214" spans="2:9" ht="12.75" hidden="1" customHeight="1" x14ac:dyDescent="0.2">
      <c r="B1214" s="238">
        <v>45958</v>
      </c>
      <c r="C1214" s="239">
        <v>111</v>
      </c>
      <c r="D1214" s="239" t="str">
        <f>IFERROR(VLOOKUP(C1214,'Neraca Saldo'!$B$6:$C$56,2,0),"")</f>
        <v>Bank</v>
      </c>
      <c r="E1214" s="258" t="s">
        <v>1048</v>
      </c>
      <c r="F1214" s="244" t="s">
        <v>77</v>
      </c>
      <c r="G1214" s="239"/>
      <c r="H1214" s="245">
        <v>200000</v>
      </c>
      <c r="I1214" s="240">
        <v>0</v>
      </c>
    </row>
    <row r="1215" spans="2:9" ht="12.75" hidden="1" customHeight="1" x14ac:dyDescent="0.2">
      <c r="B1215" s="238">
        <v>45958</v>
      </c>
      <c r="C1215" s="239">
        <v>212</v>
      </c>
      <c r="D1215" s="239" t="str">
        <f>IFERROR(VLOOKUP(C1215,'Neraca Saldo'!$B$6:$C$56,2,0),"")</f>
        <v>Simpanan Karyawan</v>
      </c>
      <c r="E1215" s="258" t="s">
        <v>1048</v>
      </c>
      <c r="F1215" s="244" t="s">
        <v>77</v>
      </c>
      <c r="G1215" s="239"/>
      <c r="H1215" s="240">
        <f>I1214</f>
        <v>0</v>
      </c>
      <c r="I1215" s="240">
        <f>H1214</f>
        <v>200000</v>
      </c>
    </row>
    <row r="1216" spans="2:9" ht="12.75" hidden="1" customHeight="1" x14ac:dyDescent="0.2">
      <c r="B1216" s="238">
        <v>45959</v>
      </c>
      <c r="C1216" s="239">
        <v>111</v>
      </c>
      <c r="D1216" s="239" t="str">
        <f>IFERROR(VLOOKUP(C1216,'Neraca Saldo'!$B$6:$C$56,2,0),"")</f>
        <v>Bank</v>
      </c>
      <c r="E1216" s="258" t="s">
        <v>1104</v>
      </c>
      <c r="F1216" s="244" t="s">
        <v>77</v>
      </c>
      <c r="G1216" s="239"/>
      <c r="H1216" s="245">
        <v>1000000</v>
      </c>
      <c r="I1216" s="240">
        <v>0</v>
      </c>
    </row>
    <row r="1217" spans="2:9" ht="12.75" hidden="1" customHeight="1" x14ac:dyDescent="0.2">
      <c r="B1217" s="238">
        <v>45959</v>
      </c>
      <c r="C1217" s="239">
        <v>212</v>
      </c>
      <c r="D1217" s="239" t="str">
        <f>IFERROR(VLOOKUP(C1217,'Neraca Saldo'!$B$6:$C$56,2,0),"")</f>
        <v>Simpanan Karyawan</v>
      </c>
      <c r="E1217" s="258" t="s">
        <v>1104</v>
      </c>
      <c r="F1217" s="244" t="s">
        <v>77</v>
      </c>
      <c r="G1217" s="239"/>
      <c r="H1217" s="240">
        <f>I1216</f>
        <v>0</v>
      </c>
      <c r="I1217" s="240">
        <f>H1216</f>
        <v>1000000</v>
      </c>
    </row>
    <row r="1218" spans="2:9" ht="12.75" hidden="1" customHeight="1" x14ac:dyDescent="0.2">
      <c r="B1218" s="231">
        <v>45959</v>
      </c>
      <c r="C1218" s="232">
        <v>313</v>
      </c>
      <c r="D1218" s="232" t="str">
        <f>IFERROR(VLOOKUP(C1218,'Neraca Saldo'!$B$6:$C$56,2,0),"")</f>
        <v>(Laba)/Rugi ditahan</v>
      </c>
      <c r="E1218" s="194" t="s">
        <v>1156</v>
      </c>
      <c r="F1218" s="234" t="s">
        <v>838</v>
      </c>
      <c r="G1218" s="232"/>
      <c r="H1218" s="188">
        <v>250000</v>
      </c>
      <c r="I1218" s="236">
        <v>0</v>
      </c>
    </row>
    <row r="1219" spans="2:9" ht="12.75" hidden="1" customHeight="1" x14ac:dyDescent="0.2">
      <c r="B1219" s="231">
        <v>45959</v>
      </c>
      <c r="C1219" s="232">
        <v>112</v>
      </c>
      <c r="D1219" s="232" t="str">
        <f>IFERROR(VLOOKUP(C1219,'Neraca Saldo'!$B$6:$C$56,2,0),"")</f>
        <v>Kas</v>
      </c>
      <c r="E1219" s="194" t="s">
        <v>1156</v>
      </c>
      <c r="F1219" s="234" t="s">
        <v>838</v>
      </c>
      <c r="G1219" s="232"/>
      <c r="H1219" s="236">
        <f>I1218</f>
        <v>0</v>
      </c>
      <c r="I1219" s="236">
        <f>H1218</f>
        <v>250000</v>
      </c>
    </row>
    <row r="1220" spans="2:9" ht="12.75" hidden="1" customHeight="1" x14ac:dyDescent="0.2">
      <c r="B1220" s="238">
        <v>45959</v>
      </c>
      <c r="C1220" s="239">
        <v>111</v>
      </c>
      <c r="D1220" s="239" t="str">
        <f>IFERROR(VLOOKUP(C1220,'Neraca Saldo'!$B$6:$C$56,2,0),"")</f>
        <v>Bank</v>
      </c>
      <c r="E1220" s="258" t="s">
        <v>1157</v>
      </c>
      <c r="F1220" s="244" t="s">
        <v>77</v>
      </c>
      <c r="G1220" s="239"/>
      <c r="H1220" s="245">
        <v>5245050</v>
      </c>
      <c r="I1220" s="240">
        <v>0</v>
      </c>
    </row>
    <row r="1221" spans="2:9" ht="12.75" hidden="1" customHeight="1" x14ac:dyDescent="0.2">
      <c r="B1221" s="238">
        <v>45959</v>
      </c>
      <c r="C1221" s="239">
        <v>411</v>
      </c>
      <c r="D1221" s="239" t="str">
        <f>IFERROR(VLOOKUP(C1221,'Neraca Saldo'!$B$6:$C$56,2,0),"")</f>
        <v>Pendapatan Toko</v>
      </c>
      <c r="E1221" s="258" t="s">
        <v>1157</v>
      </c>
      <c r="F1221" s="244" t="s">
        <v>77</v>
      </c>
      <c r="G1221" s="239"/>
      <c r="H1221" s="240">
        <f>I1220</f>
        <v>0</v>
      </c>
      <c r="I1221" s="240">
        <f>H1220</f>
        <v>5245050</v>
      </c>
    </row>
    <row r="1222" spans="2:9" ht="12.75" hidden="1" customHeight="1" x14ac:dyDescent="0.2">
      <c r="B1222" s="238">
        <v>45959</v>
      </c>
      <c r="C1222" s="239">
        <v>111</v>
      </c>
      <c r="D1222" s="239" t="str">
        <f>IFERROR(VLOOKUP(C1222,'Neraca Saldo'!$B$6:$C$56,2,0),"")</f>
        <v>Bank</v>
      </c>
      <c r="E1222" s="206" t="s">
        <v>1158</v>
      </c>
      <c r="F1222" s="244" t="s">
        <v>77</v>
      </c>
      <c r="G1222" s="239"/>
      <c r="H1222" s="245">
        <v>63400000</v>
      </c>
      <c r="I1222" s="240">
        <v>0</v>
      </c>
    </row>
    <row r="1223" spans="2:9" ht="12.75" hidden="1" customHeight="1" x14ac:dyDescent="0.2">
      <c r="B1223" s="238">
        <v>45959</v>
      </c>
      <c r="C1223" s="239">
        <v>212</v>
      </c>
      <c r="D1223" s="239" t="str">
        <f>IFERROR(VLOOKUP(C1223,'Neraca Saldo'!$B$6:$C$56,2,0),"")</f>
        <v>Simpanan Karyawan</v>
      </c>
      <c r="E1223" s="206" t="s">
        <v>1158</v>
      </c>
      <c r="F1223" s="244" t="s">
        <v>77</v>
      </c>
      <c r="G1223" s="239"/>
      <c r="H1223" s="240">
        <f>I1222</f>
        <v>0</v>
      </c>
      <c r="I1223" s="240">
        <f>H1222</f>
        <v>63400000</v>
      </c>
    </row>
    <row r="1224" spans="2:9" ht="12.75" hidden="1" customHeight="1" x14ac:dyDescent="0.2">
      <c r="B1224" s="238">
        <v>45959</v>
      </c>
      <c r="C1224" s="239">
        <v>111</v>
      </c>
      <c r="D1224" s="239" t="str">
        <f>IFERROR(VLOOKUP(C1224,'Neraca Saldo'!$B$6:$C$56,2,0),"")</f>
        <v>Bank</v>
      </c>
      <c r="E1224" s="206" t="s">
        <v>1159</v>
      </c>
      <c r="F1224" s="244" t="s">
        <v>77</v>
      </c>
      <c r="G1224" s="239"/>
      <c r="H1224" s="245">
        <v>34299800</v>
      </c>
      <c r="I1224" s="240">
        <v>0</v>
      </c>
    </row>
    <row r="1225" spans="2:9" ht="12.75" hidden="1" customHeight="1" x14ac:dyDescent="0.2">
      <c r="B1225" s="238">
        <v>45959</v>
      </c>
      <c r="C1225" s="239">
        <v>212</v>
      </c>
      <c r="D1225" s="239" t="str">
        <f>IFERROR(VLOOKUP(C1225,'Neraca Saldo'!$B$6:$C$56,2,0),"")</f>
        <v>Simpanan Karyawan</v>
      </c>
      <c r="E1225" s="206" t="s">
        <v>1159</v>
      </c>
      <c r="F1225" s="244" t="s">
        <v>77</v>
      </c>
      <c r="G1225" s="239"/>
      <c r="H1225" s="240">
        <f>I1224</f>
        <v>0</v>
      </c>
      <c r="I1225" s="240">
        <f>H1224</f>
        <v>34299800</v>
      </c>
    </row>
    <row r="1226" spans="2:9" ht="12.75" hidden="1" customHeight="1" x14ac:dyDescent="0.2">
      <c r="B1226" s="238">
        <v>45959</v>
      </c>
      <c r="C1226" s="239">
        <v>111</v>
      </c>
      <c r="D1226" s="239" t="str">
        <f>IFERROR(VLOOKUP(C1226,'Neraca Saldo'!$B$6:$C$56,2,0),"")</f>
        <v>Bank</v>
      </c>
      <c r="E1226" s="206" t="s">
        <v>1160</v>
      </c>
      <c r="F1226" s="244" t="s">
        <v>77</v>
      </c>
      <c r="G1226" s="239"/>
      <c r="H1226" s="245">
        <v>7500000</v>
      </c>
      <c r="I1226" s="240">
        <v>0</v>
      </c>
    </row>
    <row r="1227" spans="2:9" ht="12.75" hidden="1" customHeight="1" x14ac:dyDescent="0.2">
      <c r="B1227" s="238">
        <v>45959</v>
      </c>
      <c r="C1227" s="239">
        <v>222</v>
      </c>
      <c r="D1227" s="239" t="str">
        <f>IFERROR(VLOOKUP(C1227,'Neraca Saldo'!$B$6:$C$56,2,0),"")</f>
        <v>Hutang SPN</v>
      </c>
      <c r="E1227" s="206" t="s">
        <v>1160</v>
      </c>
      <c r="F1227" s="244" t="s">
        <v>77</v>
      </c>
      <c r="G1227" s="239"/>
      <c r="H1227" s="240">
        <f>I1226</f>
        <v>0</v>
      </c>
      <c r="I1227" s="240">
        <f>H1226</f>
        <v>7500000</v>
      </c>
    </row>
    <row r="1228" spans="2:9" ht="12.75" hidden="1" customHeight="1" x14ac:dyDescent="0.2">
      <c r="B1228" s="238">
        <v>45959</v>
      </c>
      <c r="C1228" s="239">
        <v>111</v>
      </c>
      <c r="D1228" s="239" t="str">
        <f>IFERROR(VLOOKUP(C1228,'Neraca Saldo'!$B$6:$C$56,2,0),"")</f>
        <v>Bank</v>
      </c>
      <c r="E1228" s="206" t="s">
        <v>1161</v>
      </c>
      <c r="F1228" s="244" t="s">
        <v>77</v>
      </c>
      <c r="G1228" s="239"/>
      <c r="H1228" s="245">
        <v>85273036</v>
      </c>
      <c r="I1228" s="240">
        <v>0</v>
      </c>
    </row>
    <row r="1229" spans="2:9" ht="12.75" hidden="1" customHeight="1" x14ac:dyDescent="0.2">
      <c r="B1229" s="238">
        <v>45959</v>
      </c>
      <c r="C1229" s="239">
        <v>121</v>
      </c>
      <c r="D1229" s="239" t="str">
        <f>IFERROR(VLOOKUP(C1229,'Neraca Saldo'!$B$6:$C$56,2,0),"")</f>
        <v>Piutang Anggota</v>
      </c>
      <c r="E1229" s="206" t="s">
        <v>1161</v>
      </c>
      <c r="F1229" s="244" t="s">
        <v>77</v>
      </c>
      <c r="G1229" s="239"/>
      <c r="H1229" s="240">
        <f>I1228</f>
        <v>0</v>
      </c>
      <c r="I1229" s="240">
        <f>H1228</f>
        <v>85273036</v>
      </c>
    </row>
    <row r="1230" spans="2:9" ht="12.75" hidden="1" customHeight="1" x14ac:dyDescent="0.2">
      <c r="B1230" s="238">
        <v>45959</v>
      </c>
      <c r="C1230" s="239">
        <v>111</v>
      </c>
      <c r="D1230" s="239" t="str">
        <f>IFERROR(VLOOKUP(C1230,'Neraca Saldo'!$B$6:$C$56,2,0),"")</f>
        <v>Bank</v>
      </c>
      <c r="E1230" s="206" t="s">
        <v>1162</v>
      </c>
      <c r="F1230" s="244" t="s">
        <v>77</v>
      </c>
      <c r="G1230" s="239"/>
      <c r="H1230" s="245">
        <v>177131376</v>
      </c>
      <c r="I1230" s="240">
        <v>0</v>
      </c>
    </row>
    <row r="1231" spans="2:9" ht="12.75" hidden="1" customHeight="1" x14ac:dyDescent="0.2">
      <c r="B1231" s="238">
        <v>45959</v>
      </c>
      <c r="C1231" s="239">
        <v>121</v>
      </c>
      <c r="D1231" s="239" t="str">
        <f>IFERROR(VLOOKUP(C1231,'Neraca Saldo'!$B$6:$C$56,2,0),"")</f>
        <v>Piutang Anggota</v>
      </c>
      <c r="E1231" s="206" t="s">
        <v>1162</v>
      </c>
      <c r="F1231" s="244" t="s">
        <v>77</v>
      </c>
      <c r="G1231" s="239"/>
      <c r="H1231" s="240">
        <f>I1230</f>
        <v>0</v>
      </c>
      <c r="I1231" s="240">
        <f>H1230</f>
        <v>177131376</v>
      </c>
    </row>
    <row r="1232" spans="2:9" ht="12.75" hidden="1" customHeight="1" x14ac:dyDescent="0.2">
      <c r="B1232" s="238">
        <v>45959</v>
      </c>
      <c r="C1232" s="239">
        <v>111</v>
      </c>
      <c r="D1232" s="239" t="str">
        <f>IFERROR(VLOOKUP(C1232,'Neraca Saldo'!$B$6:$C$56,2,0),"")</f>
        <v>Bank</v>
      </c>
      <c r="E1232" s="206" t="s">
        <v>1163</v>
      </c>
      <c r="F1232" s="244" t="s">
        <v>77</v>
      </c>
      <c r="G1232" s="239"/>
      <c r="H1232" s="245">
        <v>6700000</v>
      </c>
      <c r="I1232" s="240">
        <v>0</v>
      </c>
    </row>
    <row r="1233" spans="2:9" ht="12.75" hidden="1" customHeight="1" x14ac:dyDescent="0.2">
      <c r="B1233" s="238">
        <v>45959</v>
      </c>
      <c r="C1233" s="239">
        <v>411</v>
      </c>
      <c r="D1233" s="239" t="str">
        <f>IFERROR(VLOOKUP(C1233,'Neraca Saldo'!$B$6:$C$56,2,0),"")</f>
        <v>Pendapatan Toko</v>
      </c>
      <c r="E1233" s="206" t="s">
        <v>1163</v>
      </c>
      <c r="F1233" s="244" t="s">
        <v>77</v>
      </c>
      <c r="G1233" s="239"/>
      <c r="H1233" s="240">
        <f>I1232</f>
        <v>0</v>
      </c>
      <c r="I1233" s="240">
        <f>H1232</f>
        <v>6700000</v>
      </c>
    </row>
    <row r="1234" spans="2:9" ht="12.75" hidden="1" customHeight="1" x14ac:dyDescent="0.2">
      <c r="B1234" s="238">
        <v>45959</v>
      </c>
      <c r="C1234" s="239">
        <v>111</v>
      </c>
      <c r="D1234" s="239" t="str">
        <f>IFERROR(VLOOKUP(C1234,'Neraca Saldo'!$B$6:$C$56,2,0),"")</f>
        <v>Bank</v>
      </c>
      <c r="E1234" s="206" t="s">
        <v>1164</v>
      </c>
      <c r="F1234" s="244" t="s">
        <v>77</v>
      </c>
      <c r="G1234" s="239"/>
      <c r="H1234" s="245">
        <v>1840000</v>
      </c>
      <c r="I1234" s="240">
        <v>0</v>
      </c>
    </row>
    <row r="1235" spans="2:9" ht="12.75" hidden="1" customHeight="1" x14ac:dyDescent="0.2">
      <c r="B1235" s="238">
        <v>45959</v>
      </c>
      <c r="C1235" s="239">
        <v>121</v>
      </c>
      <c r="D1235" s="239" t="str">
        <f>IFERROR(VLOOKUP(C1235,'Neraca Saldo'!$B$6:$C$56,2,0),"")</f>
        <v>Piutang Anggota</v>
      </c>
      <c r="E1235" s="206" t="s">
        <v>1164</v>
      </c>
      <c r="F1235" s="244" t="s">
        <v>77</v>
      </c>
      <c r="G1235" s="239"/>
      <c r="H1235" s="240">
        <f>I1234</f>
        <v>0</v>
      </c>
      <c r="I1235" s="240">
        <f>H1234</f>
        <v>1840000</v>
      </c>
    </row>
    <row r="1236" spans="2:9" ht="12.75" hidden="1" customHeight="1" x14ac:dyDescent="0.2">
      <c r="B1236" s="231">
        <v>45960</v>
      </c>
      <c r="C1236" s="232">
        <v>411</v>
      </c>
      <c r="D1236" s="232" t="str">
        <f>IFERROR(VLOOKUP(C1236,'Neraca Saldo'!$B$6:$C$56,2,0),"")</f>
        <v>Pendapatan Toko</v>
      </c>
      <c r="E1236" s="259" t="s">
        <v>1157</v>
      </c>
      <c r="F1236" s="234" t="s">
        <v>77</v>
      </c>
      <c r="G1236" s="232"/>
      <c r="H1236" s="246">
        <v>5245050</v>
      </c>
      <c r="I1236" s="236">
        <v>0</v>
      </c>
    </row>
    <row r="1237" spans="2:9" ht="12.75" hidden="1" customHeight="1" x14ac:dyDescent="0.2">
      <c r="B1237" s="231">
        <v>45960</v>
      </c>
      <c r="C1237" s="232">
        <v>111</v>
      </c>
      <c r="D1237" s="232" t="str">
        <f>IFERROR(VLOOKUP(C1237,'Neraca Saldo'!$B$6:$C$56,2,0),"")</f>
        <v>Bank</v>
      </c>
      <c r="E1237" s="259" t="s">
        <v>1157</v>
      </c>
      <c r="F1237" s="234" t="s">
        <v>77</v>
      </c>
      <c r="G1237" s="232"/>
      <c r="H1237" s="236">
        <f>I1236</f>
        <v>0</v>
      </c>
      <c r="I1237" s="236">
        <f>H1236</f>
        <v>5245050</v>
      </c>
    </row>
    <row r="1238" spans="2:9" ht="12.75" hidden="1" customHeight="1" x14ac:dyDescent="0.2">
      <c r="B1238" s="231">
        <v>45960</v>
      </c>
      <c r="C1238" s="232">
        <v>124</v>
      </c>
      <c r="D1238" s="232" t="str">
        <f>IFERROR(VLOOKUP(C1238,'Neraca Saldo'!$B$6:$C$56,2,0),"")</f>
        <v>Piutang USP</v>
      </c>
      <c r="E1238" s="205" t="s">
        <v>1159</v>
      </c>
      <c r="F1238" s="234" t="s">
        <v>77</v>
      </c>
      <c r="G1238" s="232"/>
      <c r="H1238" s="246">
        <v>34299800</v>
      </c>
      <c r="I1238" s="236">
        <v>0</v>
      </c>
    </row>
    <row r="1239" spans="2:9" ht="12.75" hidden="1" customHeight="1" x14ac:dyDescent="0.2">
      <c r="B1239" s="231">
        <v>45960</v>
      </c>
      <c r="C1239" s="232">
        <v>111</v>
      </c>
      <c r="D1239" s="232" t="str">
        <f>IFERROR(VLOOKUP(C1239,'Neraca Saldo'!$B$6:$C$56,2,0),"")</f>
        <v>Bank</v>
      </c>
      <c r="E1239" s="205" t="s">
        <v>1159</v>
      </c>
      <c r="F1239" s="234" t="s">
        <v>77</v>
      </c>
      <c r="G1239" s="232"/>
      <c r="H1239" s="236">
        <f>I1238</f>
        <v>0</v>
      </c>
      <c r="I1239" s="236">
        <f>H1238</f>
        <v>34299800</v>
      </c>
    </row>
    <row r="1240" spans="2:9" ht="12.75" hidden="1" customHeight="1" x14ac:dyDescent="0.2">
      <c r="B1240" s="231">
        <v>45960</v>
      </c>
      <c r="C1240" s="232">
        <v>222</v>
      </c>
      <c r="D1240" s="232" t="str">
        <f>IFERROR(VLOOKUP(C1240,'Neraca Saldo'!$B$6:$C$56,2,0),"")</f>
        <v>Hutang SPN</v>
      </c>
      <c r="E1240" s="205" t="s">
        <v>1160</v>
      </c>
      <c r="F1240" s="234" t="s">
        <v>77</v>
      </c>
      <c r="G1240" s="232"/>
      <c r="H1240" s="246">
        <v>7500000</v>
      </c>
      <c r="I1240" s="236">
        <v>0</v>
      </c>
    </row>
    <row r="1241" spans="2:9" ht="12.75" hidden="1" customHeight="1" x14ac:dyDescent="0.2">
      <c r="B1241" s="231">
        <v>45960</v>
      </c>
      <c r="C1241" s="232">
        <v>111</v>
      </c>
      <c r="D1241" s="232" t="str">
        <f>IFERROR(VLOOKUP(C1241,'Neraca Saldo'!$B$6:$C$56,2,0),"")</f>
        <v>Bank</v>
      </c>
      <c r="E1241" s="205" t="s">
        <v>1160</v>
      </c>
      <c r="F1241" s="234" t="s">
        <v>77</v>
      </c>
      <c r="G1241" s="232"/>
      <c r="H1241" s="236">
        <f>I1240</f>
        <v>0</v>
      </c>
      <c r="I1241" s="236">
        <f>H1240</f>
        <v>7500000</v>
      </c>
    </row>
    <row r="1242" spans="2:9" ht="12.75" hidden="1" customHeight="1" x14ac:dyDescent="0.2">
      <c r="B1242" s="231">
        <v>45960</v>
      </c>
      <c r="C1242" s="232">
        <v>126</v>
      </c>
      <c r="D1242" s="232" t="str">
        <f>IFERROR(VLOOKUP(C1242,'Neraca Saldo'!$B$6:$C$56,2,0),"")</f>
        <v>Piutang Pengadaan</v>
      </c>
      <c r="E1242" s="205" t="s">
        <v>1161</v>
      </c>
      <c r="F1242" s="234" t="s">
        <v>77</v>
      </c>
      <c r="G1242" s="232"/>
      <c r="H1242" s="246">
        <v>85273036</v>
      </c>
      <c r="I1242" s="236">
        <v>0</v>
      </c>
    </row>
    <row r="1243" spans="2:9" ht="12.75" hidden="1" customHeight="1" x14ac:dyDescent="0.2">
      <c r="B1243" s="231">
        <v>45960</v>
      </c>
      <c r="C1243" s="232">
        <v>111</v>
      </c>
      <c r="D1243" s="232" t="str">
        <f>IFERROR(VLOOKUP(C1243,'Neraca Saldo'!$B$6:$C$56,2,0),"")</f>
        <v>Bank</v>
      </c>
      <c r="E1243" s="205" t="s">
        <v>1161</v>
      </c>
      <c r="F1243" s="234" t="s">
        <v>77</v>
      </c>
      <c r="G1243" s="232"/>
      <c r="H1243" s="236">
        <f>I1242</f>
        <v>0</v>
      </c>
      <c r="I1243" s="236">
        <f>H1242</f>
        <v>85273036</v>
      </c>
    </row>
    <row r="1244" spans="2:9" ht="12.75" hidden="1" customHeight="1" x14ac:dyDescent="0.2">
      <c r="B1244" s="231">
        <v>45960</v>
      </c>
      <c r="C1244" s="232">
        <v>124</v>
      </c>
      <c r="D1244" s="232" t="str">
        <f>IFERROR(VLOOKUP(C1244,'Neraca Saldo'!$B$6:$C$56,2,0),"")</f>
        <v>Piutang USP</v>
      </c>
      <c r="E1244" s="205" t="s">
        <v>1162</v>
      </c>
      <c r="F1244" s="234" t="s">
        <v>77</v>
      </c>
      <c r="G1244" s="232"/>
      <c r="H1244" s="246">
        <v>177131376</v>
      </c>
      <c r="I1244" s="236">
        <v>0</v>
      </c>
    </row>
    <row r="1245" spans="2:9" ht="12.75" hidden="1" customHeight="1" x14ac:dyDescent="0.2">
      <c r="B1245" s="231">
        <v>45960</v>
      </c>
      <c r="C1245" s="232">
        <v>111</v>
      </c>
      <c r="D1245" s="232" t="str">
        <f>IFERROR(VLOOKUP(C1245,'Neraca Saldo'!$B$6:$C$56,2,0),"")</f>
        <v>Bank</v>
      </c>
      <c r="E1245" s="205" t="s">
        <v>1162</v>
      </c>
      <c r="F1245" s="234" t="s">
        <v>77</v>
      </c>
      <c r="G1245" s="232"/>
      <c r="H1245" s="236">
        <f>I1244</f>
        <v>0</v>
      </c>
      <c r="I1245" s="236">
        <f>H1244</f>
        <v>177131376</v>
      </c>
    </row>
    <row r="1246" spans="2:9" ht="12.75" hidden="1" customHeight="1" x14ac:dyDescent="0.2">
      <c r="B1246" s="231">
        <v>45960</v>
      </c>
      <c r="C1246" s="232">
        <v>411</v>
      </c>
      <c r="D1246" s="232" t="str">
        <f>IFERROR(VLOOKUP(C1246,'Neraca Saldo'!$B$6:$C$56,2,0),"")</f>
        <v>Pendapatan Toko</v>
      </c>
      <c r="E1246" s="205" t="s">
        <v>1163</v>
      </c>
      <c r="F1246" s="234" t="s">
        <v>77</v>
      </c>
      <c r="G1246" s="232"/>
      <c r="H1246" s="246">
        <v>6700000</v>
      </c>
      <c r="I1246" s="236">
        <v>0</v>
      </c>
    </row>
    <row r="1247" spans="2:9" ht="12.75" hidden="1" customHeight="1" x14ac:dyDescent="0.2">
      <c r="B1247" s="231">
        <v>45960</v>
      </c>
      <c r="C1247" s="232">
        <v>111</v>
      </c>
      <c r="D1247" s="232" t="str">
        <f>IFERROR(VLOOKUP(C1247,'Neraca Saldo'!$B$6:$C$56,2,0),"")</f>
        <v>Bank</v>
      </c>
      <c r="E1247" s="205" t="s">
        <v>1163</v>
      </c>
      <c r="F1247" s="234" t="s">
        <v>77</v>
      </c>
      <c r="G1247" s="232"/>
      <c r="H1247" s="236">
        <f>I1246</f>
        <v>0</v>
      </c>
      <c r="I1247" s="236">
        <f>H1246</f>
        <v>6700000</v>
      </c>
    </row>
    <row r="1248" spans="2:9" ht="12.75" hidden="1" customHeight="1" x14ac:dyDescent="0.2">
      <c r="B1248" s="231">
        <v>45960</v>
      </c>
      <c r="C1248" s="232">
        <v>126</v>
      </c>
      <c r="D1248" s="232" t="str">
        <f>IFERROR(VLOOKUP(C1248,'Neraca Saldo'!$B$6:$C$56,2,0),"")</f>
        <v>Piutang Pengadaan</v>
      </c>
      <c r="E1248" s="205" t="s">
        <v>1164</v>
      </c>
      <c r="F1248" s="234" t="s">
        <v>77</v>
      </c>
      <c r="G1248" s="232"/>
      <c r="H1248" s="246">
        <v>1840000</v>
      </c>
      <c r="I1248" s="236">
        <v>0</v>
      </c>
    </row>
    <row r="1249" spans="2:9" ht="12.75" hidden="1" customHeight="1" x14ac:dyDescent="0.2">
      <c r="B1249" s="231">
        <v>45960</v>
      </c>
      <c r="C1249" s="232">
        <v>111</v>
      </c>
      <c r="D1249" s="232" t="str">
        <f>IFERROR(VLOOKUP(C1249,'Neraca Saldo'!$B$6:$C$56,2,0),"")</f>
        <v>Bank</v>
      </c>
      <c r="E1249" s="205" t="s">
        <v>1164</v>
      </c>
      <c r="F1249" s="232" t="s">
        <v>77</v>
      </c>
      <c r="G1249" s="232"/>
      <c r="H1249" s="236">
        <f>I1248</f>
        <v>0</v>
      </c>
      <c r="I1249" s="236">
        <f>H1248</f>
        <v>1840000</v>
      </c>
    </row>
    <row r="1250" spans="2:9" ht="12.75" hidden="1" customHeight="1" x14ac:dyDescent="0.2">
      <c r="B1250" s="231">
        <v>45960</v>
      </c>
      <c r="C1250" s="232">
        <v>212</v>
      </c>
      <c r="D1250" s="232" t="str">
        <f>IFERROR(VLOOKUP(C1250,'Neraca Saldo'!$B$6:$C$56,2,0),"")</f>
        <v>Simpanan Karyawan</v>
      </c>
      <c r="E1250" s="205" t="s">
        <v>1081</v>
      </c>
      <c r="F1250" s="232" t="s">
        <v>77</v>
      </c>
      <c r="G1250" s="232"/>
      <c r="H1250" s="196">
        <v>13000000</v>
      </c>
      <c r="I1250" s="236">
        <v>0</v>
      </c>
    </row>
    <row r="1251" spans="2:9" ht="12.75" hidden="1" customHeight="1" x14ac:dyDescent="0.2">
      <c r="B1251" s="231">
        <v>45960</v>
      </c>
      <c r="C1251" s="232">
        <v>111</v>
      </c>
      <c r="D1251" s="232" t="str">
        <f>IFERROR(VLOOKUP(C1251,'Neraca Saldo'!$B$6:$C$56,2,0),"")</f>
        <v>Bank</v>
      </c>
      <c r="E1251" s="205" t="s">
        <v>1081</v>
      </c>
      <c r="F1251" s="232" t="s">
        <v>77</v>
      </c>
      <c r="G1251" s="232"/>
      <c r="H1251" s="236">
        <f>I1250</f>
        <v>0</v>
      </c>
      <c r="I1251" s="236">
        <f>H1250</f>
        <v>13000000</v>
      </c>
    </row>
    <row r="1252" spans="2:9" ht="12.75" customHeight="1" x14ac:dyDescent="0.2">
      <c r="B1252" s="231">
        <v>45960</v>
      </c>
      <c r="C1252" s="232">
        <v>513</v>
      </c>
      <c r="D1252" s="232" t="str">
        <f>IFERROR(VLOOKUP(C1252,'Neraca Saldo'!$B$6:$C$56,2,0),"")</f>
        <v>Beban Pengurus dan Anggota</v>
      </c>
      <c r="E1252" s="259" t="s">
        <v>1165</v>
      </c>
      <c r="F1252" s="232" t="s">
        <v>77</v>
      </c>
      <c r="G1252" s="232"/>
      <c r="H1252" s="196">
        <v>11000000</v>
      </c>
      <c r="I1252" s="236">
        <v>0</v>
      </c>
    </row>
    <row r="1253" spans="2:9" ht="12.75" hidden="1" customHeight="1" x14ac:dyDescent="0.2">
      <c r="B1253" s="231">
        <v>45960</v>
      </c>
      <c r="C1253" s="232">
        <v>111</v>
      </c>
      <c r="D1253" s="232" t="str">
        <f>IFERROR(VLOOKUP(C1253,'Neraca Saldo'!$B$6:$C$56,2,0),"")</f>
        <v>Bank</v>
      </c>
      <c r="E1253" s="259" t="s">
        <v>1165</v>
      </c>
      <c r="F1253" s="234" t="s">
        <v>77</v>
      </c>
      <c r="G1253" s="232"/>
      <c r="H1253" s="236">
        <f>I1252</f>
        <v>0</v>
      </c>
      <c r="I1253" s="236">
        <f>H1252</f>
        <v>11000000</v>
      </c>
    </row>
    <row r="1254" spans="2:9" ht="12.75" hidden="1" customHeight="1" x14ac:dyDescent="0.2">
      <c r="B1254" s="231">
        <v>45960</v>
      </c>
      <c r="C1254" s="232">
        <v>124</v>
      </c>
      <c r="D1254" s="232" t="str">
        <f>IFERROR(VLOOKUP(C1254,'Neraca Saldo'!$B$6:$C$56,2,0),"")</f>
        <v>Piutang USP</v>
      </c>
      <c r="E1254" s="259" t="s">
        <v>1166</v>
      </c>
      <c r="F1254" s="234" t="s">
        <v>77</v>
      </c>
      <c r="G1254" s="232"/>
      <c r="H1254" s="196">
        <v>10281900</v>
      </c>
      <c r="I1254" s="236">
        <v>0</v>
      </c>
    </row>
    <row r="1255" spans="2:9" ht="12.75" hidden="1" customHeight="1" x14ac:dyDescent="0.2">
      <c r="B1255" s="231">
        <v>45960</v>
      </c>
      <c r="C1255" s="232">
        <v>111</v>
      </c>
      <c r="D1255" s="232" t="str">
        <f>IFERROR(VLOOKUP(C1255,'Neraca Saldo'!$B$6:$C$56,2,0),"")</f>
        <v>Bank</v>
      </c>
      <c r="E1255" s="259" t="s">
        <v>1166</v>
      </c>
      <c r="F1255" s="234" t="s">
        <v>77</v>
      </c>
      <c r="G1255" s="232"/>
      <c r="H1255" s="236">
        <f>I1254</f>
        <v>0</v>
      </c>
      <c r="I1255" s="236">
        <f>H1254</f>
        <v>10281900</v>
      </c>
    </row>
    <row r="1256" spans="2:9" ht="12.75" hidden="1" customHeight="1" x14ac:dyDescent="0.2">
      <c r="B1256" s="231">
        <v>45960</v>
      </c>
      <c r="C1256" s="232">
        <v>124</v>
      </c>
      <c r="D1256" s="232" t="str">
        <f>IFERROR(VLOOKUP(C1256,'Neraca Saldo'!$B$6:$C$56,2,0),"")</f>
        <v>Piutang USP</v>
      </c>
      <c r="E1256" s="233" t="s">
        <v>947</v>
      </c>
      <c r="F1256" s="234" t="s">
        <v>77</v>
      </c>
      <c r="G1256" s="232"/>
      <c r="H1256" s="196">
        <v>20000000</v>
      </c>
      <c r="I1256" s="236">
        <v>0</v>
      </c>
    </row>
    <row r="1257" spans="2:9" ht="12.75" hidden="1" customHeight="1" x14ac:dyDescent="0.2">
      <c r="B1257" s="231">
        <v>45960</v>
      </c>
      <c r="C1257" s="232">
        <v>111</v>
      </c>
      <c r="D1257" s="232" t="str">
        <f>IFERROR(VLOOKUP(C1257,'Neraca Saldo'!$B$6:$C$56,2,0),"")</f>
        <v>Bank</v>
      </c>
      <c r="E1257" s="233" t="s">
        <v>947</v>
      </c>
      <c r="F1257" s="234" t="s">
        <v>77</v>
      </c>
      <c r="G1257" s="232"/>
      <c r="H1257" s="236">
        <f>I1256</f>
        <v>0</v>
      </c>
      <c r="I1257" s="236">
        <f>H1256</f>
        <v>20000000</v>
      </c>
    </row>
    <row r="1258" spans="2:9" ht="12.75" customHeight="1" x14ac:dyDescent="0.2">
      <c r="B1258" s="231">
        <v>45960</v>
      </c>
      <c r="C1258" s="232">
        <v>513</v>
      </c>
      <c r="D1258" s="232" t="str">
        <f>IFERROR(VLOOKUP(C1258,'Neraca Saldo'!$B$6:$C$56,2,0),"")</f>
        <v>Beban Pengurus dan Anggota</v>
      </c>
      <c r="E1258" s="194" t="s">
        <v>1167</v>
      </c>
      <c r="F1258" s="234" t="s">
        <v>838</v>
      </c>
      <c r="G1258" s="232"/>
      <c r="H1258" s="188">
        <v>1000000</v>
      </c>
      <c r="I1258" s="236">
        <v>0</v>
      </c>
    </row>
    <row r="1259" spans="2:9" ht="12.75" hidden="1" customHeight="1" x14ac:dyDescent="0.2">
      <c r="B1259" s="231">
        <v>45960</v>
      </c>
      <c r="C1259" s="232">
        <v>112</v>
      </c>
      <c r="D1259" s="232" t="str">
        <f>IFERROR(VLOOKUP(C1259,'Neraca Saldo'!$B$6:$C$56,2,0),"")</f>
        <v>Kas</v>
      </c>
      <c r="E1259" s="194" t="s">
        <v>1167</v>
      </c>
      <c r="F1259" s="234" t="s">
        <v>838</v>
      </c>
      <c r="G1259" s="232"/>
      <c r="H1259" s="236">
        <f>I1258</f>
        <v>0</v>
      </c>
      <c r="I1259" s="236">
        <f>H1258</f>
        <v>1000000</v>
      </c>
    </row>
    <row r="1260" spans="2:9" ht="12.75" hidden="1" customHeight="1" x14ac:dyDescent="0.2">
      <c r="B1260" s="231">
        <v>45960</v>
      </c>
      <c r="C1260" s="232">
        <v>313</v>
      </c>
      <c r="D1260" s="232" t="str">
        <f>IFERROR(VLOOKUP(C1260,'Neraca Saldo'!$B$6:$C$56,2,0),"")</f>
        <v>(Laba)/Rugi ditahan</v>
      </c>
      <c r="E1260" s="194" t="s">
        <v>1168</v>
      </c>
      <c r="F1260" s="234" t="s">
        <v>838</v>
      </c>
      <c r="G1260" s="232"/>
      <c r="H1260" s="188">
        <v>250000</v>
      </c>
      <c r="I1260" s="236">
        <v>0</v>
      </c>
    </row>
    <row r="1261" spans="2:9" ht="12.75" hidden="1" customHeight="1" x14ac:dyDescent="0.2">
      <c r="B1261" s="231">
        <v>45960</v>
      </c>
      <c r="C1261" s="232">
        <v>112</v>
      </c>
      <c r="D1261" s="232" t="str">
        <f>IFERROR(VLOOKUP(C1261,'Neraca Saldo'!$B$6:$C$56,2,0),"")</f>
        <v>Kas</v>
      </c>
      <c r="E1261" s="194" t="s">
        <v>1168</v>
      </c>
      <c r="F1261" s="234" t="s">
        <v>838</v>
      </c>
      <c r="G1261" s="232"/>
      <c r="H1261" s="236">
        <f>I1260</f>
        <v>0</v>
      </c>
      <c r="I1261" s="236">
        <f>H1260</f>
        <v>250000</v>
      </c>
    </row>
    <row r="1262" spans="2:9" ht="12.75" hidden="1" customHeight="1" x14ac:dyDescent="0.2">
      <c r="B1262" s="231">
        <v>45960</v>
      </c>
      <c r="C1262" s="232">
        <v>112</v>
      </c>
      <c r="D1262" s="232" t="str">
        <f>IFERROR(VLOOKUP(C1262,'Neraca Saldo'!$B$6:$C$56,2,0),"")</f>
        <v>Kas</v>
      </c>
      <c r="E1262" s="232" t="s">
        <v>838</v>
      </c>
      <c r="F1262" s="234" t="s">
        <v>77</v>
      </c>
      <c r="G1262" s="232"/>
      <c r="H1262" s="196">
        <v>15000000</v>
      </c>
      <c r="I1262" s="236">
        <v>0</v>
      </c>
    </row>
    <row r="1263" spans="2:9" ht="12.75" hidden="1" customHeight="1" x14ac:dyDescent="0.2">
      <c r="B1263" s="231">
        <v>45960</v>
      </c>
      <c r="C1263" s="232">
        <v>111</v>
      </c>
      <c r="D1263" s="232" t="str">
        <f>IFERROR(VLOOKUP(C1263,'Neraca Saldo'!$B$6:$C$56,2,0),"")</f>
        <v>Bank</v>
      </c>
      <c r="E1263" s="232" t="s">
        <v>838</v>
      </c>
      <c r="F1263" s="234" t="s">
        <v>77</v>
      </c>
      <c r="G1263" s="232"/>
      <c r="H1263" s="236">
        <f>I1262</f>
        <v>0</v>
      </c>
      <c r="I1263" s="236">
        <f>H1262</f>
        <v>15000000</v>
      </c>
    </row>
    <row r="1264" spans="2:9" ht="12.75" hidden="1" customHeight="1" x14ac:dyDescent="0.2">
      <c r="B1264" s="238">
        <v>45961</v>
      </c>
      <c r="C1264" s="239">
        <v>111</v>
      </c>
      <c r="D1264" s="239" t="str">
        <f>IFERROR(VLOOKUP(C1264,'Neraca Saldo'!$B$6:$C$56,2,0),"")</f>
        <v>Bank</v>
      </c>
      <c r="E1264" s="216" t="s">
        <v>57</v>
      </c>
      <c r="F1264" s="239" t="s">
        <v>77</v>
      </c>
      <c r="G1264" s="239"/>
      <c r="H1264" s="245">
        <v>12341</v>
      </c>
      <c r="I1264" s="240">
        <v>0</v>
      </c>
    </row>
    <row r="1265" spans="2:9" ht="12.75" hidden="1" customHeight="1" x14ac:dyDescent="0.2">
      <c r="B1265" s="238">
        <v>45961</v>
      </c>
      <c r="C1265" s="239">
        <v>413</v>
      </c>
      <c r="D1265" s="239" t="str">
        <f>IFERROR(VLOOKUP(C1265,'Neraca Saldo'!$B$6:$C$56,2,0),"")</f>
        <v>Pendapatan Jasa Bank</v>
      </c>
      <c r="E1265" s="216" t="s">
        <v>57</v>
      </c>
      <c r="F1265" s="239" t="s">
        <v>77</v>
      </c>
      <c r="G1265" s="239"/>
      <c r="H1265" s="240">
        <f>I1264</f>
        <v>0</v>
      </c>
      <c r="I1265" s="240">
        <f>H1264</f>
        <v>12341</v>
      </c>
    </row>
    <row r="1266" spans="2:9" ht="12.75" hidden="1" customHeight="1" x14ac:dyDescent="0.2">
      <c r="B1266" s="231">
        <v>45961</v>
      </c>
      <c r="C1266" s="232">
        <v>521</v>
      </c>
      <c r="D1266" s="232" t="str">
        <f>IFERROR(VLOOKUP(C1266,'Neraca Saldo'!$B$6:$C$56,2,0),"")</f>
        <v>Beban Biaya Bank</v>
      </c>
      <c r="E1266" s="260" t="s">
        <v>94</v>
      </c>
      <c r="F1266" s="232" t="s">
        <v>77</v>
      </c>
      <c r="G1266" s="232"/>
      <c r="H1266" s="196">
        <v>2469</v>
      </c>
      <c r="I1266" s="236">
        <v>0</v>
      </c>
    </row>
    <row r="1267" spans="2:9" ht="12.75" hidden="1" customHeight="1" x14ac:dyDescent="0.2">
      <c r="B1267" s="231">
        <v>45961</v>
      </c>
      <c r="C1267" s="232">
        <v>111</v>
      </c>
      <c r="D1267" s="232" t="str">
        <f>IFERROR(VLOOKUP(C1267,'Neraca Saldo'!$B$6:$C$56,2,0),"")</f>
        <v>Bank</v>
      </c>
      <c r="E1267" s="260" t="s">
        <v>94</v>
      </c>
      <c r="F1267" s="232" t="s">
        <v>77</v>
      </c>
      <c r="G1267" s="232"/>
      <c r="H1267" s="236">
        <f>I1266</f>
        <v>0</v>
      </c>
      <c r="I1267" s="236">
        <f>H1266</f>
        <v>2469</v>
      </c>
    </row>
    <row r="1268" spans="2:9" ht="12.75" hidden="1" customHeight="1" x14ac:dyDescent="0.2">
      <c r="B1268" s="231">
        <v>45961</v>
      </c>
      <c r="C1268" s="232">
        <v>521</v>
      </c>
      <c r="D1268" s="232" t="str">
        <f>IFERROR(VLOOKUP(C1268,'Neraca Saldo'!$B$6:$C$56,2,0),"")</f>
        <v>Beban Biaya Bank</v>
      </c>
      <c r="E1268" s="260" t="s">
        <v>95</v>
      </c>
      <c r="F1268" s="232" t="s">
        <v>77</v>
      </c>
      <c r="G1268" s="232"/>
      <c r="H1268" s="196">
        <v>10000</v>
      </c>
      <c r="I1268" s="236">
        <v>0</v>
      </c>
    </row>
    <row r="1269" spans="2:9" ht="12.75" hidden="1" customHeight="1" x14ac:dyDescent="0.2">
      <c r="B1269" s="231">
        <v>45961</v>
      </c>
      <c r="C1269" s="232">
        <v>111</v>
      </c>
      <c r="D1269" s="232" t="str">
        <f>IFERROR(VLOOKUP(C1269,'Neraca Saldo'!$B$6:$C$56,2,0),"")</f>
        <v>Bank</v>
      </c>
      <c r="E1269" s="260" t="s">
        <v>95</v>
      </c>
      <c r="F1269" s="232" t="s">
        <v>77</v>
      </c>
      <c r="G1269" s="232"/>
      <c r="H1269" s="236">
        <f>I1268</f>
        <v>0</v>
      </c>
      <c r="I1269" s="236">
        <f>H1268</f>
        <v>10000</v>
      </c>
    </row>
    <row r="1270" spans="2:9" ht="12.75" hidden="1" customHeight="1" x14ac:dyDescent="0.2">
      <c r="B1270" s="231">
        <v>45962</v>
      </c>
      <c r="C1270" s="232">
        <v>515</v>
      </c>
      <c r="D1270" s="232" t="str">
        <f>IFERROR(VLOOKUP(C1270,'Neraca Saldo'!$B$6:$C$56,2,0),"")</f>
        <v>Beban Gaji</v>
      </c>
      <c r="E1270" s="194" t="s">
        <v>1169</v>
      </c>
      <c r="F1270" s="234" t="s">
        <v>838</v>
      </c>
      <c r="G1270" s="232"/>
      <c r="H1270" s="188">
        <v>2220000</v>
      </c>
      <c r="I1270" s="236">
        <v>0</v>
      </c>
    </row>
    <row r="1271" spans="2:9" ht="12.75" hidden="1" customHeight="1" x14ac:dyDescent="0.2">
      <c r="B1271" s="231">
        <v>45962</v>
      </c>
      <c r="C1271" s="232">
        <v>112</v>
      </c>
      <c r="D1271" s="232" t="str">
        <f>IFERROR(VLOOKUP(C1271,'Neraca Saldo'!$B$6:$C$56,2,0),"")</f>
        <v>Kas</v>
      </c>
      <c r="E1271" s="194" t="s">
        <v>1169</v>
      </c>
      <c r="F1271" s="234" t="s">
        <v>838</v>
      </c>
      <c r="G1271" s="232"/>
      <c r="H1271" s="236">
        <f>I1270</f>
        <v>0</v>
      </c>
      <c r="I1271" s="236">
        <f>H1270</f>
        <v>2220000</v>
      </c>
    </row>
    <row r="1272" spans="2:9" ht="12.75" hidden="1" customHeight="1" x14ac:dyDescent="0.2">
      <c r="B1272" s="231">
        <v>45962</v>
      </c>
      <c r="C1272" s="232">
        <v>515</v>
      </c>
      <c r="D1272" s="232" t="str">
        <f>IFERROR(VLOOKUP(C1272,'Neraca Saldo'!$B$6:$C$56,2,0),"")</f>
        <v>Beban Gaji</v>
      </c>
      <c r="E1272" s="194" t="s">
        <v>1170</v>
      </c>
      <c r="F1272" s="234" t="s">
        <v>838</v>
      </c>
      <c r="G1272" s="232"/>
      <c r="H1272" s="188">
        <v>2260000</v>
      </c>
      <c r="I1272" s="236">
        <v>0</v>
      </c>
    </row>
    <row r="1273" spans="2:9" ht="12.75" hidden="1" customHeight="1" x14ac:dyDescent="0.2">
      <c r="B1273" s="231">
        <v>45962</v>
      </c>
      <c r="C1273" s="232">
        <v>112</v>
      </c>
      <c r="D1273" s="232" t="str">
        <f>IFERROR(VLOOKUP(C1273,'Neraca Saldo'!$B$6:$C$56,2,0),"")</f>
        <v>Kas</v>
      </c>
      <c r="E1273" s="194" t="s">
        <v>1170</v>
      </c>
      <c r="F1273" s="234" t="s">
        <v>838</v>
      </c>
      <c r="G1273" s="232"/>
      <c r="H1273" s="236">
        <f>I1272</f>
        <v>0</v>
      </c>
      <c r="I1273" s="236">
        <f>H1272</f>
        <v>2260000</v>
      </c>
    </row>
    <row r="1274" spans="2:9" ht="12.75" hidden="1" customHeight="1" x14ac:dyDescent="0.2">
      <c r="B1274" s="231">
        <v>45962</v>
      </c>
      <c r="C1274" s="232">
        <v>515</v>
      </c>
      <c r="D1274" s="232" t="str">
        <f>IFERROR(VLOOKUP(C1274,'Neraca Saldo'!$B$6:$C$56,2,0),"")</f>
        <v>Beban Gaji</v>
      </c>
      <c r="E1274" s="194" t="s">
        <v>1171</v>
      </c>
      <c r="F1274" s="234" t="s">
        <v>838</v>
      </c>
      <c r="G1274" s="232"/>
      <c r="H1274" s="188">
        <v>5500000</v>
      </c>
      <c r="I1274" s="236">
        <v>0</v>
      </c>
    </row>
    <row r="1275" spans="2:9" ht="12.75" hidden="1" customHeight="1" x14ac:dyDescent="0.2">
      <c r="B1275" s="231">
        <v>45962</v>
      </c>
      <c r="C1275" s="232">
        <v>112</v>
      </c>
      <c r="D1275" s="232" t="str">
        <f>IFERROR(VLOOKUP(C1275,'Neraca Saldo'!$B$6:$C$56,2,0),"")</f>
        <v>Kas</v>
      </c>
      <c r="E1275" s="194" t="s">
        <v>1171</v>
      </c>
      <c r="F1275" s="234" t="s">
        <v>838</v>
      </c>
      <c r="G1275" s="232"/>
      <c r="H1275" s="236">
        <f>I1274</f>
        <v>0</v>
      </c>
      <c r="I1275" s="236">
        <f>H1274</f>
        <v>5500000</v>
      </c>
    </row>
    <row r="1276" spans="2:9" ht="12.75" hidden="1" customHeight="1" x14ac:dyDescent="0.2">
      <c r="B1276" s="238">
        <v>45962</v>
      </c>
      <c r="C1276" s="239">
        <v>111</v>
      </c>
      <c r="D1276" s="239" t="str">
        <f>IFERROR(VLOOKUP(C1276,'Neraca Saldo'!$B$6:$C$56,2,0),"")</f>
        <v>Bank</v>
      </c>
      <c r="E1276" s="258" t="s">
        <v>1021</v>
      </c>
      <c r="F1276" s="244" t="s">
        <v>77</v>
      </c>
      <c r="G1276" s="239"/>
      <c r="H1276" s="245">
        <v>200000</v>
      </c>
      <c r="I1276" s="240">
        <v>0</v>
      </c>
    </row>
    <row r="1277" spans="2:9" ht="12.75" hidden="1" customHeight="1" x14ac:dyDescent="0.2">
      <c r="B1277" s="238">
        <v>45962</v>
      </c>
      <c r="C1277" s="239">
        <v>212</v>
      </c>
      <c r="D1277" s="239" t="str">
        <f>IFERROR(VLOOKUP(C1277,'Neraca Saldo'!$B$6:$C$56,2,0),"")</f>
        <v>Simpanan Karyawan</v>
      </c>
      <c r="E1277" s="258" t="s">
        <v>1021</v>
      </c>
      <c r="F1277" s="244" t="s">
        <v>77</v>
      </c>
      <c r="G1277" s="239"/>
      <c r="H1277" s="240">
        <f>I1276</f>
        <v>0</v>
      </c>
      <c r="I1277" s="240">
        <f>H1276</f>
        <v>200000</v>
      </c>
    </row>
    <row r="1278" spans="2:9" ht="12.75" hidden="1" customHeight="1" x14ac:dyDescent="0.2">
      <c r="B1278" s="238">
        <v>45962</v>
      </c>
      <c r="C1278" s="239">
        <v>111</v>
      </c>
      <c r="D1278" s="239" t="str">
        <f>IFERROR(VLOOKUP(C1278,'Neraca Saldo'!$B$6:$C$56,2,0),"")</f>
        <v>Bank</v>
      </c>
      <c r="E1278" s="258" t="s">
        <v>1015</v>
      </c>
      <c r="F1278" s="244" t="s">
        <v>77</v>
      </c>
      <c r="G1278" s="239"/>
      <c r="H1278" s="245">
        <v>200000</v>
      </c>
      <c r="I1278" s="240">
        <v>0</v>
      </c>
    </row>
    <row r="1279" spans="2:9" ht="12.75" hidden="1" customHeight="1" x14ac:dyDescent="0.2">
      <c r="B1279" s="238">
        <v>45962</v>
      </c>
      <c r="C1279" s="239">
        <v>212</v>
      </c>
      <c r="D1279" s="239" t="str">
        <f>IFERROR(VLOOKUP(C1279,'Neraca Saldo'!$B$6:$C$56,2,0),"")</f>
        <v>Simpanan Karyawan</v>
      </c>
      <c r="E1279" s="258" t="s">
        <v>1015</v>
      </c>
      <c r="F1279" s="244" t="s">
        <v>77</v>
      </c>
      <c r="G1279" s="239"/>
      <c r="H1279" s="240">
        <f>I1278</f>
        <v>0</v>
      </c>
      <c r="I1279" s="240">
        <f>H1278</f>
        <v>200000</v>
      </c>
    </row>
    <row r="1280" spans="2:9" ht="12.75" hidden="1" customHeight="1" x14ac:dyDescent="0.2">
      <c r="B1280" s="238">
        <v>45962</v>
      </c>
      <c r="C1280" s="239">
        <v>111</v>
      </c>
      <c r="D1280" s="239" t="str">
        <f>IFERROR(VLOOKUP(C1280,'Neraca Saldo'!$B$6:$C$56,2,0),"")</f>
        <v>Bank</v>
      </c>
      <c r="E1280" s="258" t="s">
        <v>1018</v>
      </c>
      <c r="F1280" s="244" t="s">
        <v>77</v>
      </c>
      <c r="G1280" s="239"/>
      <c r="H1280" s="245">
        <v>200000</v>
      </c>
      <c r="I1280" s="240">
        <v>0</v>
      </c>
    </row>
    <row r="1281" spans="2:9" ht="12.75" hidden="1" customHeight="1" x14ac:dyDescent="0.2">
      <c r="B1281" s="238">
        <v>45962</v>
      </c>
      <c r="C1281" s="239">
        <v>212</v>
      </c>
      <c r="D1281" s="239" t="str">
        <f>IFERROR(VLOOKUP(C1281,'Neraca Saldo'!$B$6:$C$56,2,0),"")</f>
        <v>Simpanan Karyawan</v>
      </c>
      <c r="E1281" s="258" t="s">
        <v>1018</v>
      </c>
      <c r="F1281" s="244" t="s">
        <v>77</v>
      </c>
      <c r="G1281" s="239"/>
      <c r="H1281" s="240">
        <f>I1280</f>
        <v>0</v>
      </c>
      <c r="I1281" s="240">
        <f>H1280</f>
        <v>200000</v>
      </c>
    </row>
    <row r="1282" spans="2:9" ht="12.75" hidden="1" customHeight="1" x14ac:dyDescent="0.2">
      <c r="B1282" s="238">
        <v>45962</v>
      </c>
      <c r="C1282" s="239">
        <v>111</v>
      </c>
      <c r="D1282" s="239" t="str">
        <f>IFERROR(VLOOKUP(C1282,'Neraca Saldo'!$B$6:$C$56,2,0),"")</f>
        <v>Bank</v>
      </c>
      <c r="E1282" s="258" t="s">
        <v>1047</v>
      </c>
      <c r="F1282" s="244" t="s">
        <v>77</v>
      </c>
      <c r="G1282" s="239"/>
      <c r="H1282" s="245">
        <v>200000</v>
      </c>
      <c r="I1282" s="240">
        <v>0</v>
      </c>
    </row>
    <row r="1283" spans="2:9" ht="12.75" hidden="1" customHeight="1" x14ac:dyDescent="0.2">
      <c r="B1283" s="238">
        <v>45962</v>
      </c>
      <c r="C1283" s="239">
        <v>212</v>
      </c>
      <c r="D1283" s="239" t="str">
        <f>IFERROR(VLOOKUP(C1283,'Neraca Saldo'!$B$6:$C$56,2,0),"")</f>
        <v>Simpanan Karyawan</v>
      </c>
      <c r="E1283" s="258" t="s">
        <v>1047</v>
      </c>
      <c r="F1283" s="244" t="s">
        <v>77</v>
      </c>
      <c r="G1283" s="239"/>
      <c r="H1283" s="240">
        <f>I1282</f>
        <v>0</v>
      </c>
      <c r="I1283" s="240">
        <f>H1282</f>
        <v>200000</v>
      </c>
    </row>
    <row r="1284" spans="2:9" ht="12.75" hidden="1" customHeight="1" x14ac:dyDescent="0.2">
      <c r="B1284" s="238">
        <v>45962</v>
      </c>
      <c r="C1284" s="239">
        <v>111</v>
      </c>
      <c r="D1284" s="239" t="str">
        <f>IFERROR(VLOOKUP(C1284,'Neraca Saldo'!$B$6:$C$56,2,0),"")</f>
        <v>Bank</v>
      </c>
      <c r="E1284" s="258" t="s">
        <v>1022</v>
      </c>
      <c r="F1284" s="244" t="s">
        <v>77</v>
      </c>
      <c r="G1284" s="239"/>
      <c r="H1284" s="245">
        <v>200000</v>
      </c>
      <c r="I1284" s="240">
        <v>0</v>
      </c>
    </row>
    <row r="1285" spans="2:9" ht="12.75" hidden="1" customHeight="1" x14ac:dyDescent="0.2">
      <c r="B1285" s="238">
        <v>45962</v>
      </c>
      <c r="C1285" s="239">
        <v>212</v>
      </c>
      <c r="D1285" s="239" t="str">
        <f>IFERROR(VLOOKUP(C1285,'Neraca Saldo'!$B$6:$C$56,2,0),"")</f>
        <v>Simpanan Karyawan</v>
      </c>
      <c r="E1285" s="258" t="s">
        <v>1022</v>
      </c>
      <c r="F1285" s="244" t="s">
        <v>77</v>
      </c>
      <c r="G1285" s="239"/>
      <c r="H1285" s="240">
        <f>I1284</f>
        <v>0</v>
      </c>
      <c r="I1285" s="240">
        <f>H1284</f>
        <v>200000</v>
      </c>
    </row>
    <row r="1286" spans="2:9" ht="12.75" hidden="1" customHeight="1" x14ac:dyDescent="0.2">
      <c r="B1286" s="238">
        <v>45962</v>
      </c>
      <c r="C1286" s="239">
        <v>111</v>
      </c>
      <c r="D1286" s="239" t="str">
        <f>IFERROR(VLOOKUP(C1286,'Neraca Saldo'!$B$6:$C$56,2,0),"")</f>
        <v>Bank</v>
      </c>
      <c r="E1286" s="258" t="s">
        <v>1023</v>
      </c>
      <c r="F1286" s="244" t="s">
        <v>77</v>
      </c>
      <c r="G1286" s="239"/>
      <c r="H1286" s="245">
        <v>200000</v>
      </c>
      <c r="I1286" s="240">
        <v>0</v>
      </c>
    </row>
    <row r="1287" spans="2:9" ht="12.75" hidden="1" customHeight="1" x14ac:dyDescent="0.2">
      <c r="B1287" s="238">
        <v>45962</v>
      </c>
      <c r="C1287" s="239">
        <v>212</v>
      </c>
      <c r="D1287" s="239" t="str">
        <f>IFERROR(VLOOKUP(C1287,'Neraca Saldo'!$B$6:$C$56,2,0),"")</f>
        <v>Simpanan Karyawan</v>
      </c>
      <c r="E1287" s="258" t="s">
        <v>1023</v>
      </c>
      <c r="F1287" s="244" t="s">
        <v>77</v>
      </c>
      <c r="G1287" s="239"/>
      <c r="H1287" s="240">
        <f>I1286</f>
        <v>0</v>
      </c>
      <c r="I1287" s="240">
        <f>H1286</f>
        <v>200000</v>
      </c>
    </row>
    <row r="1288" spans="2:9" ht="12.75" hidden="1" customHeight="1" x14ac:dyDescent="0.2">
      <c r="B1288" s="238">
        <v>45962</v>
      </c>
      <c r="C1288" s="239">
        <v>111</v>
      </c>
      <c r="D1288" s="239" t="str">
        <f>IFERROR(VLOOKUP(C1288,'Neraca Saldo'!$B$6:$C$56,2,0),"")</f>
        <v>Bank</v>
      </c>
      <c r="E1288" s="258" t="s">
        <v>1067</v>
      </c>
      <c r="F1288" s="244" t="s">
        <v>77</v>
      </c>
      <c r="G1288" s="239"/>
      <c r="H1288" s="245">
        <v>200000</v>
      </c>
      <c r="I1288" s="240">
        <v>0</v>
      </c>
    </row>
    <row r="1289" spans="2:9" ht="12.75" hidden="1" customHeight="1" x14ac:dyDescent="0.2">
      <c r="B1289" s="238">
        <v>45962</v>
      </c>
      <c r="C1289" s="239">
        <v>212</v>
      </c>
      <c r="D1289" s="239" t="str">
        <f>IFERROR(VLOOKUP(C1289,'Neraca Saldo'!$B$6:$C$56,2,0),"")</f>
        <v>Simpanan Karyawan</v>
      </c>
      <c r="E1289" s="258" t="s">
        <v>1067</v>
      </c>
      <c r="F1289" s="244" t="s">
        <v>77</v>
      </c>
      <c r="G1289" s="239"/>
      <c r="H1289" s="240">
        <f>I1288</f>
        <v>0</v>
      </c>
      <c r="I1289" s="240">
        <f>H1288</f>
        <v>200000</v>
      </c>
    </row>
    <row r="1290" spans="2:9" ht="12.75" hidden="1" customHeight="1" x14ac:dyDescent="0.2">
      <c r="B1290" s="238">
        <v>45962</v>
      </c>
      <c r="C1290" s="239">
        <v>111</v>
      </c>
      <c r="D1290" s="239" t="str">
        <f>IFERROR(VLOOKUP(C1290,'Neraca Saldo'!$B$6:$C$56,2,0),"")</f>
        <v>Bank</v>
      </c>
      <c r="E1290" s="258" t="s">
        <v>1101</v>
      </c>
      <c r="F1290" s="244" t="s">
        <v>77</v>
      </c>
      <c r="G1290" s="239"/>
      <c r="H1290" s="245">
        <v>81000</v>
      </c>
      <c r="I1290" s="240">
        <v>0</v>
      </c>
    </row>
    <row r="1291" spans="2:9" ht="12.75" hidden="1" customHeight="1" x14ac:dyDescent="0.2">
      <c r="B1291" s="238">
        <v>45962</v>
      </c>
      <c r="C1291" s="239">
        <v>212</v>
      </c>
      <c r="D1291" s="239" t="str">
        <f>IFERROR(VLOOKUP(C1291,'Neraca Saldo'!$B$6:$C$56,2,0),"")</f>
        <v>Simpanan Karyawan</v>
      </c>
      <c r="E1291" s="258" t="s">
        <v>1101</v>
      </c>
      <c r="F1291" s="244" t="s">
        <v>77</v>
      </c>
      <c r="G1291" s="239"/>
      <c r="H1291" s="240">
        <f>I1290</f>
        <v>0</v>
      </c>
      <c r="I1291" s="240">
        <f>H1290</f>
        <v>81000</v>
      </c>
    </row>
    <row r="1292" spans="2:9" ht="12.75" hidden="1" customHeight="1" x14ac:dyDescent="0.2">
      <c r="B1292" s="238">
        <v>45962</v>
      </c>
      <c r="C1292" s="239">
        <v>111</v>
      </c>
      <c r="D1292" s="239" t="str">
        <f>IFERROR(VLOOKUP(C1292,'Neraca Saldo'!$B$6:$C$56,2,0),"")</f>
        <v>Bank</v>
      </c>
      <c r="E1292" s="258" t="s">
        <v>989</v>
      </c>
      <c r="F1292" s="244" t="s">
        <v>77</v>
      </c>
      <c r="G1292" s="239"/>
      <c r="H1292" s="245">
        <v>200000</v>
      </c>
      <c r="I1292" s="240">
        <v>0</v>
      </c>
    </row>
    <row r="1293" spans="2:9" ht="12.75" hidden="1" customHeight="1" x14ac:dyDescent="0.2">
      <c r="B1293" s="238">
        <v>45962</v>
      </c>
      <c r="C1293" s="239">
        <v>212</v>
      </c>
      <c r="D1293" s="239" t="str">
        <f>IFERROR(VLOOKUP(C1293,'Neraca Saldo'!$B$6:$C$56,2,0),"")</f>
        <v>Simpanan Karyawan</v>
      </c>
      <c r="E1293" s="258" t="s">
        <v>989</v>
      </c>
      <c r="F1293" s="244" t="s">
        <v>77</v>
      </c>
      <c r="G1293" s="239"/>
      <c r="H1293" s="240">
        <f>I1292</f>
        <v>0</v>
      </c>
      <c r="I1293" s="240">
        <f>H1292</f>
        <v>200000</v>
      </c>
    </row>
    <row r="1294" spans="2:9" ht="12.75" hidden="1" customHeight="1" x14ac:dyDescent="0.2">
      <c r="B1294" s="238">
        <v>45962</v>
      </c>
      <c r="C1294" s="239">
        <v>111</v>
      </c>
      <c r="D1294" s="239" t="str">
        <f>IFERROR(VLOOKUP(C1294,'Neraca Saldo'!$B$6:$C$56,2,0),"")</f>
        <v>Bank</v>
      </c>
      <c r="E1294" s="258" t="s">
        <v>1103</v>
      </c>
      <c r="F1294" s="244" t="s">
        <v>77</v>
      </c>
      <c r="G1294" s="239"/>
      <c r="H1294" s="245">
        <v>200000</v>
      </c>
      <c r="I1294" s="240">
        <v>0</v>
      </c>
    </row>
    <row r="1295" spans="2:9" ht="12.75" hidden="1" customHeight="1" x14ac:dyDescent="0.2">
      <c r="B1295" s="238">
        <v>45962</v>
      </c>
      <c r="C1295" s="239">
        <v>212</v>
      </c>
      <c r="D1295" s="239" t="str">
        <f>IFERROR(VLOOKUP(C1295,'Neraca Saldo'!$B$6:$C$56,2,0),"")</f>
        <v>Simpanan Karyawan</v>
      </c>
      <c r="E1295" s="258" t="s">
        <v>1103</v>
      </c>
      <c r="F1295" s="244" t="s">
        <v>77</v>
      </c>
      <c r="G1295" s="239"/>
      <c r="H1295" s="240">
        <f>I1294</f>
        <v>0</v>
      </c>
      <c r="I1295" s="240">
        <f>H1294</f>
        <v>200000</v>
      </c>
    </row>
    <row r="1296" spans="2:9" ht="12.75" hidden="1" customHeight="1" x14ac:dyDescent="0.2">
      <c r="B1296" s="238">
        <v>45962</v>
      </c>
      <c r="C1296" s="239">
        <v>111</v>
      </c>
      <c r="D1296" s="239" t="str">
        <f>IFERROR(VLOOKUP(C1296,'Neraca Saldo'!$B$6:$C$56,2,0),"")</f>
        <v>Bank</v>
      </c>
      <c r="E1296" s="258" t="s">
        <v>1019</v>
      </c>
      <c r="F1296" s="244" t="s">
        <v>77</v>
      </c>
      <c r="G1296" s="239"/>
      <c r="H1296" s="245">
        <v>200000</v>
      </c>
      <c r="I1296" s="240">
        <v>0</v>
      </c>
    </row>
    <row r="1297" spans="2:9" ht="12.75" hidden="1" customHeight="1" x14ac:dyDescent="0.2">
      <c r="B1297" s="238">
        <v>45962</v>
      </c>
      <c r="C1297" s="239">
        <v>212</v>
      </c>
      <c r="D1297" s="239" t="str">
        <f>IFERROR(VLOOKUP(C1297,'Neraca Saldo'!$B$6:$C$56,2,0),"")</f>
        <v>Simpanan Karyawan</v>
      </c>
      <c r="E1297" s="258" t="s">
        <v>1019</v>
      </c>
      <c r="F1297" s="244" t="s">
        <v>77</v>
      </c>
      <c r="G1297" s="239"/>
      <c r="H1297" s="240">
        <f>I1296</f>
        <v>0</v>
      </c>
      <c r="I1297" s="240">
        <f>H1296</f>
        <v>200000</v>
      </c>
    </row>
    <row r="1298" spans="2:9" ht="12.75" hidden="1" customHeight="1" x14ac:dyDescent="0.2">
      <c r="B1298" s="238">
        <v>45962</v>
      </c>
      <c r="C1298" s="239">
        <v>111</v>
      </c>
      <c r="D1298" s="239" t="str">
        <f>IFERROR(VLOOKUP(C1298,'Neraca Saldo'!$B$6:$C$56,2,0),"")</f>
        <v>Bank</v>
      </c>
      <c r="E1298" s="258" t="s">
        <v>1045</v>
      </c>
      <c r="F1298" s="244" t="s">
        <v>77</v>
      </c>
      <c r="G1298" s="239"/>
      <c r="H1298" s="245">
        <v>821000</v>
      </c>
      <c r="I1298" s="240">
        <v>0</v>
      </c>
    </row>
    <row r="1299" spans="2:9" ht="12.75" hidden="1" customHeight="1" x14ac:dyDescent="0.2">
      <c r="B1299" s="238">
        <v>45962</v>
      </c>
      <c r="C1299" s="239">
        <v>212</v>
      </c>
      <c r="D1299" s="239" t="str">
        <f>IFERROR(VLOOKUP(C1299,'Neraca Saldo'!$B$6:$C$56,2,0),"")</f>
        <v>Simpanan Karyawan</v>
      </c>
      <c r="E1299" s="258" t="s">
        <v>1045</v>
      </c>
      <c r="F1299" s="244" t="s">
        <v>77</v>
      </c>
      <c r="G1299" s="239"/>
      <c r="H1299" s="240">
        <f>I1298</f>
        <v>0</v>
      </c>
      <c r="I1299" s="240">
        <f>H1298</f>
        <v>821000</v>
      </c>
    </row>
    <row r="1300" spans="2:9" ht="12.75" hidden="1" customHeight="1" x14ac:dyDescent="0.2">
      <c r="B1300" s="238">
        <v>45962</v>
      </c>
      <c r="C1300" s="239">
        <v>111</v>
      </c>
      <c r="D1300" s="239" t="str">
        <f>IFERROR(VLOOKUP(C1300,'Neraca Saldo'!$B$6:$C$56,2,0),"")</f>
        <v>Bank</v>
      </c>
      <c r="E1300" s="258" t="s">
        <v>987</v>
      </c>
      <c r="F1300" s="244" t="s">
        <v>77</v>
      </c>
      <c r="G1300" s="239"/>
      <c r="H1300" s="245">
        <v>200000</v>
      </c>
      <c r="I1300" s="240">
        <v>0</v>
      </c>
    </row>
    <row r="1301" spans="2:9" ht="12.75" hidden="1" customHeight="1" x14ac:dyDescent="0.2">
      <c r="B1301" s="238">
        <v>45962</v>
      </c>
      <c r="C1301" s="239">
        <v>212</v>
      </c>
      <c r="D1301" s="239" t="str">
        <f>IFERROR(VLOOKUP(C1301,'Neraca Saldo'!$B$6:$C$56,2,0),"")</f>
        <v>Simpanan Karyawan</v>
      </c>
      <c r="E1301" s="258" t="s">
        <v>987</v>
      </c>
      <c r="F1301" s="244" t="s">
        <v>77</v>
      </c>
      <c r="G1301" s="239"/>
      <c r="H1301" s="240">
        <f>I1300</f>
        <v>0</v>
      </c>
      <c r="I1301" s="240">
        <f>H1300</f>
        <v>200000</v>
      </c>
    </row>
    <row r="1302" spans="2:9" ht="12.75" hidden="1" customHeight="1" x14ac:dyDescent="0.2">
      <c r="B1302" s="238">
        <v>45962</v>
      </c>
      <c r="C1302" s="239">
        <v>111</v>
      </c>
      <c r="D1302" s="239" t="str">
        <f>IFERROR(VLOOKUP(C1302,'Neraca Saldo'!$B$6:$C$56,2,0),"")</f>
        <v>Bank</v>
      </c>
      <c r="E1302" s="258" t="s">
        <v>1024</v>
      </c>
      <c r="F1302" s="244" t="s">
        <v>77</v>
      </c>
      <c r="G1302" s="239"/>
      <c r="H1302" s="245">
        <v>200000</v>
      </c>
      <c r="I1302" s="240">
        <v>0</v>
      </c>
    </row>
    <row r="1303" spans="2:9" ht="12.75" hidden="1" customHeight="1" x14ac:dyDescent="0.2">
      <c r="B1303" s="238">
        <v>45962</v>
      </c>
      <c r="C1303" s="239">
        <v>212</v>
      </c>
      <c r="D1303" s="239" t="str">
        <f>IFERROR(VLOOKUP(C1303,'Neraca Saldo'!$B$6:$C$56,2,0),"")</f>
        <v>Simpanan Karyawan</v>
      </c>
      <c r="E1303" s="258" t="s">
        <v>1024</v>
      </c>
      <c r="F1303" s="244" t="s">
        <v>77</v>
      </c>
      <c r="G1303" s="239"/>
      <c r="H1303" s="240">
        <f>I1302</f>
        <v>0</v>
      </c>
      <c r="I1303" s="240">
        <f>H1302</f>
        <v>200000</v>
      </c>
    </row>
    <row r="1304" spans="2:9" ht="12.75" hidden="1" customHeight="1" x14ac:dyDescent="0.2">
      <c r="B1304" s="238">
        <v>45962</v>
      </c>
      <c r="C1304" s="239">
        <v>111</v>
      </c>
      <c r="D1304" s="239" t="str">
        <f>IFERROR(VLOOKUP(C1304,'Neraca Saldo'!$B$6:$C$56,2,0),"")</f>
        <v>Bank</v>
      </c>
      <c r="E1304" s="258" t="s">
        <v>1016</v>
      </c>
      <c r="F1304" s="244" t="s">
        <v>77</v>
      </c>
      <c r="G1304" s="239"/>
      <c r="H1304" s="245">
        <v>200000</v>
      </c>
      <c r="I1304" s="240">
        <v>0</v>
      </c>
    </row>
    <row r="1305" spans="2:9" ht="12.75" hidden="1" customHeight="1" x14ac:dyDescent="0.2">
      <c r="B1305" s="238">
        <v>45962</v>
      </c>
      <c r="C1305" s="239">
        <v>212</v>
      </c>
      <c r="D1305" s="239" t="str">
        <f>IFERROR(VLOOKUP(C1305,'Neraca Saldo'!$B$6:$C$56,2,0),"")</f>
        <v>Simpanan Karyawan</v>
      </c>
      <c r="E1305" s="258" t="s">
        <v>1016</v>
      </c>
      <c r="F1305" s="244" t="s">
        <v>77</v>
      </c>
      <c r="G1305" s="239"/>
      <c r="H1305" s="240">
        <f>I1304</f>
        <v>0</v>
      </c>
      <c r="I1305" s="240">
        <f>H1304</f>
        <v>200000</v>
      </c>
    </row>
    <row r="1306" spans="2:9" ht="12.75" hidden="1" customHeight="1" x14ac:dyDescent="0.2">
      <c r="B1306" s="238">
        <v>45962</v>
      </c>
      <c r="C1306" s="239">
        <v>111</v>
      </c>
      <c r="D1306" s="239" t="str">
        <f>IFERROR(VLOOKUP(C1306,'Neraca Saldo'!$B$6:$C$56,2,0),"")</f>
        <v>Bank</v>
      </c>
      <c r="E1306" s="258" t="s">
        <v>1102</v>
      </c>
      <c r="F1306" s="244" t="s">
        <v>77</v>
      </c>
      <c r="G1306" s="239"/>
      <c r="H1306" s="245">
        <v>164000</v>
      </c>
      <c r="I1306" s="240">
        <v>0</v>
      </c>
    </row>
    <row r="1307" spans="2:9" ht="12.75" hidden="1" customHeight="1" x14ac:dyDescent="0.2">
      <c r="B1307" s="238">
        <v>45962</v>
      </c>
      <c r="C1307" s="239">
        <v>212</v>
      </c>
      <c r="D1307" s="239" t="str">
        <f>IFERROR(VLOOKUP(C1307,'Neraca Saldo'!$B$6:$C$56,2,0),"")</f>
        <v>Simpanan Karyawan</v>
      </c>
      <c r="E1307" s="258" t="s">
        <v>1102</v>
      </c>
      <c r="F1307" s="244" t="s">
        <v>77</v>
      </c>
      <c r="G1307" s="239"/>
      <c r="H1307" s="240">
        <f>I1306</f>
        <v>0</v>
      </c>
      <c r="I1307" s="240">
        <f>H1306</f>
        <v>164000</v>
      </c>
    </row>
    <row r="1308" spans="2:9" ht="12.75" hidden="1" customHeight="1" x14ac:dyDescent="0.2">
      <c r="B1308" s="238">
        <v>45962</v>
      </c>
      <c r="C1308" s="239">
        <v>111</v>
      </c>
      <c r="D1308" s="239" t="str">
        <f>IFERROR(VLOOKUP(C1308,'Neraca Saldo'!$B$6:$C$56,2,0),"")</f>
        <v>Bank</v>
      </c>
      <c r="E1308" s="258" t="s">
        <v>1025</v>
      </c>
      <c r="F1308" s="244" t="s">
        <v>77</v>
      </c>
      <c r="G1308" s="239"/>
      <c r="H1308" s="245">
        <v>200000</v>
      </c>
      <c r="I1308" s="240">
        <v>0</v>
      </c>
    </row>
    <row r="1309" spans="2:9" ht="12.75" hidden="1" customHeight="1" x14ac:dyDescent="0.2">
      <c r="B1309" s="238">
        <v>45962</v>
      </c>
      <c r="C1309" s="239">
        <v>212</v>
      </c>
      <c r="D1309" s="239" t="str">
        <f>IFERROR(VLOOKUP(C1309,'Neraca Saldo'!$B$6:$C$56,2,0),"")</f>
        <v>Simpanan Karyawan</v>
      </c>
      <c r="E1309" s="258" t="s">
        <v>1025</v>
      </c>
      <c r="F1309" s="244" t="s">
        <v>77</v>
      </c>
      <c r="G1309" s="239"/>
      <c r="H1309" s="240">
        <f>I1308</f>
        <v>0</v>
      </c>
      <c r="I1309" s="240">
        <f>H1308</f>
        <v>200000</v>
      </c>
    </row>
    <row r="1310" spans="2:9" ht="12.75" hidden="1" customHeight="1" x14ac:dyDescent="0.2">
      <c r="B1310" s="238">
        <v>45962</v>
      </c>
      <c r="C1310" s="239">
        <v>111</v>
      </c>
      <c r="D1310" s="239" t="str">
        <f>IFERROR(VLOOKUP(C1310,'Neraca Saldo'!$B$6:$C$56,2,0),"")</f>
        <v>Bank</v>
      </c>
      <c r="E1310" s="258" t="s">
        <v>1026</v>
      </c>
      <c r="F1310" s="244" t="s">
        <v>77</v>
      </c>
      <c r="G1310" s="239"/>
      <c r="H1310" s="245">
        <v>241000</v>
      </c>
      <c r="I1310" s="240">
        <v>0</v>
      </c>
    </row>
    <row r="1311" spans="2:9" ht="12.75" hidden="1" customHeight="1" x14ac:dyDescent="0.2">
      <c r="B1311" s="238">
        <v>45962</v>
      </c>
      <c r="C1311" s="239">
        <v>212</v>
      </c>
      <c r="D1311" s="239" t="str">
        <f>IFERROR(VLOOKUP(C1311,'Neraca Saldo'!$B$6:$C$56,2,0),"")</f>
        <v>Simpanan Karyawan</v>
      </c>
      <c r="E1311" s="258" t="s">
        <v>1026</v>
      </c>
      <c r="F1311" s="244" t="s">
        <v>77</v>
      </c>
      <c r="G1311" s="239"/>
      <c r="H1311" s="240">
        <f>I1310</f>
        <v>0</v>
      </c>
      <c r="I1311" s="240">
        <f>H1310</f>
        <v>241000</v>
      </c>
    </row>
    <row r="1312" spans="2:9" ht="12.75" hidden="1" customHeight="1" x14ac:dyDescent="0.2">
      <c r="B1312" s="238">
        <v>45962</v>
      </c>
      <c r="C1312" s="239">
        <v>111</v>
      </c>
      <c r="D1312" s="239" t="str">
        <f>IFERROR(VLOOKUP(C1312,'Neraca Saldo'!$B$6:$C$56,2,0),"")</f>
        <v>Bank</v>
      </c>
      <c r="E1312" s="258" t="s">
        <v>1068</v>
      </c>
      <c r="F1312" s="244" t="s">
        <v>77</v>
      </c>
      <c r="G1312" s="239"/>
      <c r="H1312" s="245">
        <v>200000</v>
      </c>
      <c r="I1312" s="240">
        <v>0</v>
      </c>
    </row>
    <row r="1313" spans="2:9" ht="12.75" hidden="1" customHeight="1" x14ac:dyDescent="0.2">
      <c r="B1313" s="238">
        <v>45962</v>
      </c>
      <c r="C1313" s="239">
        <v>212</v>
      </c>
      <c r="D1313" s="239" t="str">
        <f>IFERROR(VLOOKUP(C1313,'Neraca Saldo'!$B$6:$C$56,2,0),"")</f>
        <v>Simpanan Karyawan</v>
      </c>
      <c r="E1313" s="258" t="s">
        <v>1068</v>
      </c>
      <c r="F1313" s="244" t="s">
        <v>77</v>
      </c>
      <c r="G1313" s="239"/>
      <c r="H1313" s="240">
        <f>I1312</f>
        <v>0</v>
      </c>
      <c r="I1313" s="240">
        <f>H1312</f>
        <v>200000</v>
      </c>
    </row>
    <row r="1314" spans="2:9" ht="12.75" hidden="1" customHeight="1" x14ac:dyDescent="0.2">
      <c r="B1314" s="238">
        <v>45962</v>
      </c>
      <c r="C1314" s="239">
        <v>111</v>
      </c>
      <c r="D1314" s="239" t="str">
        <f>IFERROR(VLOOKUP(C1314,'Neraca Saldo'!$B$6:$C$56,2,0),"")</f>
        <v>Bank</v>
      </c>
      <c r="E1314" s="258" t="s">
        <v>1127</v>
      </c>
      <c r="F1314" s="244" t="s">
        <v>77</v>
      </c>
      <c r="G1314" s="239"/>
      <c r="H1314" s="245">
        <v>200000</v>
      </c>
      <c r="I1314" s="240">
        <v>0</v>
      </c>
    </row>
    <row r="1315" spans="2:9" ht="12.75" hidden="1" customHeight="1" x14ac:dyDescent="0.2">
      <c r="B1315" s="238">
        <v>45962</v>
      </c>
      <c r="C1315" s="239">
        <v>212</v>
      </c>
      <c r="D1315" s="239" t="str">
        <f>IFERROR(VLOOKUP(C1315,'Neraca Saldo'!$B$6:$C$56,2,0),"")</f>
        <v>Simpanan Karyawan</v>
      </c>
      <c r="E1315" s="258" t="s">
        <v>1127</v>
      </c>
      <c r="F1315" s="244" t="s">
        <v>77</v>
      </c>
      <c r="G1315" s="239"/>
      <c r="H1315" s="240">
        <f>I1314</f>
        <v>0</v>
      </c>
      <c r="I1315" s="240">
        <f>H1314</f>
        <v>200000</v>
      </c>
    </row>
    <row r="1316" spans="2:9" ht="12.75" hidden="1" customHeight="1" x14ac:dyDescent="0.2">
      <c r="B1316" s="238">
        <v>45962</v>
      </c>
      <c r="C1316" s="239">
        <v>111</v>
      </c>
      <c r="D1316" s="239" t="str">
        <f>IFERROR(VLOOKUP(C1316,'Neraca Saldo'!$B$6:$C$56,2,0),"")</f>
        <v>Bank</v>
      </c>
      <c r="E1316" s="258" t="s">
        <v>1100</v>
      </c>
      <c r="F1316" s="244" t="s">
        <v>77</v>
      </c>
      <c r="G1316" s="239"/>
      <c r="H1316" s="245">
        <v>200000</v>
      </c>
      <c r="I1316" s="240">
        <v>0</v>
      </c>
    </row>
    <row r="1317" spans="2:9" ht="12.75" hidden="1" customHeight="1" x14ac:dyDescent="0.2">
      <c r="B1317" s="238">
        <v>45962</v>
      </c>
      <c r="C1317" s="239">
        <v>212</v>
      </c>
      <c r="D1317" s="239" t="str">
        <f>IFERROR(VLOOKUP(C1317,'Neraca Saldo'!$B$6:$C$56,2,0),"")</f>
        <v>Simpanan Karyawan</v>
      </c>
      <c r="E1317" s="258" t="s">
        <v>1100</v>
      </c>
      <c r="F1317" s="244" t="s">
        <v>77</v>
      </c>
      <c r="G1317" s="239"/>
      <c r="H1317" s="240">
        <f>I1316</f>
        <v>0</v>
      </c>
      <c r="I1317" s="240">
        <f>H1316</f>
        <v>200000</v>
      </c>
    </row>
    <row r="1318" spans="2:9" ht="12.75" hidden="1" customHeight="1" x14ac:dyDescent="0.2">
      <c r="B1318" s="238">
        <v>45962</v>
      </c>
      <c r="C1318" s="239">
        <v>111</v>
      </c>
      <c r="D1318" s="239" t="str">
        <f>IFERROR(VLOOKUP(C1318,'Neraca Saldo'!$B$6:$C$56,2,0),"")</f>
        <v>Bank</v>
      </c>
      <c r="E1318" s="258" t="s">
        <v>1152</v>
      </c>
      <c r="F1318" s="244" t="s">
        <v>77</v>
      </c>
      <c r="G1318" s="239"/>
      <c r="H1318" s="245">
        <v>200000</v>
      </c>
      <c r="I1318" s="240">
        <v>0</v>
      </c>
    </row>
    <row r="1319" spans="2:9" ht="12.75" hidden="1" customHeight="1" x14ac:dyDescent="0.2">
      <c r="B1319" s="238">
        <v>45962</v>
      </c>
      <c r="C1319" s="239">
        <v>212</v>
      </c>
      <c r="D1319" s="239" t="str">
        <f>IFERROR(VLOOKUP(C1319,'Neraca Saldo'!$B$6:$C$56,2,0),"")</f>
        <v>Simpanan Karyawan</v>
      </c>
      <c r="E1319" s="258" t="s">
        <v>1152</v>
      </c>
      <c r="F1319" s="244" t="s">
        <v>77</v>
      </c>
      <c r="G1319" s="239"/>
      <c r="H1319" s="240">
        <f>I1318</f>
        <v>0</v>
      </c>
      <c r="I1319" s="240">
        <f>H1318</f>
        <v>200000</v>
      </c>
    </row>
    <row r="1320" spans="2:9" ht="12.75" hidden="1" customHeight="1" x14ac:dyDescent="0.2">
      <c r="B1320" s="238">
        <v>45962</v>
      </c>
      <c r="C1320" s="239">
        <v>111</v>
      </c>
      <c r="D1320" s="239" t="str">
        <f>IFERROR(VLOOKUP(C1320,'Neraca Saldo'!$B$6:$C$56,2,0),"")</f>
        <v>Bank</v>
      </c>
      <c r="E1320" s="258" t="s">
        <v>988</v>
      </c>
      <c r="F1320" s="244" t="s">
        <v>77</v>
      </c>
      <c r="G1320" s="239"/>
      <c r="H1320" s="245">
        <v>200000</v>
      </c>
      <c r="I1320" s="240">
        <v>0</v>
      </c>
    </row>
    <row r="1321" spans="2:9" ht="12.75" hidden="1" customHeight="1" x14ac:dyDescent="0.2">
      <c r="B1321" s="238">
        <v>45962</v>
      </c>
      <c r="C1321" s="239">
        <v>212</v>
      </c>
      <c r="D1321" s="239" t="str">
        <f>IFERROR(VLOOKUP(C1321,'Neraca Saldo'!$B$6:$C$56,2,0),"")</f>
        <v>Simpanan Karyawan</v>
      </c>
      <c r="E1321" s="258" t="s">
        <v>988</v>
      </c>
      <c r="F1321" s="244" t="s">
        <v>77</v>
      </c>
      <c r="G1321" s="239"/>
      <c r="H1321" s="240">
        <f>I1320</f>
        <v>0</v>
      </c>
      <c r="I1321" s="240">
        <f>H1320</f>
        <v>200000</v>
      </c>
    </row>
    <row r="1322" spans="2:9" ht="12.75" hidden="1" customHeight="1" x14ac:dyDescent="0.2">
      <c r="B1322" s="238">
        <v>45962</v>
      </c>
      <c r="C1322" s="239">
        <v>111</v>
      </c>
      <c r="D1322" s="239" t="str">
        <f>IFERROR(VLOOKUP(C1322,'Neraca Saldo'!$B$6:$C$56,2,0),"")</f>
        <v>Bank</v>
      </c>
      <c r="E1322" s="258" t="s">
        <v>1099</v>
      </c>
      <c r="F1322" s="244" t="s">
        <v>77</v>
      </c>
      <c r="G1322" s="239"/>
      <c r="H1322" s="245">
        <v>807000</v>
      </c>
      <c r="I1322" s="240">
        <v>0</v>
      </c>
    </row>
    <row r="1323" spans="2:9" ht="12.75" hidden="1" customHeight="1" x14ac:dyDescent="0.2">
      <c r="B1323" s="238">
        <v>45962</v>
      </c>
      <c r="C1323" s="239">
        <v>212</v>
      </c>
      <c r="D1323" s="239" t="str">
        <f>IFERROR(VLOOKUP(C1323,'Neraca Saldo'!$B$6:$C$56,2,0),"")</f>
        <v>Simpanan Karyawan</v>
      </c>
      <c r="E1323" s="258" t="s">
        <v>1099</v>
      </c>
      <c r="F1323" s="244" t="s">
        <v>77</v>
      </c>
      <c r="G1323" s="239"/>
      <c r="H1323" s="240">
        <f>I1322</f>
        <v>0</v>
      </c>
      <c r="I1323" s="240">
        <f>H1322</f>
        <v>807000</v>
      </c>
    </row>
    <row r="1324" spans="2:9" ht="12.75" hidden="1" customHeight="1" x14ac:dyDescent="0.2">
      <c r="B1324" s="238">
        <v>45962</v>
      </c>
      <c r="C1324" s="239">
        <v>111</v>
      </c>
      <c r="D1324" s="239" t="str">
        <f>IFERROR(VLOOKUP(C1324,'Neraca Saldo'!$B$6:$C$56,2,0),"")</f>
        <v>Bank</v>
      </c>
      <c r="E1324" s="258" t="s">
        <v>927</v>
      </c>
      <c r="F1324" s="244" t="s">
        <v>77</v>
      </c>
      <c r="G1324" s="239"/>
      <c r="H1324" s="245">
        <v>700000</v>
      </c>
      <c r="I1324" s="240">
        <v>0</v>
      </c>
    </row>
    <row r="1325" spans="2:9" ht="12.75" hidden="1" customHeight="1" x14ac:dyDescent="0.2">
      <c r="B1325" s="238">
        <v>45962</v>
      </c>
      <c r="C1325" s="239">
        <v>212</v>
      </c>
      <c r="D1325" s="239" t="str">
        <f>IFERROR(VLOOKUP(C1325,'Neraca Saldo'!$B$6:$C$56,2,0),"")</f>
        <v>Simpanan Karyawan</v>
      </c>
      <c r="E1325" s="258" t="s">
        <v>927</v>
      </c>
      <c r="F1325" s="244" t="s">
        <v>77</v>
      </c>
      <c r="G1325" s="239"/>
      <c r="H1325" s="240">
        <f>I1324</f>
        <v>0</v>
      </c>
      <c r="I1325" s="240">
        <f>H1324</f>
        <v>700000</v>
      </c>
    </row>
    <row r="1326" spans="2:9" ht="12.75" hidden="1" customHeight="1" x14ac:dyDescent="0.2">
      <c r="B1326" s="238">
        <v>45962</v>
      </c>
      <c r="C1326" s="239">
        <v>111</v>
      </c>
      <c r="D1326" s="239" t="str">
        <f>IFERROR(VLOOKUP(C1326,'Neraca Saldo'!$B$6:$C$56,2,0),"")</f>
        <v>Bank</v>
      </c>
      <c r="E1326" s="258" t="s">
        <v>964</v>
      </c>
      <c r="F1326" s="244" t="s">
        <v>77</v>
      </c>
      <c r="G1326" s="239"/>
      <c r="H1326" s="245">
        <v>600000</v>
      </c>
      <c r="I1326" s="240">
        <v>0</v>
      </c>
    </row>
    <row r="1327" spans="2:9" ht="12.75" hidden="1" customHeight="1" x14ac:dyDescent="0.2">
      <c r="B1327" s="238">
        <v>45962</v>
      </c>
      <c r="C1327" s="239">
        <v>212</v>
      </c>
      <c r="D1327" s="239" t="str">
        <f>IFERROR(VLOOKUP(C1327,'Neraca Saldo'!$B$6:$C$56,2,0),"")</f>
        <v>Simpanan Karyawan</v>
      </c>
      <c r="E1327" s="258" t="s">
        <v>964</v>
      </c>
      <c r="F1327" s="244" t="s">
        <v>77</v>
      </c>
      <c r="G1327" s="239"/>
      <c r="H1327" s="240">
        <f>I1326</f>
        <v>0</v>
      </c>
      <c r="I1327" s="240">
        <f>H1326</f>
        <v>600000</v>
      </c>
    </row>
    <row r="1328" spans="2:9" ht="12.75" hidden="1" customHeight="1" x14ac:dyDescent="0.2">
      <c r="B1328" s="238">
        <v>45962</v>
      </c>
      <c r="C1328" s="239">
        <v>111</v>
      </c>
      <c r="D1328" s="239" t="str">
        <f>IFERROR(VLOOKUP(C1328,'Neraca Saldo'!$B$6:$C$56,2,0),"")</f>
        <v>Bank</v>
      </c>
      <c r="E1328" s="258" t="s">
        <v>965</v>
      </c>
      <c r="F1328" s="244" t="s">
        <v>77</v>
      </c>
      <c r="G1328" s="239"/>
      <c r="H1328" s="245">
        <v>650000</v>
      </c>
      <c r="I1328" s="240">
        <v>0</v>
      </c>
    </row>
    <row r="1329" spans="2:9" ht="12.75" hidden="1" customHeight="1" x14ac:dyDescent="0.2">
      <c r="B1329" s="238">
        <v>45962</v>
      </c>
      <c r="C1329" s="239">
        <v>212</v>
      </c>
      <c r="D1329" s="239" t="str">
        <f>IFERROR(VLOOKUP(C1329,'Neraca Saldo'!$B$6:$C$56,2,0),"")</f>
        <v>Simpanan Karyawan</v>
      </c>
      <c r="E1329" s="258" t="s">
        <v>965</v>
      </c>
      <c r="F1329" s="244" t="s">
        <v>77</v>
      </c>
      <c r="G1329" s="239"/>
      <c r="H1329" s="240">
        <f>I1328</f>
        <v>0</v>
      </c>
      <c r="I1329" s="240">
        <f>H1328</f>
        <v>650000</v>
      </c>
    </row>
    <row r="1330" spans="2:9" ht="12.75" hidden="1" customHeight="1" x14ac:dyDescent="0.2">
      <c r="B1330" s="238">
        <v>45962</v>
      </c>
      <c r="C1330" s="239">
        <v>111</v>
      </c>
      <c r="D1330" s="239" t="str">
        <f>IFERROR(VLOOKUP(C1330,'Neraca Saldo'!$B$6:$C$56,2,0),"")</f>
        <v>Bank</v>
      </c>
      <c r="E1330" s="258" t="s">
        <v>1049</v>
      </c>
      <c r="F1330" s="244" t="s">
        <v>77</v>
      </c>
      <c r="G1330" s="239"/>
      <c r="H1330" s="245">
        <v>600000</v>
      </c>
      <c r="I1330" s="240">
        <v>0</v>
      </c>
    </row>
    <row r="1331" spans="2:9" ht="12.75" hidden="1" customHeight="1" x14ac:dyDescent="0.2">
      <c r="B1331" s="238">
        <v>45962</v>
      </c>
      <c r="C1331" s="239">
        <v>212</v>
      </c>
      <c r="D1331" s="239" t="str">
        <f>IFERROR(VLOOKUP(C1331,'Neraca Saldo'!$B$6:$C$56,2,0),"")</f>
        <v>Simpanan Karyawan</v>
      </c>
      <c r="E1331" s="258" t="s">
        <v>1049</v>
      </c>
      <c r="F1331" s="244" t="s">
        <v>77</v>
      </c>
      <c r="G1331" s="239"/>
      <c r="H1331" s="240">
        <f>I1330</f>
        <v>0</v>
      </c>
      <c r="I1331" s="240">
        <f>H1330</f>
        <v>600000</v>
      </c>
    </row>
    <row r="1332" spans="2:9" ht="12.75" hidden="1" customHeight="1" x14ac:dyDescent="0.2">
      <c r="B1332" s="238">
        <v>45962</v>
      </c>
      <c r="C1332" s="239">
        <v>111</v>
      </c>
      <c r="D1332" s="239" t="str">
        <f>IFERROR(VLOOKUP(C1332,'Neraca Saldo'!$B$6:$C$56,2,0),"")</f>
        <v>Bank</v>
      </c>
      <c r="E1332" s="258" t="s">
        <v>1050</v>
      </c>
      <c r="F1332" s="244" t="s">
        <v>77</v>
      </c>
      <c r="G1332" s="239"/>
      <c r="H1332" s="245">
        <v>450000</v>
      </c>
      <c r="I1332" s="240">
        <v>0</v>
      </c>
    </row>
    <row r="1333" spans="2:9" ht="12.75" hidden="1" customHeight="1" x14ac:dyDescent="0.2">
      <c r="B1333" s="238">
        <v>45962</v>
      </c>
      <c r="C1333" s="239">
        <v>212</v>
      </c>
      <c r="D1333" s="239" t="str">
        <f>IFERROR(VLOOKUP(C1333,'Neraca Saldo'!$B$6:$C$56,2,0),"")</f>
        <v>Simpanan Karyawan</v>
      </c>
      <c r="E1333" s="258" t="s">
        <v>1050</v>
      </c>
      <c r="F1333" s="244" t="s">
        <v>77</v>
      </c>
      <c r="G1333" s="239"/>
      <c r="H1333" s="240">
        <f>I1332</f>
        <v>0</v>
      </c>
      <c r="I1333" s="240">
        <f>H1332</f>
        <v>450000</v>
      </c>
    </row>
    <row r="1334" spans="2:9" ht="12.75" hidden="1" customHeight="1" x14ac:dyDescent="0.2">
      <c r="B1334" s="238">
        <v>45962</v>
      </c>
      <c r="C1334" s="239">
        <v>111</v>
      </c>
      <c r="D1334" s="239" t="str">
        <f>IFERROR(VLOOKUP(C1334,'Neraca Saldo'!$B$6:$C$56,2,0),"")</f>
        <v>Bank</v>
      </c>
      <c r="E1334" s="258" t="s">
        <v>1077</v>
      </c>
      <c r="F1334" s="244" t="s">
        <v>77</v>
      </c>
      <c r="G1334" s="239"/>
      <c r="H1334" s="245">
        <v>550000</v>
      </c>
      <c r="I1334" s="240">
        <v>0</v>
      </c>
    </row>
    <row r="1335" spans="2:9" ht="12.75" hidden="1" customHeight="1" x14ac:dyDescent="0.2">
      <c r="B1335" s="238">
        <v>45962</v>
      </c>
      <c r="C1335" s="239">
        <v>212</v>
      </c>
      <c r="D1335" s="239" t="str">
        <f>IFERROR(VLOOKUP(C1335,'Neraca Saldo'!$B$6:$C$56,2,0),"")</f>
        <v>Simpanan Karyawan</v>
      </c>
      <c r="E1335" s="258" t="s">
        <v>1077</v>
      </c>
      <c r="F1335" s="244" t="s">
        <v>77</v>
      </c>
      <c r="G1335" s="239"/>
      <c r="H1335" s="240">
        <f>I1334</f>
        <v>0</v>
      </c>
      <c r="I1335" s="240">
        <f>H1334</f>
        <v>550000</v>
      </c>
    </row>
    <row r="1336" spans="2:9" ht="12.75" hidden="1" customHeight="1" x14ac:dyDescent="0.2">
      <c r="B1336" s="231">
        <v>45962</v>
      </c>
      <c r="C1336" s="232">
        <v>112</v>
      </c>
      <c r="D1336" s="232" t="str">
        <f>IFERROR(VLOOKUP(C1336,'Neraca Saldo'!$B$6:$C$56,2,0),"")</f>
        <v>Kas</v>
      </c>
      <c r="E1336" s="232" t="s">
        <v>838</v>
      </c>
      <c r="F1336" s="234" t="s">
        <v>77</v>
      </c>
      <c r="G1336" s="232"/>
      <c r="H1336" s="196">
        <v>4957000</v>
      </c>
      <c r="I1336" s="236">
        <v>0</v>
      </c>
    </row>
    <row r="1337" spans="2:9" ht="12.75" hidden="1" customHeight="1" x14ac:dyDescent="0.2">
      <c r="B1337" s="231">
        <v>45962</v>
      </c>
      <c r="C1337" s="232">
        <v>111</v>
      </c>
      <c r="D1337" s="232" t="str">
        <f>IFERROR(VLOOKUP(C1337,'Neraca Saldo'!$B$6:$C$56,2,0),"")</f>
        <v>Bank</v>
      </c>
      <c r="E1337" s="232" t="s">
        <v>838</v>
      </c>
      <c r="F1337" s="234" t="s">
        <v>77</v>
      </c>
      <c r="G1337" s="232"/>
      <c r="H1337" s="236">
        <f>I1336</f>
        <v>0</v>
      </c>
      <c r="I1337" s="236">
        <f>H1336</f>
        <v>4957000</v>
      </c>
    </row>
    <row r="1338" spans="2:9" ht="12.75" hidden="1" customHeight="1" x14ac:dyDescent="0.2">
      <c r="B1338" s="238">
        <v>45971</v>
      </c>
      <c r="C1338" s="239">
        <v>111</v>
      </c>
      <c r="D1338" s="239" t="str">
        <f>IFERROR(VLOOKUP(C1338,'Neraca Saldo'!$B$6:$C$56,2,0),"")</f>
        <v>Bank</v>
      </c>
      <c r="E1338" s="258" t="s">
        <v>1029</v>
      </c>
      <c r="F1338" s="244" t="s">
        <v>77</v>
      </c>
      <c r="G1338" s="239"/>
      <c r="H1338" s="245">
        <v>200000</v>
      </c>
      <c r="I1338" s="240">
        <v>0</v>
      </c>
    </row>
    <row r="1339" spans="2:9" ht="12.75" hidden="1" customHeight="1" x14ac:dyDescent="0.2">
      <c r="B1339" s="238">
        <v>45971</v>
      </c>
      <c r="C1339" s="239">
        <v>212</v>
      </c>
      <c r="D1339" s="239" t="str">
        <f>IFERROR(VLOOKUP(C1339,'Neraca Saldo'!$B$6:$C$56,2,0),"")</f>
        <v>Simpanan Karyawan</v>
      </c>
      <c r="E1339" s="258" t="s">
        <v>1029</v>
      </c>
      <c r="F1339" s="244" t="s">
        <v>77</v>
      </c>
      <c r="G1339" s="239"/>
      <c r="H1339" s="240">
        <f>I1338</f>
        <v>0</v>
      </c>
      <c r="I1339" s="240">
        <f>H1338</f>
        <v>200000</v>
      </c>
    </row>
    <row r="1340" spans="2:9" ht="12.75" hidden="1" customHeight="1" x14ac:dyDescent="0.2">
      <c r="B1340" s="238">
        <v>45971</v>
      </c>
      <c r="C1340" s="239">
        <v>111</v>
      </c>
      <c r="D1340" s="239" t="str">
        <f>IFERROR(VLOOKUP(C1340,'Neraca Saldo'!$B$6:$C$56,2,0),"")</f>
        <v>Bank</v>
      </c>
      <c r="E1340" s="258" t="s">
        <v>1031</v>
      </c>
      <c r="F1340" s="244" t="s">
        <v>77</v>
      </c>
      <c r="G1340" s="239"/>
      <c r="H1340" s="245">
        <v>200000</v>
      </c>
      <c r="I1340" s="240">
        <v>0</v>
      </c>
    </row>
    <row r="1341" spans="2:9" ht="12.75" hidden="1" customHeight="1" x14ac:dyDescent="0.2">
      <c r="B1341" s="238">
        <v>45971</v>
      </c>
      <c r="C1341" s="239">
        <v>212</v>
      </c>
      <c r="D1341" s="239" t="str">
        <f>IFERROR(VLOOKUP(C1341,'Neraca Saldo'!$B$6:$C$56,2,0),"")</f>
        <v>Simpanan Karyawan</v>
      </c>
      <c r="E1341" s="258" t="s">
        <v>1031</v>
      </c>
      <c r="F1341" s="244" t="s">
        <v>77</v>
      </c>
      <c r="G1341" s="239"/>
      <c r="H1341" s="240">
        <f>I1340</f>
        <v>0</v>
      </c>
      <c r="I1341" s="240">
        <f>H1340</f>
        <v>200000</v>
      </c>
    </row>
    <row r="1342" spans="2:9" ht="12.75" customHeight="1" x14ac:dyDescent="0.2">
      <c r="B1342" s="231">
        <v>45973</v>
      </c>
      <c r="C1342" s="232">
        <v>513</v>
      </c>
      <c r="D1342" s="232" t="str">
        <f>IFERROR(VLOOKUP(C1342,'Neraca Saldo'!$B$6:$C$56,2,0),"")</f>
        <v>Beban Pengurus dan Anggota</v>
      </c>
      <c r="E1342" s="194" t="s">
        <v>881</v>
      </c>
      <c r="F1342" s="234" t="s">
        <v>838</v>
      </c>
      <c r="G1342" s="232"/>
      <c r="H1342" s="188">
        <v>689000</v>
      </c>
      <c r="I1342" s="236">
        <v>0</v>
      </c>
    </row>
    <row r="1343" spans="2:9" ht="12.75" hidden="1" customHeight="1" x14ac:dyDescent="0.2">
      <c r="B1343" s="231">
        <v>45973</v>
      </c>
      <c r="C1343" s="232">
        <v>112</v>
      </c>
      <c r="D1343" s="232" t="str">
        <f>IFERROR(VLOOKUP(C1343,'Neraca Saldo'!$B$6:$C$56,2,0),"")</f>
        <v>Kas</v>
      </c>
      <c r="E1343" s="194" t="s">
        <v>881</v>
      </c>
      <c r="F1343" s="234" t="s">
        <v>838</v>
      </c>
      <c r="G1343" s="232"/>
      <c r="H1343" s="236">
        <f>I1342</f>
        <v>0</v>
      </c>
      <c r="I1343" s="236">
        <f>H1342</f>
        <v>689000</v>
      </c>
    </row>
    <row r="1344" spans="2:9" ht="12.75" customHeight="1" x14ac:dyDescent="0.2">
      <c r="B1344" s="231">
        <v>45973</v>
      </c>
      <c r="C1344" s="232">
        <v>513</v>
      </c>
      <c r="D1344" s="232" t="str">
        <f>IFERROR(VLOOKUP(C1344,'Neraca Saldo'!$B$6:$C$56,2,0),"")</f>
        <v>Beban Pengurus dan Anggota</v>
      </c>
      <c r="E1344" s="194" t="s">
        <v>881</v>
      </c>
      <c r="F1344" s="234" t="s">
        <v>838</v>
      </c>
      <c r="G1344" s="232"/>
      <c r="H1344" s="188">
        <v>380000</v>
      </c>
      <c r="I1344" s="236">
        <v>0</v>
      </c>
    </row>
    <row r="1345" spans="2:9" ht="12.75" hidden="1" customHeight="1" x14ac:dyDescent="0.2">
      <c r="B1345" s="231">
        <v>45973</v>
      </c>
      <c r="C1345" s="232">
        <v>112</v>
      </c>
      <c r="D1345" s="232" t="str">
        <f>IFERROR(VLOOKUP(C1345,'Neraca Saldo'!$B$6:$C$56,2,0),"")</f>
        <v>Kas</v>
      </c>
      <c r="E1345" s="194" t="s">
        <v>881</v>
      </c>
      <c r="F1345" s="234" t="s">
        <v>838</v>
      </c>
      <c r="G1345" s="232"/>
      <c r="H1345" s="236">
        <f>I1344</f>
        <v>0</v>
      </c>
      <c r="I1345" s="236">
        <f>H1344</f>
        <v>380000</v>
      </c>
    </row>
    <row r="1346" spans="2:9" ht="12.75" hidden="1" customHeight="1" x14ac:dyDescent="0.2">
      <c r="B1346" s="231">
        <v>45974</v>
      </c>
      <c r="C1346" s="232">
        <v>512</v>
      </c>
      <c r="D1346" s="232" t="str">
        <f>IFERROR(VLOOKUP(C1346,'Neraca Saldo'!$B$6:$C$56,2,0),"")</f>
        <v>Beban Jasa</v>
      </c>
      <c r="E1346" s="194" t="s">
        <v>1172</v>
      </c>
      <c r="F1346" s="234" t="s">
        <v>838</v>
      </c>
      <c r="G1346" s="232"/>
      <c r="H1346" s="188">
        <v>2000000</v>
      </c>
      <c r="I1346" s="236">
        <v>0</v>
      </c>
    </row>
    <row r="1347" spans="2:9" ht="12.75" hidden="1" customHeight="1" x14ac:dyDescent="0.2">
      <c r="B1347" s="231">
        <v>45974</v>
      </c>
      <c r="C1347" s="232">
        <v>112</v>
      </c>
      <c r="D1347" s="232" t="str">
        <f>IFERROR(VLOOKUP(C1347,'Neraca Saldo'!$B$6:$C$56,2,0),"")</f>
        <v>Kas</v>
      </c>
      <c r="E1347" s="194" t="s">
        <v>1172</v>
      </c>
      <c r="F1347" s="234" t="s">
        <v>838</v>
      </c>
      <c r="G1347" s="232"/>
      <c r="H1347" s="236">
        <f>I1346</f>
        <v>0</v>
      </c>
      <c r="I1347" s="236">
        <f>H1346</f>
        <v>2000000</v>
      </c>
    </row>
    <row r="1348" spans="2:9" ht="12.75" hidden="1" customHeight="1" x14ac:dyDescent="0.2">
      <c r="B1348" s="231">
        <v>45975</v>
      </c>
      <c r="C1348" s="232">
        <v>512</v>
      </c>
      <c r="D1348" s="232" t="str">
        <f>IFERROR(VLOOKUP(C1348,'Neraca Saldo'!$B$6:$C$56,2,0),"")</f>
        <v>Beban Jasa</v>
      </c>
      <c r="E1348" s="194" t="s">
        <v>1044</v>
      </c>
      <c r="F1348" s="234" t="s">
        <v>838</v>
      </c>
      <c r="G1348" s="232"/>
      <c r="H1348" s="188">
        <v>769000</v>
      </c>
      <c r="I1348" s="236">
        <v>0</v>
      </c>
    </row>
    <row r="1349" spans="2:9" ht="12.75" hidden="1" customHeight="1" x14ac:dyDescent="0.2">
      <c r="B1349" s="231">
        <v>45975</v>
      </c>
      <c r="C1349" s="232">
        <v>112</v>
      </c>
      <c r="D1349" s="232" t="str">
        <f>IFERROR(VLOOKUP(C1349,'Neraca Saldo'!$B$6:$C$56,2,0),"")</f>
        <v>Kas</v>
      </c>
      <c r="E1349" s="194" t="s">
        <v>1044</v>
      </c>
      <c r="F1349" s="234" t="s">
        <v>838</v>
      </c>
      <c r="G1349" s="232"/>
      <c r="H1349" s="236">
        <f>I1348</f>
        <v>0</v>
      </c>
      <c r="I1349" s="236">
        <f>H1348</f>
        <v>769000</v>
      </c>
    </row>
    <row r="1350" spans="2:9" ht="12.75" hidden="1" customHeight="1" x14ac:dyDescent="0.2">
      <c r="B1350" s="231">
        <v>45975</v>
      </c>
      <c r="C1350" s="232">
        <v>124</v>
      </c>
      <c r="D1350" s="232" t="str">
        <f>IFERROR(VLOOKUP(C1350,'Neraca Saldo'!$B$6:$C$56,2,0),"")</f>
        <v>Piutang USP</v>
      </c>
      <c r="E1350" s="217" t="s">
        <v>1173</v>
      </c>
      <c r="F1350" s="234" t="s">
        <v>838</v>
      </c>
      <c r="G1350" s="232"/>
      <c r="H1350" s="188">
        <v>1000000</v>
      </c>
      <c r="I1350" s="236">
        <v>0</v>
      </c>
    </row>
    <row r="1351" spans="2:9" ht="12.75" hidden="1" customHeight="1" x14ac:dyDescent="0.2">
      <c r="B1351" s="231">
        <v>45975</v>
      </c>
      <c r="C1351" s="232">
        <v>112</v>
      </c>
      <c r="D1351" s="232" t="str">
        <f>IFERROR(VLOOKUP(C1351,'Neraca Saldo'!$B$6:$C$56,2,0),"")</f>
        <v>Kas</v>
      </c>
      <c r="E1351" s="217" t="s">
        <v>1173</v>
      </c>
      <c r="F1351" s="234" t="s">
        <v>838</v>
      </c>
      <c r="G1351" s="232"/>
      <c r="H1351" s="236">
        <f>I1350</f>
        <v>0</v>
      </c>
      <c r="I1351" s="236">
        <f>H1350</f>
        <v>1000000</v>
      </c>
    </row>
    <row r="1352" spans="2:9" ht="12.75" hidden="1" customHeight="1" x14ac:dyDescent="0.2">
      <c r="B1352" s="231">
        <v>45978</v>
      </c>
      <c r="C1352" s="232">
        <v>516</v>
      </c>
      <c r="D1352" s="232" t="str">
        <f>IFERROR(VLOOKUP(C1352,'Neraca Saldo'!$B$6:$C$56,2,0),"")</f>
        <v>Beban ATK</v>
      </c>
      <c r="E1352" s="194" t="s">
        <v>840</v>
      </c>
      <c r="F1352" s="234" t="s">
        <v>838</v>
      </c>
      <c r="G1352" s="232"/>
      <c r="H1352" s="188">
        <v>100000</v>
      </c>
      <c r="I1352" s="236">
        <v>0</v>
      </c>
    </row>
    <row r="1353" spans="2:9" ht="12.75" hidden="1" customHeight="1" x14ac:dyDescent="0.2">
      <c r="B1353" s="231">
        <v>45978</v>
      </c>
      <c r="C1353" s="232">
        <v>112</v>
      </c>
      <c r="D1353" s="232" t="str">
        <f>IFERROR(VLOOKUP(C1353,'Neraca Saldo'!$B$6:$C$56,2,0),"")</f>
        <v>Kas</v>
      </c>
      <c r="E1353" s="194" t="s">
        <v>840</v>
      </c>
      <c r="F1353" s="234" t="s">
        <v>838</v>
      </c>
      <c r="G1353" s="232"/>
      <c r="H1353" s="236">
        <f>I1352</f>
        <v>0</v>
      </c>
      <c r="I1353" s="236">
        <f>H1352</f>
        <v>100000</v>
      </c>
    </row>
    <row r="1354" spans="2:9" ht="12.75" customHeight="1" x14ac:dyDescent="0.2">
      <c r="B1354" s="231">
        <v>45979</v>
      </c>
      <c r="C1354" s="232">
        <v>513</v>
      </c>
      <c r="D1354" s="232" t="str">
        <f>IFERROR(VLOOKUP(C1354,'Neraca Saldo'!$B$6:$C$56,2,0),"")</f>
        <v>Beban Pengurus dan Anggota</v>
      </c>
      <c r="E1354" s="194" t="s">
        <v>881</v>
      </c>
      <c r="F1354" s="234" t="s">
        <v>838</v>
      </c>
      <c r="G1354" s="232"/>
      <c r="H1354" s="188">
        <v>501000</v>
      </c>
      <c r="I1354" s="236">
        <v>0</v>
      </c>
    </row>
    <row r="1355" spans="2:9" ht="12.75" hidden="1" customHeight="1" x14ac:dyDescent="0.2">
      <c r="B1355" s="231">
        <v>45979</v>
      </c>
      <c r="C1355" s="232">
        <v>112</v>
      </c>
      <c r="D1355" s="232" t="str">
        <f>IFERROR(VLOOKUP(C1355,'Neraca Saldo'!$B$6:$C$56,2,0),"")</f>
        <v>Kas</v>
      </c>
      <c r="E1355" s="194" t="s">
        <v>881</v>
      </c>
      <c r="F1355" s="234" t="s">
        <v>838</v>
      </c>
      <c r="G1355" s="232"/>
      <c r="H1355" s="236">
        <f>I1354</f>
        <v>0</v>
      </c>
      <c r="I1355" s="236">
        <f>H1354</f>
        <v>501000</v>
      </c>
    </row>
    <row r="1356" spans="2:9" ht="12.75" hidden="1" customHeight="1" x14ac:dyDescent="0.2">
      <c r="B1356" s="231">
        <v>45979</v>
      </c>
      <c r="C1356" s="232">
        <v>313</v>
      </c>
      <c r="D1356" s="232" t="str">
        <f>IFERROR(VLOOKUP(C1356,'Neraca Saldo'!$B$6:$C$56,2,0),"")</f>
        <v>(Laba)/Rugi ditahan</v>
      </c>
      <c r="E1356" s="194" t="s">
        <v>1174</v>
      </c>
      <c r="F1356" s="234" t="s">
        <v>838</v>
      </c>
      <c r="G1356" s="232"/>
      <c r="H1356" s="188">
        <v>250000</v>
      </c>
      <c r="I1356" s="236">
        <v>0</v>
      </c>
    </row>
    <row r="1357" spans="2:9" ht="12.75" hidden="1" customHeight="1" x14ac:dyDescent="0.2">
      <c r="B1357" s="231">
        <v>45979</v>
      </c>
      <c r="C1357" s="232">
        <v>112</v>
      </c>
      <c r="D1357" s="232" t="str">
        <f>IFERROR(VLOOKUP(C1357,'Neraca Saldo'!$B$6:$C$56,2,0),"")</f>
        <v>Kas</v>
      </c>
      <c r="E1357" s="194" t="s">
        <v>1174</v>
      </c>
      <c r="F1357" s="234" t="s">
        <v>838</v>
      </c>
      <c r="G1357" s="232"/>
      <c r="H1357" s="236">
        <f>I1356</f>
        <v>0</v>
      </c>
      <c r="I1357" s="236">
        <f>H1356</f>
        <v>250000</v>
      </c>
    </row>
    <row r="1358" spans="2:9" ht="12.75" hidden="1" customHeight="1" x14ac:dyDescent="0.2">
      <c r="B1358" s="231">
        <v>45982</v>
      </c>
      <c r="C1358" s="232">
        <v>212</v>
      </c>
      <c r="D1358" s="232" t="str">
        <f>IFERROR(VLOOKUP(C1358,'Neraca Saldo'!$B$6:$C$56,2,0),"")</f>
        <v>Simpanan Karyawan</v>
      </c>
      <c r="E1358" s="194" t="s">
        <v>1119</v>
      </c>
      <c r="F1358" s="234" t="s">
        <v>838</v>
      </c>
      <c r="G1358" s="232"/>
      <c r="H1358" s="188">
        <v>1000000</v>
      </c>
      <c r="I1358" s="236">
        <v>0</v>
      </c>
    </row>
    <row r="1359" spans="2:9" ht="12.75" hidden="1" customHeight="1" x14ac:dyDescent="0.2">
      <c r="B1359" s="231">
        <v>45982</v>
      </c>
      <c r="C1359" s="232">
        <v>112</v>
      </c>
      <c r="D1359" s="232" t="str">
        <f>IFERROR(VLOOKUP(C1359,'Neraca Saldo'!$B$6:$C$56,2,0),"")</f>
        <v>Kas</v>
      </c>
      <c r="E1359" s="194" t="s">
        <v>1119</v>
      </c>
      <c r="F1359" s="234" t="s">
        <v>838</v>
      </c>
      <c r="G1359" s="232"/>
      <c r="H1359" s="236">
        <f>I1358</f>
        <v>0</v>
      </c>
      <c r="I1359" s="236">
        <f>H1358</f>
        <v>1000000</v>
      </c>
    </row>
    <row r="1360" spans="2:9" ht="12.75" customHeight="1" x14ac:dyDescent="0.2">
      <c r="B1360" s="231">
        <v>45985</v>
      </c>
      <c r="C1360" s="232">
        <v>513</v>
      </c>
      <c r="D1360" s="232" t="str">
        <f>IFERROR(VLOOKUP(C1360,'Neraca Saldo'!$B$6:$C$56,2,0),"")</f>
        <v>Beban Pengurus dan Anggota</v>
      </c>
      <c r="E1360" s="194" t="s">
        <v>841</v>
      </c>
      <c r="F1360" s="234" t="s">
        <v>838</v>
      </c>
      <c r="G1360" s="232"/>
      <c r="H1360" s="188">
        <v>122100</v>
      </c>
      <c r="I1360" s="236">
        <v>0</v>
      </c>
    </row>
    <row r="1361" spans="2:9" ht="12.75" hidden="1" customHeight="1" x14ac:dyDescent="0.2">
      <c r="B1361" s="231">
        <v>45985</v>
      </c>
      <c r="C1361" s="232">
        <v>112</v>
      </c>
      <c r="D1361" s="232" t="str">
        <f>IFERROR(VLOOKUP(C1361,'Neraca Saldo'!$B$6:$C$56,2,0),"")</f>
        <v>Kas</v>
      </c>
      <c r="E1361" s="194" t="s">
        <v>841</v>
      </c>
      <c r="F1361" s="234" t="s">
        <v>838</v>
      </c>
      <c r="G1361" s="232"/>
      <c r="H1361" s="236">
        <f>I1360</f>
        <v>0</v>
      </c>
      <c r="I1361" s="236">
        <f>H1360</f>
        <v>122100</v>
      </c>
    </row>
    <row r="1362" spans="2:9" ht="12.75" hidden="1" customHeight="1" x14ac:dyDescent="0.2">
      <c r="B1362" s="238">
        <v>45986</v>
      </c>
      <c r="C1362" s="239">
        <v>111</v>
      </c>
      <c r="D1362" s="239" t="str">
        <f>IFERROR(VLOOKUP(C1362,'Neraca Saldo'!$B$6:$C$56,2,0),"")</f>
        <v>Bank</v>
      </c>
      <c r="E1362" s="258" t="s">
        <v>1104</v>
      </c>
      <c r="F1362" s="244" t="s">
        <v>77</v>
      </c>
      <c r="G1362" s="239"/>
      <c r="H1362" s="245">
        <v>2000000</v>
      </c>
      <c r="I1362" s="240">
        <v>0</v>
      </c>
    </row>
    <row r="1363" spans="2:9" ht="12.75" hidden="1" customHeight="1" x14ac:dyDescent="0.2">
      <c r="B1363" s="238">
        <v>45986</v>
      </c>
      <c r="C1363" s="239">
        <v>212</v>
      </c>
      <c r="D1363" s="239" t="str">
        <f>IFERROR(VLOOKUP(C1363,'Neraca Saldo'!$B$6:$C$56,2,0),"")</f>
        <v>Simpanan Karyawan</v>
      </c>
      <c r="E1363" s="258" t="s">
        <v>1104</v>
      </c>
      <c r="F1363" s="244" t="s">
        <v>77</v>
      </c>
      <c r="G1363" s="239"/>
      <c r="H1363" s="240">
        <f>I1362</f>
        <v>0</v>
      </c>
      <c r="I1363" s="240">
        <f>H1362</f>
        <v>2000000</v>
      </c>
    </row>
    <row r="1364" spans="2:9" ht="12.75" hidden="1" customHeight="1" x14ac:dyDescent="0.2">
      <c r="B1364" s="238">
        <v>45986</v>
      </c>
      <c r="C1364" s="239">
        <v>111</v>
      </c>
      <c r="D1364" s="239" t="str">
        <f>IFERROR(VLOOKUP(C1364,'Neraca Saldo'!$B$6:$C$56,2,0),"")</f>
        <v>Bank</v>
      </c>
      <c r="E1364" s="258" t="s">
        <v>964</v>
      </c>
      <c r="F1364" s="244" t="s">
        <v>77</v>
      </c>
      <c r="G1364" s="239"/>
      <c r="H1364" s="245">
        <v>500000</v>
      </c>
      <c r="I1364" s="240">
        <v>0</v>
      </c>
    </row>
    <row r="1365" spans="2:9" ht="12.75" hidden="1" customHeight="1" x14ac:dyDescent="0.2">
      <c r="B1365" s="238">
        <v>45986</v>
      </c>
      <c r="C1365" s="239">
        <v>212</v>
      </c>
      <c r="D1365" s="239" t="str">
        <f>IFERROR(VLOOKUP(C1365,'Neraca Saldo'!$B$6:$C$56,2,0),"")</f>
        <v>Simpanan Karyawan</v>
      </c>
      <c r="E1365" s="258" t="s">
        <v>964</v>
      </c>
      <c r="F1365" s="244" t="s">
        <v>77</v>
      </c>
      <c r="G1365" s="239"/>
      <c r="H1365" s="240">
        <f>I1364</f>
        <v>0</v>
      </c>
      <c r="I1365" s="240">
        <f>H1364</f>
        <v>500000</v>
      </c>
    </row>
    <row r="1366" spans="2:9" ht="12.75" hidden="1" customHeight="1" x14ac:dyDescent="0.2">
      <c r="B1366" s="238">
        <v>45987</v>
      </c>
      <c r="C1366" s="239">
        <v>111</v>
      </c>
      <c r="D1366" s="239" t="str">
        <f>IFERROR(VLOOKUP(C1366,'Neraca Saldo'!$B$6:$C$56,2,0),"")</f>
        <v>Bank</v>
      </c>
      <c r="E1366" s="258" t="s">
        <v>1175</v>
      </c>
      <c r="F1366" s="244" t="s">
        <v>77</v>
      </c>
      <c r="G1366" s="239"/>
      <c r="H1366" s="245">
        <v>3903850</v>
      </c>
      <c r="I1366" s="240">
        <v>0</v>
      </c>
    </row>
    <row r="1367" spans="2:9" ht="12.75" hidden="1" customHeight="1" x14ac:dyDescent="0.2">
      <c r="B1367" s="238">
        <v>45987</v>
      </c>
      <c r="C1367" s="239">
        <v>411</v>
      </c>
      <c r="D1367" s="239" t="str">
        <f>IFERROR(VLOOKUP(C1367,'Neraca Saldo'!$B$6:$C$56,2,0),"")</f>
        <v>Pendapatan Toko</v>
      </c>
      <c r="E1367" s="258" t="s">
        <v>1175</v>
      </c>
      <c r="F1367" s="244" t="s">
        <v>77</v>
      </c>
      <c r="G1367" s="239"/>
      <c r="H1367" s="240">
        <f>I1366</f>
        <v>0</v>
      </c>
      <c r="I1367" s="240">
        <f>H1366</f>
        <v>3903850</v>
      </c>
    </row>
    <row r="1368" spans="2:9" ht="12.75" hidden="1" customHeight="1" x14ac:dyDescent="0.2">
      <c r="B1368" s="238">
        <v>45987</v>
      </c>
      <c r="C1368" s="239">
        <v>111</v>
      </c>
      <c r="D1368" s="239" t="str">
        <f>IFERROR(VLOOKUP(C1368,'Neraca Saldo'!$B$6:$C$56,2,0),"")</f>
        <v>Bank</v>
      </c>
      <c r="E1368" s="206" t="s">
        <v>1176</v>
      </c>
      <c r="F1368" s="244" t="s">
        <v>77</v>
      </c>
      <c r="G1368" s="239"/>
      <c r="H1368" s="245">
        <v>150000</v>
      </c>
      <c r="I1368" s="240">
        <v>0</v>
      </c>
    </row>
    <row r="1369" spans="2:9" ht="12.75" hidden="1" customHeight="1" x14ac:dyDescent="0.2">
      <c r="B1369" s="238">
        <v>45987</v>
      </c>
      <c r="C1369" s="239">
        <v>212</v>
      </c>
      <c r="D1369" s="239" t="str">
        <f>IFERROR(VLOOKUP(C1369,'Neraca Saldo'!$B$6:$C$56,2,0),"")</f>
        <v>Simpanan Karyawan</v>
      </c>
      <c r="E1369" s="206" t="s">
        <v>1176</v>
      </c>
      <c r="F1369" s="244" t="s">
        <v>77</v>
      </c>
      <c r="G1369" s="239"/>
      <c r="H1369" s="240">
        <f>I1368</f>
        <v>0</v>
      </c>
      <c r="I1369" s="240">
        <f>H1368</f>
        <v>150000</v>
      </c>
    </row>
    <row r="1370" spans="2:9" ht="12.75" hidden="1" customHeight="1" x14ac:dyDescent="0.2">
      <c r="B1370" s="238">
        <v>45987</v>
      </c>
      <c r="C1370" s="239">
        <v>111</v>
      </c>
      <c r="D1370" s="239" t="str">
        <f>IFERROR(VLOOKUP(C1370,'Neraca Saldo'!$B$6:$C$56,2,0),"")</f>
        <v>Bank</v>
      </c>
      <c r="E1370" s="206" t="s">
        <v>1177</v>
      </c>
      <c r="F1370" s="244" t="s">
        <v>77</v>
      </c>
      <c r="G1370" s="239"/>
      <c r="H1370" s="245">
        <v>63600000</v>
      </c>
      <c r="I1370" s="240">
        <v>0</v>
      </c>
    </row>
    <row r="1371" spans="2:9" ht="12.75" hidden="1" customHeight="1" x14ac:dyDescent="0.2">
      <c r="B1371" s="238">
        <v>45987</v>
      </c>
      <c r="C1371" s="239">
        <v>212</v>
      </c>
      <c r="D1371" s="239" t="str">
        <f>IFERROR(VLOOKUP(C1371,'Neraca Saldo'!$B$6:$C$56,2,0),"")</f>
        <v>Simpanan Karyawan</v>
      </c>
      <c r="E1371" s="206" t="s">
        <v>1177</v>
      </c>
      <c r="F1371" s="244" t="s">
        <v>77</v>
      </c>
      <c r="G1371" s="239"/>
      <c r="H1371" s="240">
        <f>I1370</f>
        <v>0</v>
      </c>
      <c r="I1371" s="240">
        <f>H1370</f>
        <v>63600000</v>
      </c>
    </row>
    <row r="1372" spans="2:9" ht="12.75" hidden="1" customHeight="1" x14ac:dyDescent="0.2">
      <c r="B1372" s="238">
        <v>45987</v>
      </c>
      <c r="C1372" s="239">
        <v>111</v>
      </c>
      <c r="D1372" s="239" t="str">
        <f>IFERROR(VLOOKUP(C1372,'Neraca Saldo'!$B$6:$C$56,2,0),"")</f>
        <v>Bank</v>
      </c>
      <c r="E1372" s="206" t="s">
        <v>1178</v>
      </c>
      <c r="F1372" s="244" t="s">
        <v>77</v>
      </c>
      <c r="G1372" s="239"/>
      <c r="H1372" s="245">
        <v>35541800</v>
      </c>
      <c r="I1372" s="240">
        <v>0</v>
      </c>
    </row>
    <row r="1373" spans="2:9" ht="12.75" hidden="1" customHeight="1" x14ac:dyDescent="0.2">
      <c r="B1373" s="238">
        <v>45987</v>
      </c>
      <c r="C1373" s="239">
        <v>212</v>
      </c>
      <c r="D1373" s="239" t="str">
        <f>IFERROR(VLOOKUP(C1373,'Neraca Saldo'!$B$6:$C$56,2,0),"")</f>
        <v>Simpanan Karyawan</v>
      </c>
      <c r="E1373" s="206" t="s">
        <v>1178</v>
      </c>
      <c r="F1373" s="244" t="s">
        <v>77</v>
      </c>
      <c r="G1373" s="239"/>
      <c r="H1373" s="240">
        <f t="shared" ref="H1373:H1433" si="30">I1372</f>
        <v>0</v>
      </c>
      <c r="I1373" s="240">
        <f t="shared" ref="I1373:I1433" si="31">H1372</f>
        <v>35541800</v>
      </c>
    </row>
    <row r="1374" spans="2:9" ht="12.75" hidden="1" customHeight="1" x14ac:dyDescent="0.2">
      <c r="B1374" s="238">
        <v>45987</v>
      </c>
      <c r="C1374" s="239">
        <v>111</v>
      </c>
      <c r="D1374" s="239" t="str">
        <f>IFERROR(VLOOKUP(C1374,'Neraca Saldo'!$B$6:$C$56,2,0),"")</f>
        <v>Bank</v>
      </c>
      <c r="E1374" s="206" t="s">
        <v>1179</v>
      </c>
      <c r="F1374" s="244" t="s">
        <v>77</v>
      </c>
      <c r="G1374" s="239"/>
      <c r="H1374" s="245">
        <v>7525000</v>
      </c>
      <c r="I1374" s="240">
        <v>0</v>
      </c>
    </row>
    <row r="1375" spans="2:9" ht="12.75" hidden="1" customHeight="1" x14ac:dyDescent="0.2">
      <c r="B1375" s="238">
        <v>45987</v>
      </c>
      <c r="C1375" s="239">
        <v>222</v>
      </c>
      <c r="D1375" s="239" t="str">
        <f>IFERROR(VLOOKUP(C1375,'Neraca Saldo'!$B$6:$C$56,2,0),"")</f>
        <v>Hutang SPN</v>
      </c>
      <c r="E1375" s="206" t="s">
        <v>1179</v>
      </c>
      <c r="F1375" s="244" t="s">
        <v>77</v>
      </c>
      <c r="G1375" s="239"/>
      <c r="H1375" s="240">
        <f t="shared" si="30"/>
        <v>0</v>
      </c>
      <c r="I1375" s="240">
        <f t="shared" si="31"/>
        <v>7525000</v>
      </c>
    </row>
    <row r="1376" spans="2:9" ht="12.75" hidden="1" customHeight="1" x14ac:dyDescent="0.2">
      <c r="B1376" s="238">
        <v>45987</v>
      </c>
      <c r="C1376" s="239">
        <v>111</v>
      </c>
      <c r="D1376" s="239" t="str">
        <f>IFERROR(VLOOKUP(C1376,'Neraca Saldo'!$B$6:$C$56,2,0),"")</f>
        <v>Bank</v>
      </c>
      <c r="E1376" s="206" t="s">
        <v>1180</v>
      </c>
      <c r="F1376" s="244" t="s">
        <v>77</v>
      </c>
      <c r="G1376" s="239"/>
      <c r="H1376" s="245">
        <v>83349355</v>
      </c>
      <c r="I1376" s="240">
        <v>0</v>
      </c>
    </row>
    <row r="1377" spans="2:9" ht="12.75" hidden="1" customHeight="1" x14ac:dyDescent="0.2">
      <c r="B1377" s="238">
        <v>45987</v>
      </c>
      <c r="C1377" s="239">
        <v>121</v>
      </c>
      <c r="D1377" s="239" t="str">
        <f>IFERROR(VLOOKUP(C1377,'Neraca Saldo'!$B$6:$C$56,2,0),"")</f>
        <v>Piutang Anggota</v>
      </c>
      <c r="E1377" s="206" t="s">
        <v>1180</v>
      </c>
      <c r="F1377" s="244" t="s">
        <v>77</v>
      </c>
      <c r="G1377" s="239"/>
      <c r="H1377" s="240">
        <f t="shared" si="30"/>
        <v>0</v>
      </c>
      <c r="I1377" s="240">
        <f t="shared" si="31"/>
        <v>83349355</v>
      </c>
    </row>
    <row r="1378" spans="2:9" ht="12.75" hidden="1" customHeight="1" x14ac:dyDescent="0.2">
      <c r="B1378" s="238">
        <v>45987</v>
      </c>
      <c r="C1378" s="239">
        <v>111</v>
      </c>
      <c r="D1378" s="239" t="str">
        <f>IFERROR(VLOOKUP(C1378,'Neraca Saldo'!$B$6:$C$56,2,0),"")</f>
        <v>Bank</v>
      </c>
      <c r="E1378" s="206" t="s">
        <v>1181</v>
      </c>
      <c r="F1378" s="244" t="s">
        <v>77</v>
      </c>
      <c r="G1378" s="239"/>
      <c r="H1378" s="245">
        <v>184998876</v>
      </c>
      <c r="I1378" s="240">
        <v>0</v>
      </c>
    </row>
    <row r="1379" spans="2:9" ht="12.75" hidden="1" customHeight="1" x14ac:dyDescent="0.2">
      <c r="B1379" s="238">
        <v>45987</v>
      </c>
      <c r="C1379" s="239">
        <v>121</v>
      </c>
      <c r="D1379" s="239" t="str">
        <f>IFERROR(VLOOKUP(C1379,'Neraca Saldo'!$B$6:$C$56,2,0),"")</f>
        <v>Piutang Anggota</v>
      </c>
      <c r="E1379" s="206" t="s">
        <v>1181</v>
      </c>
      <c r="F1379" s="244" t="s">
        <v>77</v>
      </c>
      <c r="G1379" s="239"/>
      <c r="H1379" s="240">
        <f t="shared" si="30"/>
        <v>0</v>
      </c>
      <c r="I1379" s="240">
        <f t="shared" si="31"/>
        <v>184998876</v>
      </c>
    </row>
    <row r="1380" spans="2:9" ht="12.75" hidden="1" customHeight="1" x14ac:dyDescent="0.2">
      <c r="B1380" s="238">
        <v>45987</v>
      </c>
      <c r="C1380" s="239">
        <v>111</v>
      </c>
      <c r="D1380" s="239" t="str">
        <f>IFERROR(VLOOKUP(C1380,'Neraca Saldo'!$B$6:$C$56,2,0),"")</f>
        <v>Bank</v>
      </c>
      <c r="E1380" s="206" t="s">
        <v>1182</v>
      </c>
      <c r="F1380" s="244" t="s">
        <v>77</v>
      </c>
      <c r="G1380" s="239"/>
      <c r="H1380" s="245">
        <v>7100000</v>
      </c>
      <c r="I1380" s="240">
        <v>0</v>
      </c>
    </row>
    <row r="1381" spans="2:9" ht="12.75" hidden="1" customHeight="1" x14ac:dyDescent="0.2">
      <c r="B1381" s="238">
        <v>45987</v>
      </c>
      <c r="C1381" s="239">
        <v>411</v>
      </c>
      <c r="D1381" s="239" t="str">
        <f>IFERROR(VLOOKUP(C1381,'Neraca Saldo'!$B$6:$C$56,2,0),"")</f>
        <v>Pendapatan Toko</v>
      </c>
      <c r="E1381" s="206" t="s">
        <v>1182</v>
      </c>
      <c r="F1381" s="244" t="s">
        <v>77</v>
      </c>
      <c r="G1381" s="239"/>
      <c r="H1381" s="240">
        <f t="shared" si="30"/>
        <v>0</v>
      </c>
      <c r="I1381" s="240">
        <f t="shared" si="31"/>
        <v>7100000</v>
      </c>
    </row>
    <row r="1382" spans="2:9" ht="12.75" hidden="1" customHeight="1" x14ac:dyDescent="0.2">
      <c r="B1382" s="238">
        <v>45987</v>
      </c>
      <c r="C1382" s="239">
        <v>111</v>
      </c>
      <c r="D1382" s="239" t="str">
        <f>IFERROR(VLOOKUP(C1382,'Neraca Saldo'!$B$6:$C$56,2,0),"")</f>
        <v>Bank</v>
      </c>
      <c r="E1382" s="206" t="s">
        <v>1183</v>
      </c>
      <c r="F1382" s="244" t="s">
        <v>77</v>
      </c>
      <c r="G1382" s="239"/>
      <c r="H1382" s="245">
        <v>1840000</v>
      </c>
      <c r="I1382" s="240">
        <v>0</v>
      </c>
    </row>
    <row r="1383" spans="2:9" ht="12.75" hidden="1" customHeight="1" x14ac:dyDescent="0.2">
      <c r="B1383" s="238">
        <v>45987</v>
      </c>
      <c r="C1383" s="239">
        <v>121</v>
      </c>
      <c r="D1383" s="239" t="str">
        <f>IFERROR(VLOOKUP(C1383,'Neraca Saldo'!$B$6:$C$56,2,0),"")</f>
        <v>Piutang Anggota</v>
      </c>
      <c r="E1383" s="206" t="s">
        <v>1183</v>
      </c>
      <c r="F1383" s="244" t="s">
        <v>77</v>
      </c>
      <c r="G1383" s="239"/>
      <c r="H1383" s="240">
        <f t="shared" si="30"/>
        <v>0</v>
      </c>
      <c r="I1383" s="240">
        <f t="shared" si="31"/>
        <v>1840000</v>
      </c>
    </row>
    <row r="1384" spans="2:9" ht="12.75" hidden="1" customHeight="1" x14ac:dyDescent="0.2">
      <c r="B1384" s="231">
        <v>45989</v>
      </c>
      <c r="C1384" s="232">
        <v>411</v>
      </c>
      <c r="D1384" s="232" t="str">
        <f>IFERROR(VLOOKUP(C1384,'Neraca Saldo'!$B$6:$C$56,2,0),"")</f>
        <v>Pendapatan Toko</v>
      </c>
      <c r="E1384" s="259" t="s">
        <v>1175</v>
      </c>
      <c r="F1384" s="234" t="s">
        <v>77</v>
      </c>
      <c r="G1384" s="232"/>
      <c r="H1384" s="246">
        <v>3903850</v>
      </c>
      <c r="I1384" s="236">
        <v>0</v>
      </c>
    </row>
    <row r="1385" spans="2:9" ht="12.75" hidden="1" customHeight="1" x14ac:dyDescent="0.2">
      <c r="B1385" s="231">
        <v>45989</v>
      </c>
      <c r="C1385" s="232">
        <v>111</v>
      </c>
      <c r="D1385" s="232" t="str">
        <f>IFERROR(VLOOKUP(C1385,'Neraca Saldo'!$B$6:$C$56,2,0),"")</f>
        <v>Bank</v>
      </c>
      <c r="E1385" s="259" t="s">
        <v>1175</v>
      </c>
      <c r="F1385" s="234" t="s">
        <v>77</v>
      </c>
      <c r="G1385" s="232"/>
      <c r="H1385" s="236">
        <f t="shared" si="30"/>
        <v>0</v>
      </c>
      <c r="I1385" s="236">
        <f t="shared" si="31"/>
        <v>3903850</v>
      </c>
    </row>
    <row r="1386" spans="2:9" ht="12.75" hidden="1" customHeight="1" x14ac:dyDescent="0.2">
      <c r="B1386" s="231">
        <v>45989</v>
      </c>
      <c r="C1386" s="232">
        <v>124</v>
      </c>
      <c r="D1386" s="232" t="str">
        <f>IFERROR(VLOOKUP(C1386,'Neraca Saldo'!$B$6:$C$56,2,0),"")</f>
        <v>Piutang USP</v>
      </c>
      <c r="E1386" s="205" t="s">
        <v>1178</v>
      </c>
      <c r="F1386" s="234" t="s">
        <v>77</v>
      </c>
      <c r="G1386" s="232"/>
      <c r="H1386" s="246">
        <v>35541800</v>
      </c>
      <c r="I1386" s="236">
        <v>0</v>
      </c>
    </row>
    <row r="1387" spans="2:9" ht="12.75" hidden="1" customHeight="1" x14ac:dyDescent="0.2">
      <c r="B1387" s="231">
        <v>45989</v>
      </c>
      <c r="C1387" s="232">
        <v>111</v>
      </c>
      <c r="D1387" s="232" t="str">
        <f>IFERROR(VLOOKUP(C1387,'Neraca Saldo'!$B$6:$C$56,2,0),"")</f>
        <v>Bank</v>
      </c>
      <c r="E1387" s="205" t="s">
        <v>1178</v>
      </c>
      <c r="F1387" s="234" t="s">
        <v>77</v>
      </c>
      <c r="G1387" s="232"/>
      <c r="H1387" s="236">
        <f t="shared" si="30"/>
        <v>0</v>
      </c>
      <c r="I1387" s="236">
        <f t="shared" si="31"/>
        <v>35541800</v>
      </c>
    </row>
    <row r="1388" spans="2:9" ht="12.75" hidden="1" customHeight="1" x14ac:dyDescent="0.2">
      <c r="B1388" s="231">
        <v>45989</v>
      </c>
      <c r="C1388" s="232">
        <v>222</v>
      </c>
      <c r="D1388" s="232" t="str">
        <f>IFERROR(VLOOKUP(C1388,'Neraca Saldo'!$B$6:$C$56,2,0),"")</f>
        <v>Hutang SPN</v>
      </c>
      <c r="E1388" s="205" t="s">
        <v>1179</v>
      </c>
      <c r="F1388" s="234" t="s">
        <v>77</v>
      </c>
      <c r="G1388" s="232"/>
      <c r="H1388" s="246">
        <v>7525000</v>
      </c>
      <c r="I1388" s="236">
        <v>0</v>
      </c>
    </row>
    <row r="1389" spans="2:9" ht="12.75" hidden="1" customHeight="1" x14ac:dyDescent="0.2">
      <c r="B1389" s="231">
        <v>45989</v>
      </c>
      <c r="C1389" s="232">
        <v>111</v>
      </c>
      <c r="D1389" s="232" t="str">
        <f>IFERROR(VLOOKUP(C1389,'Neraca Saldo'!$B$6:$C$56,2,0),"")</f>
        <v>Bank</v>
      </c>
      <c r="E1389" s="205" t="s">
        <v>1179</v>
      </c>
      <c r="F1389" s="234" t="s">
        <v>77</v>
      </c>
      <c r="G1389" s="232"/>
      <c r="H1389" s="236">
        <f t="shared" si="30"/>
        <v>0</v>
      </c>
      <c r="I1389" s="236">
        <f t="shared" si="31"/>
        <v>7525000</v>
      </c>
    </row>
    <row r="1390" spans="2:9" ht="12.75" hidden="1" customHeight="1" x14ac:dyDescent="0.2">
      <c r="B1390" s="231">
        <v>45989</v>
      </c>
      <c r="C1390" s="232">
        <v>126</v>
      </c>
      <c r="D1390" s="232" t="str">
        <f>IFERROR(VLOOKUP(C1390,'Neraca Saldo'!$B$6:$C$56,2,0),"")</f>
        <v>Piutang Pengadaan</v>
      </c>
      <c r="E1390" s="205" t="s">
        <v>1180</v>
      </c>
      <c r="F1390" s="234" t="s">
        <v>77</v>
      </c>
      <c r="G1390" s="232"/>
      <c r="H1390" s="246">
        <v>83349355</v>
      </c>
      <c r="I1390" s="236">
        <v>0</v>
      </c>
    </row>
    <row r="1391" spans="2:9" ht="12.75" hidden="1" customHeight="1" x14ac:dyDescent="0.2">
      <c r="B1391" s="231">
        <v>45989</v>
      </c>
      <c r="C1391" s="232">
        <v>111</v>
      </c>
      <c r="D1391" s="232" t="str">
        <f>IFERROR(VLOOKUP(C1391,'Neraca Saldo'!$B$6:$C$56,2,0),"")</f>
        <v>Bank</v>
      </c>
      <c r="E1391" s="205" t="s">
        <v>1180</v>
      </c>
      <c r="F1391" s="234" t="s">
        <v>77</v>
      </c>
      <c r="G1391" s="232"/>
      <c r="H1391" s="236">
        <f t="shared" si="30"/>
        <v>0</v>
      </c>
      <c r="I1391" s="236">
        <f t="shared" si="31"/>
        <v>83349355</v>
      </c>
    </row>
    <row r="1392" spans="2:9" ht="12.75" hidden="1" customHeight="1" x14ac:dyDescent="0.2">
      <c r="B1392" s="231">
        <v>45989</v>
      </c>
      <c r="C1392" s="232">
        <v>124</v>
      </c>
      <c r="D1392" s="232" t="str">
        <f>IFERROR(VLOOKUP(C1392,'Neraca Saldo'!$B$6:$C$56,2,0),"")</f>
        <v>Piutang USP</v>
      </c>
      <c r="E1392" s="205" t="s">
        <v>1181</v>
      </c>
      <c r="F1392" s="234" t="s">
        <v>77</v>
      </c>
      <c r="G1392" s="232"/>
      <c r="H1392" s="246">
        <v>184998876</v>
      </c>
      <c r="I1392" s="236">
        <v>0</v>
      </c>
    </row>
    <row r="1393" spans="2:9" ht="12.75" hidden="1" customHeight="1" x14ac:dyDescent="0.2">
      <c r="B1393" s="231">
        <v>45989</v>
      </c>
      <c r="C1393" s="232">
        <v>111</v>
      </c>
      <c r="D1393" s="232" t="str">
        <f>IFERROR(VLOOKUP(C1393,'Neraca Saldo'!$B$6:$C$56,2,0),"")</f>
        <v>Bank</v>
      </c>
      <c r="E1393" s="205" t="s">
        <v>1181</v>
      </c>
      <c r="F1393" s="234" t="s">
        <v>77</v>
      </c>
      <c r="G1393" s="232"/>
      <c r="H1393" s="236">
        <f t="shared" si="30"/>
        <v>0</v>
      </c>
      <c r="I1393" s="236">
        <f t="shared" si="31"/>
        <v>184998876</v>
      </c>
    </row>
    <row r="1394" spans="2:9" ht="12.75" hidden="1" customHeight="1" x14ac:dyDescent="0.2">
      <c r="B1394" s="231">
        <v>45989</v>
      </c>
      <c r="C1394" s="232">
        <v>411</v>
      </c>
      <c r="D1394" s="232" t="str">
        <f>IFERROR(VLOOKUP(C1394,'Neraca Saldo'!$B$6:$C$56,2,0),"")</f>
        <v>Pendapatan Toko</v>
      </c>
      <c r="E1394" s="205" t="s">
        <v>1182</v>
      </c>
      <c r="F1394" s="234" t="s">
        <v>77</v>
      </c>
      <c r="G1394" s="232"/>
      <c r="H1394" s="246">
        <v>7100000</v>
      </c>
      <c r="I1394" s="236">
        <v>0</v>
      </c>
    </row>
    <row r="1395" spans="2:9" ht="12.75" hidden="1" customHeight="1" x14ac:dyDescent="0.2">
      <c r="B1395" s="231">
        <v>45989</v>
      </c>
      <c r="C1395" s="232">
        <v>111</v>
      </c>
      <c r="D1395" s="232" t="str">
        <f>IFERROR(VLOOKUP(C1395,'Neraca Saldo'!$B$6:$C$56,2,0),"")</f>
        <v>Bank</v>
      </c>
      <c r="E1395" s="205" t="s">
        <v>1182</v>
      </c>
      <c r="F1395" s="234" t="s">
        <v>77</v>
      </c>
      <c r="G1395" s="232"/>
      <c r="H1395" s="236">
        <f t="shared" si="30"/>
        <v>0</v>
      </c>
      <c r="I1395" s="236">
        <f t="shared" si="31"/>
        <v>7100000</v>
      </c>
    </row>
    <row r="1396" spans="2:9" ht="12.75" hidden="1" customHeight="1" x14ac:dyDescent="0.2">
      <c r="B1396" s="231">
        <v>45989</v>
      </c>
      <c r="C1396" s="232">
        <v>126</v>
      </c>
      <c r="D1396" s="232" t="str">
        <f>IFERROR(VLOOKUP(C1396,'Neraca Saldo'!$B$6:$C$56,2,0),"")</f>
        <v>Piutang Pengadaan</v>
      </c>
      <c r="E1396" s="205" t="s">
        <v>1183</v>
      </c>
      <c r="F1396" s="234" t="s">
        <v>77</v>
      </c>
      <c r="G1396" s="232"/>
      <c r="H1396" s="246">
        <v>1840000</v>
      </c>
      <c r="I1396" s="236">
        <v>0</v>
      </c>
    </row>
    <row r="1397" spans="2:9" ht="12.75" hidden="1" customHeight="1" x14ac:dyDescent="0.2">
      <c r="B1397" s="231">
        <v>45989</v>
      </c>
      <c r="C1397" s="232">
        <v>111</v>
      </c>
      <c r="D1397" s="232" t="str">
        <f>IFERROR(VLOOKUP(C1397,'Neraca Saldo'!$B$6:$C$56,2,0),"")</f>
        <v>Bank</v>
      </c>
      <c r="E1397" s="205" t="s">
        <v>1183</v>
      </c>
      <c r="F1397" s="232" t="s">
        <v>77</v>
      </c>
      <c r="G1397" s="232"/>
      <c r="H1397" s="236">
        <f t="shared" si="30"/>
        <v>0</v>
      </c>
      <c r="I1397" s="236">
        <f t="shared" si="31"/>
        <v>1840000</v>
      </c>
    </row>
    <row r="1398" spans="2:9" ht="12.75" hidden="1" customHeight="1" x14ac:dyDescent="0.2">
      <c r="B1398" s="231">
        <v>45989</v>
      </c>
      <c r="C1398" s="232">
        <v>124</v>
      </c>
      <c r="D1398" s="232" t="str">
        <f>IFERROR(VLOOKUP(C1398,'Neraca Saldo'!$B$6:$C$56,2,0),"")</f>
        <v>Piutang USP</v>
      </c>
      <c r="E1398" s="233" t="s">
        <v>947</v>
      </c>
      <c r="F1398" s="232" t="s">
        <v>77</v>
      </c>
      <c r="G1398" s="232"/>
      <c r="H1398" s="196">
        <v>20000000</v>
      </c>
      <c r="I1398" s="236">
        <v>0</v>
      </c>
    </row>
    <row r="1399" spans="2:9" ht="12.75" hidden="1" customHeight="1" x14ac:dyDescent="0.2">
      <c r="B1399" s="231">
        <v>45989</v>
      </c>
      <c r="C1399" s="232">
        <v>111</v>
      </c>
      <c r="D1399" s="232" t="str">
        <f>IFERROR(VLOOKUP(C1399,'Neraca Saldo'!$B$6:$C$56,2,0),"")</f>
        <v>Bank</v>
      </c>
      <c r="E1399" s="233" t="s">
        <v>947</v>
      </c>
      <c r="F1399" s="232" t="s">
        <v>77</v>
      </c>
      <c r="G1399" s="232"/>
      <c r="H1399" s="236">
        <f t="shared" si="30"/>
        <v>0</v>
      </c>
      <c r="I1399" s="236">
        <f t="shared" si="31"/>
        <v>20000000</v>
      </c>
    </row>
    <row r="1400" spans="2:9" ht="12.75" hidden="1" customHeight="1" x14ac:dyDescent="0.2">
      <c r="B1400" s="238">
        <v>45989</v>
      </c>
      <c r="C1400" s="239">
        <v>111</v>
      </c>
      <c r="D1400" s="239" t="str">
        <f>IFERROR(VLOOKUP(C1400,'Neraca Saldo'!$B$6:$C$56,2,0),"")</f>
        <v>Bank</v>
      </c>
      <c r="E1400" s="258" t="s">
        <v>1184</v>
      </c>
      <c r="F1400" s="239" t="s">
        <v>77</v>
      </c>
      <c r="G1400" s="239"/>
      <c r="H1400" s="245">
        <v>1000000</v>
      </c>
      <c r="I1400" s="240">
        <v>0</v>
      </c>
    </row>
    <row r="1401" spans="2:9" ht="12.75" hidden="1" customHeight="1" x14ac:dyDescent="0.2">
      <c r="B1401" s="238">
        <v>45989</v>
      </c>
      <c r="C1401" s="239">
        <v>124</v>
      </c>
      <c r="D1401" s="239" t="str">
        <f>IFERROR(VLOOKUP(C1401,'Neraca Saldo'!$B$6:$C$56,2,0),"")</f>
        <v>Piutang USP</v>
      </c>
      <c r="E1401" s="258" t="s">
        <v>1184</v>
      </c>
      <c r="F1401" s="239" t="s">
        <v>77</v>
      </c>
      <c r="G1401" s="239"/>
      <c r="H1401" s="240">
        <f t="shared" si="30"/>
        <v>0</v>
      </c>
      <c r="I1401" s="240">
        <f t="shared" si="31"/>
        <v>1000000</v>
      </c>
    </row>
    <row r="1402" spans="2:9" ht="12.75" hidden="1" customHeight="1" x14ac:dyDescent="0.2">
      <c r="B1402" s="231">
        <v>45989</v>
      </c>
      <c r="C1402" s="232">
        <v>126</v>
      </c>
      <c r="D1402" s="232" t="str">
        <f>IFERROR(VLOOKUP(C1402,'Neraca Saldo'!$B$6:$C$56,2,0),"")</f>
        <v>Piutang Pengadaan</v>
      </c>
      <c r="E1402" s="259" t="s">
        <v>836</v>
      </c>
      <c r="F1402" s="232" t="s">
        <v>77</v>
      </c>
      <c r="G1402" s="232"/>
      <c r="H1402" s="196">
        <v>15000000</v>
      </c>
      <c r="I1402" s="236">
        <v>0</v>
      </c>
    </row>
    <row r="1403" spans="2:9" ht="12.75" hidden="1" customHeight="1" x14ac:dyDescent="0.2">
      <c r="B1403" s="231">
        <v>45989</v>
      </c>
      <c r="C1403" s="232">
        <v>111</v>
      </c>
      <c r="D1403" s="232" t="str">
        <f>IFERROR(VLOOKUP(C1403,'Neraca Saldo'!$B$6:$C$56,2,0),"")</f>
        <v>Bank</v>
      </c>
      <c r="E1403" s="259" t="s">
        <v>836</v>
      </c>
      <c r="F1403" s="232" t="s">
        <v>77</v>
      </c>
      <c r="G1403" s="232"/>
      <c r="H1403" s="236">
        <f t="shared" si="30"/>
        <v>0</v>
      </c>
      <c r="I1403" s="236">
        <f t="shared" si="31"/>
        <v>15000000</v>
      </c>
    </row>
    <row r="1404" spans="2:9" ht="12.75" hidden="1" customHeight="1" x14ac:dyDescent="0.2">
      <c r="B1404" s="231">
        <v>45989</v>
      </c>
      <c r="C1404" s="232">
        <v>112</v>
      </c>
      <c r="D1404" s="232" t="str">
        <f>IFERROR(VLOOKUP(C1404,'Neraca Saldo'!$B$6:$C$56,2,0),"")</f>
        <v>Kas</v>
      </c>
      <c r="E1404" s="232" t="s">
        <v>838</v>
      </c>
      <c r="F1404" s="234" t="s">
        <v>77</v>
      </c>
      <c r="G1404" s="232"/>
      <c r="H1404" s="196">
        <v>10000000</v>
      </c>
      <c r="I1404" s="236">
        <v>0</v>
      </c>
    </row>
    <row r="1405" spans="2:9" ht="12.75" hidden="1" customHeight="1" x14ac:dyDescent="0.2">
      <c r="B1405" s="231">
        <v>45989</v>
      </c>
      <c r="C1405" s="232">
        <v>111</v>
      </c>
      <c r="D1405" s="232" t="str">
        <f>IFERROR(VLOOKUP(C1405,'Neraca Saldo'!$B$6:$C$56,2,0),"")</f>
        <v>Bank</v>
      </c>
      <c r="E1405" s="232" t="s">
        <v>838</v>
      </c>
      <c r="F1405" s="234" t="s">
        <v>77</v>
      </c>
      <c r="G1405" s="232"/>
      <c r="H1405" s="236">
        <f t="shared" si="30"/>
        <v>0</v>
      </c>
      <c r="I1405" s="236">
        <f t="shared" si="31"/>
        <v>10000000</v>
      </c>
    </row>
    <row r="1406" spans="2:9" ht="12.75" customHeight="1" x14ac:dyDescent="0.2">
      <c r="B1406" s="231">
        <v>45989</v>
      </c>
      <c r="C1406" s="232">
        <v>513</v>
      </c>
      <c r="D1406" s="232" t="str">
        <f>IFERROR(VLOOKUP(C1406,'Neraca Saldo'!$B$6:$C$56,2,0),"")</f>
        <v>Beban Pengurus dan Anggota</v>
      </c>
      <c r="E1406" s="259" t="s">
        <v>1185</v>
      </c>
      <c r="F1406" s="234" t="s">
        <v>77</v>
      </c>
      <c r="G1406" s="232"/>
      <c r="H1406" s="196">
        <v>10810000</v>
      </c>
      <c r="I1406" s="236">
        <v>0</v>
      </c>
    </row>
    <row r="1407" spans="2:9" ht="12.75" hidden="1" customHeight="1" x14ac:dyDescent="0.2">
      <c r="B1407" s="231">
        <v>45989</v>
      </c>
      <c r="C1407" s="232">
        <v>111</v>
      </c>
      <c r="D1407" s="232" t="str">
        <f>IFERROR(VLOOKUP(C1407,'Neraca Saldo'!$B$6:$C$56,2,0),"")</f>
        <v>Bank</v>
      </c>
      <c r="E1407" s="259" t="s">
        <v>1185</v>
      </c>
      <c r="F1407" s="234" t="s">
        <v>77</v>
      </c>
      <c r="G1407" s="232"/>
      <c r="H1407" s="236">
        <f t="shared" si="30"/>
        <v>0</v>
      </c>
      <c r="I1407" s="236">
        <f t="shared" si="31"/>
        <v>10810000</v>
      </c>
    </row>
    <row r="1408" spans="2:9" ht="12.75" hidden="1" customHeight="1" x14ac:dyDescent="0.2">
      <c r="B1408" s="288">
        <v>45989</v>
      </c>
      <c r="C1408" s="289">
        <v>523</v>
      </c>
      <c r="D1408" s="289" t="str">
        <f>IFERROR(VLOOKUP(C1408,'Neraca Saldo'!$B$6:$C$56,2,0),"")</f>
        <v>Beban RAT</v>
      </c>
      <c r="E1408" s="290" t="s">
        <v>1186</v>
      </c>
      <c r="F1408" s="291" t="s">
        <v>77</v>
      </c>
      <c r="G1408" s="289"/>
      <c r="H1408" s="292">
        <v>3000000</v>
      </c>
      <c r="I1408" s="293">
        <v>0</v>
      </c>
    </row>
    <row r="1409" spans="2:9" ht="12.75" hidden="1" customHeight="1" x14ac:dyDescent="0.2">
      <c r="B1409" s="288">
        <v>45989</v>
      </c>
      <c r="C1409" s="289">
        <v>111</v>
      </c>
      <c r="D1409" s="289" t="str">
        <f>IFERROR(VLOOKUP(C1409,'Neraca Saldo'!$B$6:$C$56,2,0),"")</f>
        <v>Bank</v>
      </c>
      <c r="E1409" s="290" t="s">
        <v>1186</v>
      </c>
      <c r="F1409" s="291" t="s">
        <v>77</v>
      </c>
      <c r="G1409" s="289"/>
      <c r="H1409" s="293">
        <f t="shared" si="30"/>
        <v>0</v>
      </c>
      <c r="I1409" s="293">
        <f t="shared" si="31"/>
        <v>3000000</v>
      </c>
    </row>
    <row r="1410" spans="2:9" ht="12.75" hidden="1" customHeight="1" x14ac:dyDescent="0.2">
      <c r="B1410" s="231">
        <v>45989</v>
      </c>
      <c r="C1410" s="232">
        <v>124</v>
      </c>
      <c r="D1410" s="232" t="str">
        <f>IFERROR(VLOOKUP(C1410,'Neraca Saldo'!$B$6:$C$56,2,0),"")</f>
        <v>Piutang USP</v>
      </c>
      <c r="E1410" s="259" t="s">
        <v>1166</v>
      </c>
      <c r="F1410" s="234" t="s">
        <v>77</v>
      </c>
      <c r="G1410" s="232"/>
      <c r="H1410" s="196">
        <v>2442300</v>
      </c>
      <c r="I1410" s="236">
        <v>0</v>
      </c>
    </row>
    <row r="1411" spans="2:9" ht="12.75" hidden="1" customHeight="1" x14ac:dyDescent="0.2">
      <c r="B1411" s="231">
        <v>45989</v>
      </c>
      <c r="C1411" s="232">
        <v>111</v>
      </c>
      <c r="D1411" s="232" t="str">
        <f>IFERROR(VLOOKUP(C1411,'Neraca Saldo'!$B$6:$C$56,2,0),"")</f>
        <v>Bank</v>
      </c>
      <c r="E1411" s="259" t="s">
        <v>1166</v>
      </c>
      <c r="F1411" s="234" t="s">
        <v>77</v>
      </c>
      <c r="G1411" s="232"/>
      <c r="H1411" s="236">
        <f t="shared" si="30"/>
        <v>0</v>
      </c>
      <c r="I1411" s="236">
        <f t="shared" si="31"/>
        <v>2442300</v>
      </c>
    </row>
    <row r="1412" spans="2:9" ht="12.75" hidden="1" customHeight="1" x14ac:dyDescent="0.2">
      <c r="B1412" s="238">
        <v>45990</v>
      </c>
      <c r="C1412" s="239">
        <v>111</v>
      </c>
      <c r="D1412" s="239" t="str">
        <f>IFERROR(VLOOKUP(C1412,'Neraca Saldo'!$B$6:$C$56,2,0),"")</f>
        <v>Bank</v>
      </c>
      <c r="E1412" s="258" t="s">
        <v>1048</v>
      </c>
      <c r="F1412" s="244" t="s">
        <v>77</v>
      </c>
      <c r="G1412" s="239"/>
      <c r="H1412" s="245">
        <v>200000</v>
      </c>
      <c r="I1412" s="240">
        <v>0</v>
      </c>
    </row>
    <row r="1413" spans="2:9" ht="12.75" hidden="1" customHeight="1" x14ac:dyDescent="0.2">
      <c r="B1413" s="238">
        <v>45990</v>
      </c>
      <c r="C1413" s="239">
        <v>212</v>
      </c>
      <c r="D1413" s="239" t="str">
        <f>IFERROR(VLOOKUP(C1413,'Neraca Saldo'!$B$6:$C$56,2,0),"")</f>
        <v>Simpanan Karyawan</v>
      </c>
      <c r="E1413" s="258" t="s">
        <v>1048</v>
      </c>
      <c r="F1413" s="244" t="s">
        <v>77</v>
      </c>
      <c r="G1413" s="239"/>
      <c r="H1413" s="240">
        <f t="shared" si="30"/>
        <v>0</v>
      </c>
      <c r="I1413" s="240">
        <f t="shared" si="31"/>
        <v>200000</v>
      </c>
    </row>
    <row r="1414" spans="2:9" ht="12.75" hidden="1" customHeight="1" x14ac:dyDescent="0.2">
      <c r="B1414" s="238">
        <v>45991</v>
      </c>
      <c r="C1414" s="239">
        <v>111</v>
      </c>
      <c r="D1414" s="239" t="str">
        <f>IFERROR(VLOOKUP(C1414,'Neraca Saldo'!$B$6:$C$56,2,0),"")</f>
        <v>Bank</v>
      </c>
      <c r="E1414" s="216" t="s">
        <v>57</v>
      </c>
      <c r="F1414" s="239" t="s">
        <v>77</v>
      </c>
      <c r="G1414" s="239"/>
      <c r="H1414" s="245">
        <v>17528</v>
      </c>
      <c r="I1414" s="240">
        <v>0</v>
      </c>
    </row>
    <row r="1415" spans="2:9" ht="12.75" hidden="1" customHeight="1" x14ac:dyDescent="0.2">
      <c r="B1415" s="238">
        <v>45991</v>
      </c>
      <c r="C1415" s="239">
        <v>413</v>
      </c>
      <c r="D1415" s="239" t="str">
        <f>IFERROR(VLOOKUP(C1415,'Neraca Saldo'!$B$6:$C$56,2,0),"")</f>
        <v>Pendapatan Jasa Bank</v>
      </c>
      <c r="E1415" s="216" t="s">
        <v>57</v>
      </c>
      <c r="F1415" s="239" t="s">
        <v>77</v>
      </c>
      <c r="G1415" s="239"/>
      <c r="H1415" s="240">
        <f t="shared" si="30"/>
        <v>0</v>
      </c>
      <c r="I1415" s="240">
        <f t="shared" si="31"/>
        <v>17528</v>
      </c>
    </row>
    <row r="1416" spans="2:9" ht="12.75" hidden="1" customHeight="1" x14ac:dyDescent="0.2">
      <c r="B1416" s="231">
        <v>45991</v>
      </c>
      <c r="C1416" s="232">
        <v>521</v>
      </c>
      <c r="D1416" s="232" t="str">
        <f>IFERROR(VLOOKUP(C1416,'Neraca Saldo'!$B$6:$C$56,2,0),"")</f>
        <v>Beban Biaya Bank</v>
      </c>
      <c r="E1416" s="260" t="s">
        <v>94</v>
      </c>
      <c r="F1416" s="232" t="s">
        <v>77</v>
      </c>
      <c r="G1416" s="232"/>
      <c r="H1416" s="196">
        <v>3506</v>
      </c>
      <c r="I1416" s="236">
        <v>0</v>
      </c>
    </row>
    <row r="1417" spans="2:9" ht="12.75" hidden="1" customHeight="1" x14ac:dyDescent="0.2">
      <c r="B1417" s="231">
        <v>45991</v>
      </c>
      <c r="C1417" s="232">
        <v>111</v>
      </c>
      <c r="D1417" s="232" t="str">
        <f>IFERROR(VLOOKUP(C1417,'Neraca Saldo'!$B$6:$C$56,2,0),"")</f>
        <v>Bank</v>
      </c>
      <c r="E1417" s="260" t="s">
        <v>94</v>
      </c>
      <c r="F1417" s="232" t="s">
        <v>77</v>
      </c>
      <c r="G1417" s="232"/>
      <c r="H1417" s="236">
        <f t="shared" si="30"/>
        <v>0</v>
      </c>
      <c r="I1417" s="236">
        <f t="shared" si="31"/>
        <v>3506</v>
      </c>
    </row>
    <row r="1418" spans="2:9" ht="12.75" hidden="1" customHeight="1" x14ac:dyDescent="0.2">
      <c r="B1418" s="231">
        <v>45991</v>
      </c>
      <c r="C1418" s="232">
        <v>521</v>
      </c>
      <c r="D1418" s="232" t="str">
        <f>IFERROR(VLOOKUP(C1418,'Neraca Saldo'!$B$6:$C$56,2,0),"")</f>
        <v>Beban Biaya Bank</v>
      </c>
      <c r="E1418" s="260" t="s">
        <v>95</v>
      </c>
      <c r="F1418" s="232" t="s">
        <v>77</v>
      </c>
      <c r="G1418" s="232"/>
      <c r="H1418" s="196">
        <v>10000</v>
      </c>
      <c r="I1418" s="236">
        <v>0</v>
      </c>
    </row>
    <row r="1419" spans="2:9" ht="12.75" hidden="1" customHeight="1" x14ac:dyDescent="0.2">
      <c r="B1419" s="231">
        <v>45991</v>
      </c>
      <c r="C1419" s="232">
        <v>111</v>
      </c>
      <c r="D1419" s="232" t="str">
        <f>IFERROR(VLOOKUP(C1419,'Neraca Saldo'!$B$6:$C$56,2,0),"")</f>
        <v>Bank</v>
      </c>
      <c r="E1419" s="260" t="s">
        <v>95</v>
      </c>
      <c r="F1419" s="232" t="s">
        <v>77</v>
      </c>
      <c r="G1419" s="232"/>
      <c r="H1419" s="236">
        <f t="shared" si="30"/>
        <v>0</v>
      </c>
      <c r="I1419" s="236">
        <f t="shared" si="31"/>
        <v>10000</v>
      </c>
    </row>
    <row r="1420" spans="2:9" ht="12.75" hidden="1" customHeight="1" x14ac:dyDescent="0.2">
      <c r="B1420" s="231">
        <v>45992</v>
      </c>
      <c r="C1420" s="232">
        <v>515</v>
      </c>
      <c r="D1420" s="232" t="str">
        <f>IFERROR(VLOOKUP(C1420,'Neraca Saldo'!$B$6:$C$56,2,0),"")</f>
        <v>Beban Gaji</v>
      </c>
      <c r="E1420" s="194" t="s">
        <v>1187</v>
      </c>
      <c r="F1420" s="234" t="s">
        <v>838</v>
      </c>
      <c r="G1420" s="232"/>
      <c r="H1420" s="188">
        <v>2180000</v>
      </c>
      <c r="I1420" s="236">
        <v>0</v>
      </c>
    </row>
    <row r="1421" spans="2:9" ht="12.75" hidden="1" customHeight="1" x14ac:dyDescent="0.2">
      <c r="B1421" s="231">
        <v>45992</v>
      </c>
      <c r="C1421" s="232">
        <v>112</v>
      </c>
      <c r="D1421" s="232" t="str">
        <f>IFERROR(VLOOKUP(C1421,'Neraca Saldo'!$B$6:$C$56,2,0),"")</f>
        <v>Kas</v>
      </c>
      <c r="E1421" s="194" t="s">
        <v>1187</v>
      </c>
      <c r="F1421" s="234" t="s">
        <v>838</v>
      </c>
      <c r="G1421" s="232"/>
      <c r="H1421" s="236">
        <f t="shared" si="30"/>
        <v>0</v>
      </c>
      <c r="I1421" s="236">
        <f t="shared" si="31"/>
        <v>2180000</v>
      </c>
    </row>
    <row r="1422" spans="2:9" ht="12.75" hidden="1" customHeight="1" x14ac:dyDescent="0.2">
      <c r="B1422" s="231">
        <v>45992</v>
      </c>
      <c r="C1422" s="232">
        <v>515</v>
      </c>
      <c r="D1422" s="232" t="str">
        <f>IFERROR(VLOOKUP(C1422,'Neraca Saldo'!$B$6:$C$56,2,0),"")</f>
        <v>Beban Gaji</v>
      </c>
      <c r="E1422" s="194" t="s">
        <v>1188</v>
      </c>
      <c r="F1422" s="234" t="s">
        <v>838</v>
      </c>
      <c r="G1422" s="232"/>
      <c r="H1422" s="188">
        <v>2320000</v>
      </c>
      <c r="I1422" s="236">
        <v>0</v>
      </c>
    </row>
    <row r="1423" spans="2:9" ht="12.75" hidden="1" customHeight="1" x14ac:dyDescent="0.2">
      <c r="B1423" s="231">
        <v>45992</v>
      </c>
      <c r="C1423" s="232">
        <v>112</v>
      </c>
      <c r="D1423" s="232" t="str">
        <f>IFERROR(VLOOKUP(C1423,'Neraca Saldo'!$B$6:$C$56,2,0),"")</f>
        <v>Kas</v>
      </c>
      <c r="E1423" s="194" t="s">
        <v>1188</v>
      </c>
      <c r="F1423" s="234" t="s">
        <v>838</v>
      </c>
      <c r="G1423" s="232"/>
      <c r="H1423" s="236">
        <f t="shared" si="30"/>
        <v>0</v>
      </c>
      <c r="I1423" s="236">
        <f t="shared" si="31"/>
        <v>2320000</v>
      </c>
    </row>
    <row r="1424" spans="2:9" ht="12.75" hidden="1" customHeight="1" x14ac:dyDescent="0.2">
      <c r="B1424" s="231">
        <v>45992</v>
      </c>
      <c r="C1424" s="232">
        <v>515</v>
      </c>
      <c r="D1424" s="232" t="str">
        <f>IFERROR(VLOOKUP(C1424,'Neraca Saldo'!$B$6:$C$56,2,0),"")</f>
        <v>Beban Gaji</v>
      </c>
      <c r="E1424" s="194" t="s">
        <v>1189</v>
      </c>
      <c r="F1424" s="234" t="s">
        <v>838</v>
      </c>
      <c r="G1424" s="232"/>
      <c r="H1424" s="188">
        <v>5500000</v>
      </c>
      <c r="I1424" s="236">
        <v>0</v>
      </c>
    </row>
    <row r="1425" spans="2:9" ht="12.75" hidden="1" customHeight="1" x14ac:dyDescent="0.2">
      <c r="B1425" s="231">
        <v>45992</v>
      </c>
      <c r="C1425" s="232">
        <v>112</v>
      </c>
      <c r="D1425" s="232" t="str">
        <f>IFERROR(VLOOKUP(C1425,'Neraca Saldo'!$B$6:$C$56,2,0),"")</f>
        <v>Kas</v>
      </c>
      <c r="E1425" s="194" t="s">
        <v>1189</v>
      </c>
      <c r="F1425" s="234" t="s">
        <v>838</v>
      </c>
      <c r="G1425" s="232"/>
      <c r="H1425" s="236">
        <f t="shared" si="30"/>
        <v>0</v>
      </c>
      <c r="I1425" s="236">
        <f t="shared" si="31"/>
        <v>5500000</v>
      </c>
    </row>
    <row r="1426" spans="2:9" ht="12.75" hidden="1" customHeight="1" x14ac:dyDescent="0.2">
      <c r="B1426" s="238">
        <v>45992</v>
      </c>
      <c r="C1426" s="239">
        <v>111</v>
      </c>
      <c r="D1426" s="239" t="str">
        <f>IFERROR(VLOOKUP(C1426,'Neraca Saldo'!$B$6:$C$56,2,0),"")</f>
        <v>Bank</v>
      </c>
      <c r="E1426" s="258" t="s">
        <v>1015</v>
      </c>
      <c r="F1426" s="244" t="s">
        <v>77</v>
      </c>
      <c r="G1426" s="239"/>
      <c r="H1426" s="245">
        <v>200000</v>
      </c>
      <c r="I1426" s="240">
        <v>0</v>
      </c>
    </row>
    <row r="1427" spans="2:9" ht="12.75" hidden="1" customHeight="1" x14ac:dyDescent="0.2">
      <c r="B1427" s="238">
        <v>45992</v>
      </c>
      <c r="C1427" s="239">
        <v>212</v>
      </c>
      <c r="D1427" s="239" t="str">
        <f>IFERROR(VLOOKUP(C1427,'Neraca Saldo'!$B$6:$C$56,2,0),"")</f>
        <v>Simpanan Karyawan</v>
      </c>
      <c r="E1427" s="258" t="s">
        <v>1015</v>
      </c>
      <c r="F1427" s="244" t="s">
        <v>77</v>
      </c>
      <c r="G1427" s="239"/>
      <c r="H1427" s="240">
        <f t="shared" si="30"/>
        <v>0</v>
      </c>
      <c r="I1427" s="240">
        <f t="shared" si="31"/>
        <v>200000</v>
      </c>
    </row>
    <row r="1428" spans="2:9" ht="12.75" hidden="1" customHeight="1" x14ac:dyDescent="0.2">
      <c r="B1428" s="238">
        <v>45992</v>
      </c>
      <c r="C1428" s="239">
        <v>111</v>
      </c>
      <c r="D1428" s="239" t="str">
        <f>IFERROR(VLOOKUP(C1428,'Neraca Saldo'!$B$6:$C$56,2,0),"")</f>
        <v>Bank</v>
      </c>
      <c r="E1428" s="258" t="s">
        <v>1047</v>
      </c>
      <c r="F1428" s="244" t="s">
        <v>77</v>
      </c>
      <c r="G1428" s="239"/>
      <c r="H1428" s="245">
        <v>200000</v>
      </c>
      <c r="I1428" s="240">
        <v>0</v>
      </c>
    </row>
    <row r="1429" spans="2:9" ht="12.75" hidden="1" customHeight="1" x14ac:dyDescent="0.2">
      <c r="B1429" s="238">
        <v>45992</v>
      </c>
      <c r="C1429" s="239">
        <v>212</v>
      </c>
      <c r="D1429" s="239" t="str">
        <f>IFERROR(VLOOKUP(C1429,'Neraca Saldo'!$B$6:$C$56,2,0),"")</f>
        <v>Simpanan Karyawan</v>
      </c>
      <c r="E1429" s="258" t="s">
        <v>1047</v>
      </c>
      <c r="F1429" s="244" t="s">
        <v>77</v>
      </c>
      <c r="G1429" s="239"/>
      <c r="H1429" s="240">
        <f t="shared" si="30"/>
        <v>0</v>
      </c>
      <c r="I1429" s="240">
        <f t="shared" si="31"/>
        <v>200000</v>
      </c>
    </row>
    <row r="1430" spans="2:9" ht="12.75" hidden="1" customHeight="1" x14ac:dyDescent="0.2">
      <c r="B1430" s="238">
        <v>45992</v>
      </c>
      <c r="C1430" s="239">
        <v>111</v>
      </c>
      <c r="D1430" s="239" t="str">
        <f>IFERROR(VLOOKUP(C1430,'Neraca Saldo'!$B$6:$C$56,2,0),"")</f>
        <v>Bank</v>
      </c>
      <c r="E1430" s="258" t="s">
        <v>1100</v>
      </c>
      <c r="F1430" s="244" t="s">
        <v>77</v>
      </c>
      <c r="G1430" s="239"/>
      <c r="H1430" s="245">
        <v>200000</v>
      </c>
      <c r="I1430" s="240">
        <v>0</v>
      </c>
    </row>
    <row r="1431" spans="2:9" ht="12.75" hidden="1" customHeight="1" x14ac:dyDescent="0.2">
      <c r="B1431" s="238">
        <v>45992</v>
      </c>
      <c r="C1431" s="239">
        <v>212</v>
      </c>
      <c r="D1431" s="239" t="str">
        <f>IFERROR(VLOOKUP(C1431,'Neraca Saldo'!$B$6:$C$56,2,0),"")</f>
        <v>Simpanan Karyawan</v>
      </c>
      <c r="E1431" s="258" t="s">
        <v>1100</v>
      </c>
      <c r="F1431" s="244" t="s">
        <v>77</v>
      </c>
      <c r="G1431" s="239"/>
      <c r="H1431" s="240">
        <f t="shared" si="30"/>
        <v>0</v>
      </c>
      <c r="I1431" s="240">
        <f t="shared" si="31"/>
        <v>200000</v>
      </c>
    </row>
    <row r="1432" spans="2:9" ht="12.75" hidden="1" customHeight="1" x14ac:dyDescent="0.2">
      <c r="B1432" s="238">
        <v>45992</v>
      </c>
      <c r="C1432" s="239">
        <v>111</v>
      </c>
      <c r="D1432" s="239" t="str">
        <f>IFERROR(VLOOKUP(C1432,'Neraca Saldo'!$B$6:$C$56,2,0),"")</f>
        <v>Bank</v>
      </c>
      <c r="E1432" s="258" t="s">
        <v>1152</v>
      </c>
      <c r="F1432" s="244" t="s">
        <v>77</v>
      </c>
      <c r="G1432" s="239"/>
      <c r="H1432" s="245">
        <v>200000</v>
      </c>
      <c r="I1432" s="240">
        <v>0</v>
      </c>
    </row>
    <row r="1433" spans="2:9" ht="12.75" hidden="1" customHeight="1" x14ac:dyDescent="0.2">
      <c r="B1433" s="238">
        <v>45992</v>
      </c>
      <c r="C1433" s="239">
        <v>212</v>
      </c>
      <c r="D1433" s="239" t="str">
        <f>IFERROR(VLOOKUP(C1433,'Neraca Saldo'!$B$6:$C$56,2,0),"")</f>
        <v>Simpanan Karyawan</v>
      </c>
      <c r="E1433" s="258" t="s">
        <v>1152</v>
      </c>
      <c r="F1433" s="244" t="s">
        <v>77</v>
      </c>
      <c r="G1433" s="239"/>
      <c r="H1433" s="240">
        <f t="shared" si="30"/>
        <v>0</v>
      </c>
      <c r="I1433" s="240">
        <f t="shared" si="31"/>
        <v>200000</v>
      </c>
    </row>
    <row r="1434" spans="2:9" ht="12.75" hidden="1" customHeight="1" x14ac:dyDescent="0.2">
      <c r="B1434" s="238">
        <v>45992</v>
      </c>
      <c r="C1434" s="239">
        <v>111</v>
      </c>
      <c r="D1434" s="239" t="str">
        <f>IFERROR(VLOOKUP(C1434,'Neraca Saldo'!$B$6:$C$56,2,0),"")</f>
        <v>Bank</v>
      </c>
      <c r="E1434" s="258" t="s">
        <v>927</v>
      </c>
      <c r="F1434" s="244" t="s">
        <v>77</v>
      </c>
      <c r="G1434" s="239"/>
      <c r="H1434" s="245">
        <v>700000</v>
      </c>
      <c r="I1434" s="240">
        <v>0</v>
      </c>
    </row>
    <row r="1435" spans="2:9" ht="12.75" hidden="1" customHeight="1" x14ac:dyDescent="0.2">
      <c r="B1435" s="238">
        <v>45992</v>
      </c>
      <c r="C1435" s="239">
        <v>212</v>
      </c>
      <c r="D1435" s="239" t="str">
        <f>IFERROR(VLOOKUP(C1435,'Neraca Saldo'!$B$6:$C$56,2,0),"")</f>
        <v>Simpanan Karyawan</v>
      </c>
      <c r="E1435" s="258" t="s">
        <v>927</v>
      </c>
      <c r="F1435" s="244" t="s">
        <v>77</v>
      </c>
      <c r="G1435" s="239"/>
      <c r="H1435" s="240">
        <f t="shared" ref="H1435:H1493" si="32">I1434</f>
        <v>0</v>
      </c>
      <c r="I1435" s="240">
        <f t="shared" ref="I1435:I1493" si="33">H1434</f>
        <v>700000</v>
      </c>
    </row>
    <row r="1436" spans="2:9" ht="12.75" hidden="1" customHeight="1" x14ac:dyDescent="0.2">
      <c r="B1436" s="238">
        <v>45992</v>
      </c>
      <c r="C1436" s="239">
        <v>111</v>
      </c>
      <c r="D1436" s="239" t="str">
        <f>IFERROR(VLOOKUP(C1436,'Neraca Saldo'!$B$6:$C$56,2,0),"")</f>
        <v>Bank</v>
      </c>
      <c r="E1436" s="258" t="s">
        <v>964</v>
      </c>
      <c r="F1436" s="244" t="s">
        <v>77</v>
      </c>
      <c r="G1436" s="239"/>
      <c r="H1436" s="245">
        <v>400000</v>
      </c>
      <c r="I1436" s="240">
        <v>0</v>
      </c>
    </row>
    <row r="1437" spans="2:9" ht="12.75" hidden="1" customHeight="1" x14ac:dyDescent="0.2">
      <c r="B1437" s="238">
        <v>45992</v>
      </c>
      <c r="C1437" s="239">
        <v>212</v>
      </c>
      <c r="D1437" s="239" t="str">
        <f>IFERROR(VLOOKUP(C1437,'Neraca Saldo'!$B$6:$C$56,2,0),"")</f>
        <v>Simpanan Karyawan</v>
      </c>
      <c r="E1437" s="258" t="s">
        <v>964</v>
      </c>
      <c r="F1437" s="244" t="s">
        <v>77</v>
      </c>
      <c r="G1437" s="239"/>
      <c r="H1437" s="240">
        <f t="shared" si="32"/>
        <v>0</v>
      </c>
      <c r="I1437" s="240">
        <f t="shared" si="33"/>
        <v>400000</v>
      </c>
    </row>
    <row r="1438" spans="2:9" ht="12.75" hidden="1" customHeight="1" x14ac:dyDescent="0.2">
      <c r="B1438" s="238">
        <v>45992</v>
      </c>
      <c r="C1438" s="239">
        <v>111</v>
      </c>
      <c r="D1438" s="239" t="str">
        <f>IFERROR(VLOOKUP(C1438,'Neraca Saldo'!$B$6:$C$56,2,0),"")</f>
        <v>Bank</v>
      </c>
      <c r="E1438" s="258" t="s">
        <v>1049</v>
      </c>
      <c r="F1438" s="244" t="s">
        <v>77</v>
      </c>
      <c r="G1438" s="239"/>
      <c r="H1438" s="245">
        <v>600000</v>
      </c>
      <c r="I1438" s="240">
        <v>0</v>
      </c>
    </row>
    <row r="1439" spans="2:9" ht="12.75" hidden="1" customHeight="1" x14ac:dyDescent="0.2">
      <c r="B1439" s="238">
        <v>45992</v>
      </c>
      <c r="C1439" s="239">
        <v>212</v>
      </c>
      <c r="D1439" s="239" t="str">
        <f>IFERROR(VLOOKUP(C1439,'Neraca Saldo'!$B$6:$C$56,2,0),"")</f>
        <v>Simpanan Karyawan</v>
      </c>
      <c r="E1439" s="258" t="s">
        <v>1049</v>
      </c>
      <c r="F1439" s="244" t="s">
        <v>77</v>
      </c>
      <c r="G1439" s="239"/>
      <c r="H1439" s="240">
        <f t="shared" si="32"/>
        <v>0</v>
      </c>
      <c r="I1439" s="240">
        <f t="shared" si="33"/>
        <v>600000</v>
      </c>
    </row>
    <row r="1440" spans="2:9" ht="12.75" hidden="1" customHeight="1" x14ac:dyDescent="0.2">
      <c r="B1440" s="238">
        <v>45992</v>
      </c>
      <c r="C1440" s="239">
        <v>111</v>
      </c>
      <c r="D1440" s="239" t="str">
        <f>IFERROR(VLOOKUP(C1440,'Neraca Saldo'!$B$6:$C$56,2,0),"")</f>
        <v>Bank</v>
      </c>
      <c r="E1440" s="258" t="s">
        <v>1050</v>
      </c>
      <c r="F1440" s="244" t="s">
        <v>77</v>
      </c>
      <c r="G1440" s="239"/>
      <c r="H1440" s="245">
        <v>450000</v>
      </c>
      <c r="I1440" s="240">
        <v>0</v>
      </c>
    </row>
    <row r="1441" spans="2:9" ht="12.75" hidden="1" customHeight="1" x14ac:dyDescent="0.2">
      <c r="B1441" s="238">
        <v>45992</v>
      </c>
      <c r="C1441" s="239">
        <v>212</v>
      </c>
      <c r="D1441" s="239" t="str">
        <f>IFERROR(VLOOKUP(C1441,'Neraca Saldo'!$B$6:$C$56,2,0),"")</f>
        <v>Simpanan Karyawan</v>
      </c>
      <c r="E1441" s="258" t="s">
        <v>1050</v>
      </c>
      <c r="F1441" s="244" t="s">
        <v>77</v>
      </c>
      <c r="G1441" s="239"/>
      <c r="H1441" s="240">
        <f t="shared" si="32"/>
        <v>0</v>
      </c>
      <c r="I1441" s="240">
        <f t="shared" si="33"/>
        <v>450000</v>
      </c>
    </row>
    <row r="1442" spans="2:9" ht="12.75" hidden="1" customHeight="1" x14ac:dyDescent="0.2">
      <c r="B1442" s="238">
        <v>45992</v>
      </c>
      <c r="C1442" s="239">
        <v>111</v>
      </c>
      <c r="D1442" s="239" t="str">
        <f>IFERROR(VLOOKUP(C1442,'Neraca Saldo'!$B$6:$C$56,2,0),"")</f>
        <v>Bank</v>
      </c>
      <c r="E1442" s="258" t="s">
        <v>1077</v>
      </c>
      <c r="F1442" s="244" t="s">
        <v>77</v>
      </c>
      <c r="G1442" s="239"/>
      <c r="H1442" s="245">
        <v>550000</v>
      </c>
      <c r="I1442" s="240">
        <v>0</v>
      </c>
    </row>
    <row r="1443" spans="2:9" ht="12.75" hidden="1" customHeight="1" x14ac:dyDescent="0.2">
      <c r="B1443" s="238">
        <v>45992</v>
      </c>
      <c r="C1443" s="239">
        <v>212</v>
      </c>
      <c r="D1443" s="239" t="str">
        <f>IFERROR(VLOOKUP(C1443,'Neraca Saldo'!$B$6:$C$56,2,0),"")</f>
        <v>Simpanan Karyawan</v>
      </c>
      <c r="E1443" s="258" t="s">
        <v>1077</v>
      </c>
      <c r="F1443" s="244" t="s">
        <v>77</v>
      </c>
      <c r="G1443" s="239"/>
      <c r="H1443" s="240">
        <f t="shared" si="32"/>
        <v>0</v>
      </c>
      <c r="I1443" s="240">
        <f t="shared" si="33"/>
        <v>550000</v>
      </c>
    </row>
    <row r="1444" spans="2:9" ht="12.75" hidden="1" customHeight="1" x14ac:dyDescent="0.2">
      <c r="B1444" s="238">
        <v>45992</v>
      </c>
      <c r="C1444" s="239">
        <v>111</v>
      </c>
      <c r="D1444" s="239" t="str">
        <f>IFERROR(VLOOKUP(C1444,'Neraca Saldo'!$B$6:$C$56,2,0),"")</f>
        <v>Bank</v>
      </c>
      <c r="E1444" s="258" t="s">
        <v>1190</v>
      </c>
      <c r="F1444" s="244" t="s">
        <v>77</v>
      </c>
      <c r="G1444" s="239"/>
      <c r="H1444" s="245">
        <v>350000</v>
      </c>
      <c r="I1444" s="240">
        <v>0</v>
      </c>
    </row>
    <row r="1445" spans="2:9" ht="12.75" hidden="1" customHeight="1" x14ac:dyDescent="0.2">
      <c r="B1445" s="238">
        <v>45992</v>
      </c>
      <c r="C1445" s="239">
        <v>212</v>
      </c>
      <c r="D1445" s="239" t="str">
        <f>IFERROR(VLOOKUP(C1445,'Neraca Saldo'!$B$6:$C$56,2,0),"")</f>
        <v>Simpanan Karyawan</v>
      </c>
      <c r="E1445" s="258" t="s">
        <v>1190</v>
      </c>
      <c r="F1445" s="244" t="s">
        <v>77</v>
      </c>
      <c r="G1445" s="239"/>
      <c r="H1445" s="240">
        <f t="shared" si="32"/>
        <v>0</v>
      </c>
      <c r="I1445" s="240">
        <f t="shared" si="33"/>
        <v>350000</v>
      </c>
    </row>
    <row r="1446" spans="2:9" ht="12.75" hidden="1" customHeight="1" x14ac:dyDescent="0.2">
      <c r="B1446" s="238">
        <v>45992</v>
      </c>
      <c r="C1446" s="239">
        <v>111</v>
      </c>
      <c r="D1446" s="239" t="str">
        <f>IFERROR(VLOOKUP(C1446,'Neraca Saldo'!$B$6:$C$56,2,0),"")</f>
        <v>Bank</v>
      </c>
      <c r="E1446" s="258" t="s">
        <v>1021</v>
      </c>
      <c r="F1446" s="244" t="s">
        <v>77</v>
      </c>
      <c r="G1446" s="239"/>
      <c r="H1446" s="245">
        <v>200000</v>
      </c>
      <c r="I1446" s="240">
        <v>0</v>
      </c>
    </row>
    <row r="1447" spans="2:9" ht="12.75" hidden="1" customHeight="1" x14ac:dyDescent="0.2">
      <c r="B1447" s="238">
        <v>45992</v>
      </c>
      <c r="C1447" s="239">
        <v>212</v>
      </c>
      <c r="D1447" s="239" t="str">
        <f>IFERROR(VLOOKUP(C1447,'Neraca Saldo'!$B$6:$C$56,2,0),"")</f>
        <v>Simpanan Karyawan</v>
      </c>
      <c r="E1447" s="258" t="s">
        <v>1021</v>
      </c>
      <c r="F1447" s="244" t="s">
        <v>77</v>
      </c>
      <c r="G1447" s="239"/>
      <c r="H1447" s="240">
        <f t="shared" si="32"/>
        <v>0</v>
      </c>
      <c r="I1447" s="240">
        <f t="shared" si="33"/>
        <v>200000</v>
      </c>
    </row>
    <row r="1448" spans="2:9" ht="12.75" hidden="1" customHeight="1" x14ac:dyDescent="0.2">
      <c r="B1448" s="238">
        <v>45992</v>
      </c>
      <c r="C1448" s="239">
        <v>111</v>
      </c>
      <c r="D1448" s="239" t="str">
        <f>IFERROR(VLOOKUP(C1448,'Neraca Saldo'!$B$6:$C$56,2,0),"")</f>
        <v>Bank</v>
      </c>
      <c r="E1448" s="258" t="s">
        <v>1127</v>
      </c>
      <c r="F1448" s="244" t="s">
        <v>77</v>
      </c>
      <c r="G1448" s="239"/>
      <c r="H1448" s="245">
        <v>200000</v>
      </c>
      <c r="I1448" s="240">
        <v>0</v>
      </c>
    </row>
    <row r="1449" spans="2:9" ht="12.75" hidden="1" customHeight="1" x14ac:dyDescent="0.2">
      <c r="B1449" s="238">
        <v>45992</v>
      </c>
      <c r="C1449" s="239">
        <v>212</v>
      </c>
      <c r="D1449" s="239" t="str">
        <f>IFERROR(VLOOKUP(C1449,'Neraca Saldo'!$B$6:$C$56,2,0),"")</f>
        <v>Simpanan Karyawan</v>
      </c>
      <c r="E1449" s="258" t="s">
        <v>1127</v>
      </c>
      <c r="F1449" s="244" t="s">
        <v>77</v>
      </c>
      <c r="G1449" s="239"/>
      <c r="H1449" s="240">
        <f t="shared" si="32"/>
        <v>0</v>
      </c>
      <c r="I1449" s="240">
        <f t="shared" si="33"/>
        <v>200000</v>
      </c>
    </row>
    <row r="1450" spans="2:9" ht="12.75" hidden="1" customHeight="1" x14ac:dyDescent="0.2">
      <c r="B1450" s="238">
        <v>45992</v>
      </c>
      <c r="C1450" s="239">
        <v>111</v>
      </c>
      <c r="D1450" s="239" t="str">
        <f>IFERROR(VLOOKUP(C1450,'Neraca Saldo'!$B$6:$C$56,2,0),"")</f>
        <v>Bank</v>
      </c>
      <c r="E1450" s="258" t="s">
        <v>1023</v>
      </c>
      <c r="F1450" s="244" t="s">
        <v>77</v>
      </c>
      <c r="G1450" s="239"/>
      <c r="H1450" s="245">
        <v>200000</v>
      </c>
      <c r="I1450" s="240">
        <v>0</v>
      </c>
    </row>
    <row r="1451" spans="2:9" ht="12.75" hidden="1" customHeight="1" x14ac:dyDescent="0.2">
      <c r="B1451" s="238">
        <v>45992</v>
      </c>
      <c r="C1451" s="239">
        <v>212</v>
      </c>
      <c r="D1451" s="239" t="str">
        <f>IFERROR(VLOOKUP(C1451,'Neraca Saldo'!$B$6:$C$56,2,0),"")</f>
        <v>Simpanan Karyawan</v>
      </c>
      <c r="E1451" s="258" t="s">
        <v>1023</v>
      </c>
      <c r="F1451" s="244" t="s">
        <v>77</v>
      </c>
      <c r="G1451" s="239"/>
      <c r="H1451" s="240">
        <f t="shared" si="32"/>
        <v>0</v>
      </c>
      <c r="I1451" s="240">
        <f t="shared" si="33"/>
        <v>200000</v>
      </c>
    </row>
    <row r="1452" spans="2:9" ht="12.75" hidden="1" customHeight="1" x14ac:dyDescent="0.2">
      <c r="B1452" s="238">
        <v>45992</v>
      </c>
      <c r="C1452" s="239">
        <v>111</v>
      </c>
      <c r="D1452" s="239" t="str">
        <f>IFERROR(VLOOKUP(C1452,'Neraca Saldo'!$B$6:$C$56,2,0),"")</f>
        <v>Bank</v>
      </c>
      <c r="E1452" s="258" t="s">
        <v>1018</v>
      </c>
      <c r="F1452" s="244" t="s">
        <v>77</v>
      </c>
      <c r="G1452" s="239"/>
      <c r="H1452" s="245">
        <v>200000</v>
      </c>
      <c r="I1452" s="240">
        <v>0</v>
      </c>
    </row>
    <row r="1453" spans="2:9" ht="12.75" hidden="1" customHeight="1" x14ac:dyDescent="0.2">
      <c r="B1453" s="238">
        <v>45992</v>
      </c>
      <c r="C1453" s="239">
        <v>212</v>
      </c>
      <c r="D1453" s="239" t="str">
        <f>IFERROR(VLOOKUP(C1453,'Neraca Saldo'!$B$6:$C$56,2,0),"")</f>
        <v>Simpanan Karyawan</v>
      </c>
      <c r="E1453" s="258" t="s">
        <v>1018</v>
      </c>
      <c r="F1453" s="244" t="s">
        <v>77</v>
      </c>
      <c r="G1453" s="239"/>
      <c r="H1453" s="240">
        <f t="shared" si="32"/>
        <v>0</v>
      </c>
      <c r="I1453" s="240">
        <f t="shared" si="33"/>
        <v>200000</v>
      </c>
    </row>
    <row r="1454" spans="2:9" ht="12.75" hidden="1" customHeight="1" x14ac:dyDescent="0.2">
      <c r="B1454" s="238">
        <v>45992</v>
      </c>
      <c r="C1454" s="239">
        <v>111</v>
      </c>
      <c r="D1454" s="239" t="str">
        <f>IFERROR(VLOOKUP(C1454,'Neraca Saldo'!$B$6:$C$56,2,0),"")</f>
        <v>Bank</v>
      </c>
      <c r="E1454" s="258" t="s">
        <v>1103</v>
      </c>
      <c r="F1454" s="244" t="s">
        <v>77</v>
      </c>
      <c r="G1454" s="239"/>
      <c r="H1454" s="245">
        <v>200000</v>
      </c>
      <c r="I1454" s="240">
        <v>0</v>
      </c>
    </row>
    <row r="1455" spans="2:9" ht="12.75" hidden="1" customHeight="1" x14ac:dyDescent="0.2">
      <c r="B1455" s="238">
        <v>45992</v>
      </c>
      <c r="C1455" s="239">
        <v>212</v>
      </c>
      <c r="D1455" s="239" t="str">
        <f>IFERROR(VLOOKUP(C1455,'Neraca Saldo'!$B$6:$C$56,2,0),"")</f>
        <v>Simpanan Karyawan</v>
      </c>
      <c r="E1455" s="258" t="s">
        <v>1103</v>
      </c>
      <c r="F1455" s="244" t="s">
        <v>77</v>
      </c>
      <c r="G1455" s="239"/>
      <c r="H1455" s="240">
        <f t="shared" si="32"/>
        <v>0</v>
      </c>
      <c r="I1455" s="240">
        <f t="shared" si="33"/>
        <v>200000</v>
      </c>
    </row>
    <row r="1456" spans="2:9" ht="12.75" hidden="1" customHeight="1" x14ac:dyDescent="0.2">
      <c r="B1456" s="238">
        <v>45992</v>
      </c>
      <c r="C1456" s="239">
        <v>111</v>
      </c>
      <c r="D1456" s="239" t="str">
        <f>IFERROR(VLOOKUP(C1456,'Neraca Saldo'!$B$6:$C$56,2,0),"")</f>
        <v>Bank</v>
      </c>
      <c r="E1456" s="258" t="s">
        <v>1067</v>
      </c>
      <c r="F1456" s="244" t="s">
        <v>77</v>
      </c>
      <c r="G1456" s="239"/>
      <c r="H1456" s="245">
        <v>200000</v>
      </c>
      <c r="I1456" s="240">
        <v>0</v>
      </c>
    </row>
    <row r="1457" spans="2:9" ht="12.75" hidden="1" customHeight="1" x14ac:dyDescent="0.2">
      <c r="B1457" s="238">
        <v>45992</v>
      </c>
      <c r="C1457" s="239">
        <v>212</v>
      </c>
      <c r="D1457" s="239" t="str">
        <f>IFERROR(VLOOKUP(C1457,'Neraca Saldo'!$B$6:$C$56,2,0),"")</f>
        <v>Simpanan Karyawan</v>
      </c>
      <c r="E1457" s="258" t="s">
        <v>1067</v>
      </c>
      <c r="F1457" s="244" t="s">
        <v>77</v>
      </c>
      <c r="G1457" s="239"/>
      <c r="H1457" s="240">
        <f t="shared" si="32"/>
        <v>0</v>
      </c>
      <c r="I1457" s="240">
        <f t="shared" si="33"/>
        <v>200000</v>
      </c>
    </row>
    <row r="1458" spans="2:9" ht="12.75" hidden="1" customHeight="1" x14ac:dyDescent="0.2">
      <c r="B1458" s="238">
        <v>45992</v>
      </c>
      <c r="C1458" s="239">
        <v>111</v>
      </c>
      <c r="D1458" s="239" t="str">
        <f>IFERROR(VLOOKUP(C1458,'Neraca Saldo'!$B$6:$C$56,2,0),"")</f>
        <v>Bank</v>
      </c>
      <c r="E1458" s="258" t="s">
        <v>1101</v>
      </c>
      <c r="F1458" s="244" t="s">
        <v>77</v>
      </c>
      <c r="G1458" s="239"/>
      <c r="H1458" s="245">
        <v>81000</v>
      </c>
      <c r="I1458" s="240">
        <v>0</v>
      </c>
    </row>
    <row r="1459" spans="2:9" ht="12.75" hidden="1" customHeight="1" x14ac:dyDescent="0.2">
      <c r="B1459" s="238">
        <v>45992</v>
      </c>
      <c r="C1459" s="239">
        <v>212</v>
      </c>
      <c r="D1459" s="239" t="str">
        <f>IFERROR(VLOOKUP(C1459,'Neraca Saldo'!$B$6:$C$56,2,0),"")</f>
        <v>Simpanan Karyawan</v>
      </c>
      <c r="E1459" s="258" t="s">
        <v>1101</v>
      </c>
      <c r="F1459" s="244" t="s">
        <v>77</v>
      </c>
      <c r="G1459" s="239"/>
      <c r="H1459" s="240">
        <f t="shared" si="32"/>
        <v>0</v>
      </c>
      <c r="I1459" s="240">
        <f t="shared" si="33"/>
        <v>81000</v>
      </c>
    </row>
    <row r="1460" spans="2:9" ht="12.75" hidden="1" customHeight="1" x14ac:dyDescent="0.2">
      <c r="B1460" s="238">
        <v>45992</v>
      </c>
      <c r="C1460" s="239">
        <v>111</v>
      </c>
      <c r="D1460" s="239" t="str">
        <f>IFERROR(VLOOKUP(C1460,'Neraca Saldo'!$B$6:$C$56,2,0),"")</f>
        <v>Bank</v>
      </c>
      <c r="E1460" s="258" t="s">
        <v>989</v>
      </c>
      <c r="F1460" s="244" t="s">
        <v>77</v>
      </c>
      <c r="G1460" s="239"/>
      <c r="H1460" s="245">
        <v>200000</v>
      </c>
      <c r="I1460" s="240">
        <v>0</v>
      </c>
    </row>
    <row r="1461" spans="2:9" ht="12.75" hidden="1" customHeight="1" x14ac:dyDescent="0.2">
      <c r="B1461" s="238">
        <v>45992</v>
      </c>
      <c r="C1461" s="239">
        <v>212</v>
      </c>
      <c r="D1461" s="239" t="str">
        <f>IFERROR(VLOOKUP(C1461,'Neraca Saldo'!$B$6:$C$56,2,0),"")</f>
        <v>Simpanan Karyawan</v>
      </c>
      <c r="E1461" s="258" t="s">
        <v>989</v>
      </c>
      <c r="F1461" s="244" t="s">
        <v>77</v>
      </c>
      <c r="G1461" s="239"/>
      <c r="H1461" s="240">
        <f t="shared" si="32"/>
        <v>0</v>
      </c>
      <c r="I1461" s="240">
        <f t="shared" si="33"/>
        <v>200000</v>
      </c>
    </row>
    <row r="1462" spans="2:9" ht="12.75" hidden="1" customHeight="1" x14ac:dyDescent="0.2">
      <c r="B1462" s="238">
        <v>45992</v>
      </c>
      <c r="C1462" s="239">
        <v>111</v>
      </c>
      <c r="D1462" s="239" t="str">
        <f>IFERROR(VLOOKUP(C1462,'Neraca Saldo'!$B$6:$C$56,2,0),"")</f>
        <v>Bank</v>
      </c>
      <c r="E1462" s="258" t="s">
        <v>987</v>
      </c>
      <c r="F1462" s="244" t="s">
        <v>77</v>
      </c>
      <c r="G1462" s="239"/>
      <c r="H1462" s="245">
        <v>200000</v>
      </c>
      <c r="I1462" s="240">
        <v>0</v>
      </c>
    </row>
    <row r="1463" spans="2:9" ht="12.75" hidden="1" customHeight="1" x14ac:dyDescent="0.2">
      <c r="B1463" s="238">
        <v>45992</v>
      </c>
      <c r="C1463" s="239">
        <v>212</v>
      </c>
      <c r="D1463" s="239" t="str">
        <f>IFERROR(VLOOKUP(C1463,'Neraca Saldo'!$B$6:$C$56,2,0),"")</f>
        <v>Simpanan Karyawan</v>
      </c>
      <c r="E1463" s="258" t="s">
        <v>987</v>
      </c>
      <c r="F1463" s="244" t="s">
        <v>77</v>
      </c>
      <c r="G1463" s="239"/>
      <c r="H1463" s="240">
        <f t="shared" si="32"/>
        <v>0</v>
      </c>
      <c r="I1463" s="240">
        <f t="shared" si="33"/>
        <v>200000</v>
      </c>
    </row>
    <row r="1464" spans="2:9" ht="12.75" hidden="1" customHeight="1" x14ac:dyDescent="0.2">
      <c r="B1464" s="238">
        <v>45992</v>
      </c>
      <c r="C1464" s="239">
        <v>111</v>
      </c>
      <c r="D1464" s="239" t="str">
        <f>IFERROR(VLOOKUP(C1464,'Neraca Saldo'!$B$6:$C$56,2,0),"")</f>
        <v>Bank</v>
      </c>
      <c r="E1464" s="258" t="s">
        <v>1019</v>
      </c>
      <c r="F1464" s="244" t="s">
        <v>77</v>
      </c>
      <c r="G1464" s="239"/>
      <c r="H1464" s="245">
        <v>200000</v>
      </c>
      <c r="I1464" s="240">
        <v>0</v>
      </c>
    </row>
    <row r="1465" spans="2:9" ht="12.75" hidden="1" customHeight="1" x14ac:dyDescent="0.2">
      <c r="B1465" s="238">
        <v>45992</v>
      </c>
      <c r="C1465" s="239">
        <v>212</v>
      </c>
      <c r="D1465" s="239" t="str">
        <f>IFERROR(VLOOKUP(C1465,'Neraca Saldo'!$B$6:$C$56,2,0),"")</f>
        <v>Simpanan Karyawan</v>
      </c>
      <c r="E1465" s="258" t="s">
        <v>1019</v>
      </c>
      <c r="F1465" s="244" t="s">
        <v>77</v>
      </c>
      <c r="G1465" s="239"/>
      <c r="H1465" s="240">
        <f t="shared" si="32"/>
        <v>0</v>
      </c>
      <c r="I1465" s="240">
        <f t="shared" si="33"/>
        <v>200000</v>
      </c>
    </row>
    <row r="1466" spans="2:9" ht="12.75" hidden="1" customHeight="1" x14ac:dyDescent="0.2">
      <c r="B1466" s="238">
        <v>45992</v>
      </c>
      <c r="C1466" s="239">
        <v>111</v>
      </c>
      <c r="D1466" s="239" t="str">
        <f>IFERROR(VLOOKUP(C1466,'Neraca Saldo'!$B$6:$C$56,2,0),"")</f>
        <v>Bank</v>
      </c>
      <c r="E1466" s="258" t="s">
        <v>1020</v>
      </c>
      <c r="F1466" s="244" t="s">
        <v>77</v>
      </c>
      <c r="G1466" s="239"/>
      <c r="H1466" s="245">
        <v>200000</v>
      </c>
      <c r="I1466" s="240">
        <v>0</v>
      </c>
    </row>
    <row r="1467" spans="2:9" ht="12.75" hidden="1" customHeight="1" x14ac:dyDescent="0.2">
      <c r="B1467" s="238">
        <v>45992</v>
      </c>
      <c r="C1467" s="239">
        <v>212</v>
      </c>
      <c r="D1467" s="239" t="str">
        <f>IFERROR(VLOOKUP(C1467,'Neraca Saldo'!$B$6:$C$56,2,0),"")</f>
        <v>Simpanan Karyawan</v>
      </c>
      <c r="E1467" s="258" t="s">
        <v>1020</v>
      </c>
      <c r="F1467" s="244" t="s">
        <v>77</v>
      </c>
      <c r="G1467" s="239"/>
      <c r="H1467" s="240">
        <f t="shared" si="32"/>
        <v>0</v>
      </c>
      <c r="I1467" s="240">
        <f t="shared" si="33"/>
        <v>200000</v>
      </c>
    </row>
    <row r="1468" spans="2:9" ht="12.75" hidden="1" customHeight="1" x14ac:dyDescent="0.2">
      <c r="B1468" s="238">
        <v>45992</v>
      </c>
      <c r="C1468" s="239">
        <v>111</v>
      </c>
      <c r="D1468" s="239" t="str">
        <f>IFERROR(VLOOKUP(C1468,'Neraca Saldo'!$B$6:$C$56,2,0),"")</f>
        <v>Bank</v>
      </c>
      <c r="E1468" s="258" t="s">
        <v>1024</v>
      </c>
      <c r="F1468" s="244" t="s">
        <v>77</v>
      </c>
      <c r="G1468" s="239"/>
      <c r="H1468" s="245">
        <v>200000</v>
      </c>
      <c r="I1468" s="240">
        <v>0</v>
      </c>
    </row>
    <row r="1469" spans="2:9" ht="12.75" hidden="1" customHeight="1" x14ac:dyDescent="0.2">
      <c r="B1469" s="238">
        <v>45992</v>
      </c>
      <c r="C1469" s="239">
        <v>212</v>
      </c>
      <c r="D1469" s="239" t="str">
        <f>IFERROR(VLOOKUP(C1469,'Neraca Saldo'!$B$6:$C$56,2,0),"")</f>
        <v>Simpanan Karyawan</v>
      </c>
      <c r="E1469" s="258" t="s">
        <v>1024</v>
      </c>
      <c r="F1469" s="244" t="s">
        <v>77</v>
      </c>
      <c r="G1469" s="239"/>
      <c r="H1469" s="240">
        <f t="shared" si="32"/>
        <v>0</v>
      </c>
      <c r="I1469" s="240">
        <f t="shared" si="33"/>
        <v>200000</v>
      </c>
    </row>
    <row r="1470" spans="2:9" ht="12.75" hidden="1" customHeight="1" x14ac:dyDescent="0.2">
      <c r="B1470" s="238">
        <v>45992</v>
      </c>
      <c r="C1470" s="239">
        <v>111</v>
      </c>
      <c r="D1470" s="239" t="str">
        <f>IFERROR(VLOOKUP(C1470,'Neraca Saldo'!$B$6:$C$56,2,0),"")</f>
        <v>Bank</v>
      </c>
      <c r="E1470" s="258" t="s">
        <v>1022</v>
      </c>
      <c r="F1470" s="244" t="s">
        <v>77</v>
      </c>
      <c r="G1470" s="239"/>
      <c r="H1470" s="245">
        <v>200000</v>
      </c>
      <c r="I1470" s="240">
        <v>0</v>
      </c>
    </row>
    <row r="1471" spans="2:9" ht="12.75" hidden="1" customHeight="1" x14ac:dyDescent="0.2">
      <c r="B1471" s="238">
        <v>45992</v>
      </c>
      <c r="C1471" s="239">
        <v>212</v>
      </c>
      <c r="D1471" s="239" t="str">
        <f>IFERROR(VLOOKUP(C1471,'Neraca Saldo'!$B$6:$C$56,2,0),"")</f>
        <v>Simpanan Karyawan</v>
      </c>
      <c r="E1471" s="258" t="s">
        <v>1022</v>
      </c>
      <c r="F1471" s="244" t="s">
        <v>77</v>
      </c>
      <c r="G1471" s="239"/>
      <c r="H1471" s="240">
        <f t="shared" si="32"/>
        <v>0</v>
      </c>
      <c r="I1471" s="240">
        <f t="shared" si="33"/>
        <v>200000</v>
      </c>
    </row>
    <row r="1472" spans="2:9" ht="12.75" hidden="1" customHeight="1" x14ac:dyDescent="0.2">
      <c r="B1472" s="238">
        <v>45992</v>
      </c>
      <c r="C1472" s="239">
        <v>111</v>
      </c>
      <c r="D1472" s="239" t="str">
        <f>IFERROR(VLOOKUP(C1472,'Neraca Saldo'!$B$6:$C$56,2,0),"")</f>
        <v>Bank</v>
      </c>
      <c r="E1472" s="258" t="s">
        <v>988</v>
      </c>
      <c r="F1472" s="244" t="s">
        <v>77</v>
      </c>
      <c r="G1472" s="239"/>
      <c r="H1472" s="245">
        <v>200000</v>
      </c>
      <c r="I1472" s="240">
        <v>0</v>
      </c>
    </row>
    <row r="1473" spans="2:9" ht="12.75" hidden="1" customHeight="1" x14ac:dyDescent="0.2">
      <c r="B1473" s="238">
        <v>45992</v>
      </c>
      <c r="C1473" s="239">
        <v>212</v>
      </c>
      <c r="D1473" s="239" t="str">
        <f>IFERROR(VLOOKUP(C1473,'Neraca Saldo'!$B$6:$C$56,2,0),"")</f>
        <v>Simpanan Karyawan</v>
      </c>
      <c r="E1473" s="258" t="s">
        <v>988</v>
      </c>
      <c r="F1473" s="244" t="s">
        <v>77</v>
      </c>
      <c r="G1473" s="239"/>
      <c r="H1473" s="240">
        <f t="shared" si="32"/>
        <v>0</v>
      </c>
      <c r="I1473" s="240">
        <f t="shared" si="33"/>
        <v>200000</v>
      </c>
    </row>
    <row r="1474" spans="2:9" ht="12.75" hidden="1" customHeight="1" x14ac:dyDescent="0.2">
      <c r="B1474" s="238">
        <v>45992</v>
      </c>
      <c r="C1474" s="239">
        <v>111</v>
      </c>
      <c r="D1474" s="239" t="str">
        <f>IFERROR(VLOOKUP(C1474,'Neraca Saldo'!$B$6:$C$56,2,0),"")</f>
        <v>Bank</v>
      </c>
      <c r="E1474" s="258" t="s">
        <v>1099</v>
      </c>
      <c r="F1474" s="244" t="s">
        <v>77</v>
      </c>
      <c r="G1474" s="239"/>
      <c r="H1474" s="245">
        <v>807000</v>
      </c>
      <c r="I1474" s="240">
        <v>0</v>
      </c>
    </row>
    <row r="1475" spans="2:9" ht="12.75" hidden="1" customHeight="1" x14ac:dyDescent="0.2">
      <c r="B1475" s="238">
        <v>45992</v>
      </c>
      <c r="C1475" s="239">
        <v>212</v>
      </c>
      <c r="D1475" s="239" t="str">
        <f>IFERROR(VLOOKUP(C1475,'Neraca Saldo'!$B$6:$C$56,2,0),"")</f>
        <v>Simpanan Karyawan</v>
      </c>
      <c r="E1475" s="258" t="s">
        <v>1099</v>
      </c>
      <c r="F1475" s="244" t="s">
        <v>77</v>
      </c>
      <c r="G1475" s="239"/>
      <c r="H1475" s="240">
        <f t="shared" si="32"/>
        <v>0</v>
      </c>
      <c r="I1475" s="240">
        <f t="shared" si="33"/>
        <v>807000</v>
      </c>
    </row>
    <row r="1476" spans="2:9" ht="12.75" hidden="1" customHeight="1" x14ac:dyDescent="0.2">
      <c r="B1476" s="238">
        <v>45992</v>
      </c>
      <c r="C1476" s="239">
        <v>111</v>
      </c>
      <c r="D1476" s="239" t="str">
        <f>IFERROR(VLOOKUP(C1476,'Neraca Saldo'!$B$6:$C$56,2,0),"")</f>
        <v>Bank</v>
      </c>
      <c r="E1476" s="258" t="s">
        <v>1068</v>
      </c>
      <c r="F1476" s="244" t="s">
        <v>77</v>
      </c>
      <c r="G1476" s="239"/>
      <c r="H1476" s="245">
        <v>200000</v>
      </c>
      <c r="I1476" s="240">
        <v>0</v>
      </c>
    </row>
    <row r="1477" spans="2:9" ht="12.75" hidden="1" customHeight="1" x14ac:dyDescent="0.2">
      <c r="B1477" s="238">
        <v>45992</v>
      </c>
      <c r="C1477" s="239">
        <v>212</v>
      </c>
      <c r="D1477" s="239" t="str">
        <f>IFERROR(VLOOKUP(C1477,'Neraca Saldo'!$B$6:$C$56,2,0),"")</f>
        <v>Simpanan Karyawan</v>
      </c>
      <c r="E1477" s="258" t="s">
        <v>1068</v>
      </c>
      <c r="F1477" s="244" t="s">
        <v>77</v>
      </c>
      <c r="G1477" s="239"/>
      <c r="H1477" s="240">
        <f t="shared" si="32"/>
        <v>0</v>
      </c>
      <c r="I1477" s="240">
        <f t="shared" si="33"/>
        <v>200000</v>
      </c>
    </row>
    <row r="1478" spans="2:9" ht="12.75" hidden="1" customHeight="1" x14ac:dyDescent="0.2">
      <c r="B1478" s="238">
        <v>45992</v>
      </c>
      <c r="C1478" s="239">
        <v>111</v>
      </c>
      <c r="D1478" s="239" t="str">
        <f>IFERROR(VLOOKUP(C1478,'Neraca Saldo'!$B$6:$C$56,2,0),"")</f>
        <v>Bank</v>
      </c>
      <c r="E1478" s="258" t="s">
        <v>1016</v>
      </c>
      <c r="F1478" s="244" t="s">
        <v>77</v>
      </c>
      <c r="G1478" s="239"/>
      <c r="H1478" s="245">
        <v>200000</v>
      </c>
      <c r="I1478" s="240">
        <v>0</v>
      </c>
    </row>
    <row r="1479" spans="2:9" ht="12.75" hidden="1" customHeight="1" x14ac:dyDescent="0.2">
      <c r="B1479" s="238">
        <v>45992</v>
      </c>
      <c r="C1479" s="239">
        <v>212</v>
      </c>
      <c r="D1479" s="239" t="str">
        <f>IFERROR(VLOOKUP(C1479,'Neraca Saldo'!$B$6:$C$56,2,0),"")</f>
        <v>Simpanan Karyawan</v>
      </c>
      <c r="E1479" s="258" t="s">
        <v>1016</v>
      </c>
      <c r="F1479" s="244" t="s">
        <v>77</v>
      </c>
      <c r="G1479" s="239"/>
      <c r="H1479" s="240">
        <f t="shared" si="32"/>
        <v>0</v>
      </c>
      <c r="I1479" s="240">
        <f t="shared" si="33"/>
        <v>200000</v>
      </c>
    </row>
    <row r="1480" spans="2:9" ht="12.75" hidden="1" customHeight="1" x14ac:dyDescent="0.2">
      <c r="B1480" s="238">
        <v>45992</v>
      </c>
      <c r="C1480" s="239">
        <v>111</v>
      </c>
      <c r="D1480" s="239" t="str">
        <f>IFERROR(VLOOKUP(C1480,'Neraca Saldo'!$B$6:$C$56,2,0),"")</f>
        <v>Bank</v>
      </c>
      <c r="E1480" s="258" t="s">
        <v>1102</v>
      </c>
      <c r="F1480" s="244" t="s">
        <v>77</v>
      </c>
      <c r="G1480" s="239"/>
      <c r="H1480" s="245">
        <v>164000</v>
      </c>
      <c r="I1480" s="240">
        <v>0</v>
      </c>
    </row>
    <row r="1481" spans="2:9" ht="12.75" hidden="1" customHeight="1" x14ac:dyDescent="0.2">
      <c r="B1481" s="238">
        <v>45992</v>
      </c>
      <c r="C1481" s="239">
        <v>212</v>
      </c>
      <c r="D1481" s="239" t="str">
        <f>IFERROR(VLOOKUP(C1481,'Neraca Saldo'!$B$6:$C$56,2,0),"")</f>
        <v>Simpanan Karyawan</v>
      </c>
      <c r="E1481" s="258" t="s">
        <v>1102</v>
      </c>
      <c r="F1481" s="244" t="s">
        <v>77</v>
      </c>
      <c r="G1481" s="239"/>
      <c r="H1481" s="240">
        <f t="shared" si="32"/>
        <v>0</v>
      </c>
      <c r="I1481" s="240">
        <f t="shared" si="33"/>
        <v>164000</v>
      </c>
    </row>
    <row r="1482" spans="2:9" ht="12.75" hidden="1" customHeight="1" x14ac:dyDescent="0.2">
      <c r="B1482" s="238">
        <v>45992</v>
      </c>
      <c r="C1482" s="239">
        <v>111</v>
      </c>
      <c r="D1482" s="239" t="str">
        <f>IFERROR(VLOOKUP(C1482,'Neraca Saldo'!$B$6:$C$56,2,0),"")</f>
        <v>Bank</v>
      </c>
      <c r="E1482" s="258" t="s">
        <v>1025</v>
      </c>
      <c r="F1482" s="244" t="s">
        <v>77</v>
      </c>
      <c r="G1482" s="239"/>
      <c r="H1482" s="245">
        <v>200000</v>
      </c>
      <c r="I1482" s="240">
        <v>0</v>
      </c>
    </row>
    <row r="1483" spans="2:9" ht="12.75" hidden="1" customHeight="1" x14ac:dyDescent="0.2">
      <c r="B1483" s="238">
        <v>45992</v>
      </c>
      <c r="C1483" s="239">
        <v>212</v>
      </c>
      <c r="D1483" s="239" t="str">
        <f>IFERROR(VLOOKUP(C1483,'Neraca Saldo'!$B$6:$C$56,2,0),"")</f>
        <v>Simpanan Karyawan</v>
      </c>
      <c r="E1483" s="258" t="s">
        <v>1025</v>
      </c>
      <c r="F1483" s="244" t="s">
        <v>77</v>
      </c>
      <c r="G1483" s="239"/>
      <c r="H1483" s="240">
        <f t="shared" si="32"/>
        <v>0</v>
      </c>
      <c r="I1483" s="240">
        <f t="shared" si="33"/>
        <v>200000</v>
      </c>
    </row>
    <row r="1484" spans="2:9" ht="12.75" hidden="1" customHeight="1" x14ac:dyDescent="0.2">
      <c r="B1484" s="238">
        <v>45992</v>
      </c>
      <c r="C1484" s="239">
        <v>111</v>
      </c>
      <c r="D1484" s="239" t="str">
        <f>IFERROR(VLOOKUP(C1484,'Neraca Saldo'!$B$6:$C$56,2,0),"")</f>
        <v>Bank</v>
      </c>
      <c r="E1484" s="258" t="s">
        <v>1026</v>
      </c>
      <c r="F1484" s="244" t="s">
        <v>77</v>
      </c>
      <c r="G1484" s="239"/>
      <c r="H1484" s="245">
        <v>241000</v>
      </c>
      <c r="I1484" s="240">
        <v>0</v>
      </c>
    </row>
    <row r="1485" spans="2:9" ht="12.75" hidden="1" customHeight="1" x14ac:dyDescent="0.2">
      <c r="B1485" s="238">
        <v>45992</v>
      </c>
      <c r="C1485" s="239">
        <v>212</v>
      </c>
      <c r="D1485" s="239" t="str">
        <f>IFERROR(VLOOKUP(C1485,'Neraca Saldo'!$B$6:$C$56,2,0),"")</f>
        <v>Simpanan Karyawan</v>
      </c>
      <c r="E1485" s="258" t="s">
        <v>1026</v>
      </c>
      <c r="F1485" s="244" t="s">
        <v>77</v>
      </c>
      <c r="G1485" s="239"/>
      <c r="H1485" s="240">
        <f t="shared" si="32"/>
        <v>0</v>
      </c>
      <c r="I1485" s="240">
        <f t="shared" si="33"/>
        <v>241000</v>
      </c>
    </row>
    <row r="1486" spans="2:9" ht="12.75" hidden="1" customHeight="1" x14ac:dyDescent="0.2">
      <c r="B1486" s="231">
        <v>45992</v>
      </c>
      <c r="C1486" s="232">
        <v>112</v>
      </c>
      <c r="D1486" s="232" t="str">
        <f>IFERROR(VLOOKUP(C1486,'Neraca Saldo'!$B$6:$C$56,2,0),"")</f>
        <v>Kas</v>
      </c>
      <c r="E1486" s="232" t="s">
        <v>838</v>
      </c>
      <c r="F1486" s="234" t="s">
        <v>77</v>
      </c>
      <c r="G1486" s="232"/>
      <c r="H1486" s="196">
        <v>3450000</v>
      </c>
      <c r="I1486" s="236">
        <v>0</v>
      </c>
    </row>
    <row r="1487" spans="2:9" ht="12.75" hidden="1" customHeight="1" x14ac:dyDescent="0.2">
      <c r="B1487" s="231">
        <v>45992</v>
      </c>
      <c r="C1487" s="232">
        <v>111</v>
      </c>
      <c r="D1487" s="232" t="str">
        <f>IFERROR(VLOOKUP(C1487,'Neraca Saldo'!$B$6:$C$56,2,0),"")</f>
        <v>Bank</v>
      </c>
      <c r="E1487" s="232" t="s">
        <v>838</v>
      </c>
      <c r="F1487" s="234" t="s">
        <v>77</v>
      </c>
      <c r="G1487" s="232"/>
      <c r="H1487" s="236">
        <f t="shared" si="32"/>
        <v>0</v>
      </c>
      <c r="I1487" s="236">
        <f t="shared" si="33"/>
        <v>3450000</v>
      </c>
    </row>
    <row r="1488" spans="2:9" ht="12.75" customHeight="1" x14ac:dyDescent="0.2">
      <c r="B1488" s="231">
        <v>45992</v>
      </c>
      <c r="C1488" s="232">
        <v>513</v>
      </c>
      <c r="D1488" s="232" t="str">
        <f>IFERROR(VLOOKUP(C1488,'Neraca Saldo'!$B$6:$C$56,2,0),"")</f>
        <v>Beban Pengurus dan Anggota</v>
      </c>
      <c r="E1488" s="194" t="s">
        <v>841</v>
      </c>
      <c r="F1488" s="234" t="s">
        <v>838</v>
      </c>
      <c r="G1488" s="232"/>
      <c r="H1488" s="188">
        <v>221500</v>
      </c>
      <c r="I1488" s="236">
        <v>0</v>
      </c>
    </row>
    <row r="1489" spans="2:9" ht="12.75" hidden="1" customHeight="1" x14ac:dyDescent="0.2">
      <c r="B1489" s="231">
        <v>45992</v>
      </c>
      <c r="C1489" s="232">
        <v>112</v>
      </c>
      <c r="D1489" s="232" t="str">
        <f>IFERROR(VLOOKUP(C1489,'Neraca Saldo'!$B$6:$C$56,2,0),"")</f>
        <v>Kas</v>
      </c>
      <c r="E1489" s="194" t="s">
        <v>841</v>
      </c>
      <c r="F1489" s="234" t="s">
        <v>838</v>
      </c>
      <c r="G1489" s="232"/>
      <c r="H1489" s="236">
        <f t="shared" si="32"/>
        <v>0</v>
      </c>
      <c r="I1489" s="236">
        <f t="shared" si="33"/>
        <v>221500</v>
      </c>
    </row>
    <row r="1490" spans="2:9" ht="12.75" customHeight="1" x14ac:dyDescent="0.2">
      <c r="B1490" s="231">
        <v>45994</v>
      </c>
      <c r="C1490" s="232">
        <v>513</v>
      </c>
      <c r="D1490" s="232" t="str">
        <f>IFERROR(VLOOKUP(C1490,'Neraca Saldo'!$B$6:$C$56,2,0),"")</f>
        <v>Beban Pengurus dan Anggota</v>
      </c>
      <c r="E1490" s="194" t="s">
        <v>1191</v>
      </c>
      <c r="F1490" s="234" t="s">
        <v>838</v>
      </c>
      <c r="G1490" s="232"/>
      <c r="H1490" s="188">
        <v>10000000</v>
      </c>
      <c r="I1490" s="236">
        <v>0</v>
      </c>
    </row>
    <row r="1491" spans="2:9" ht="12.75" hidden="1" customHeight="1" x14ac:dyDescent="0.2">
      <c r="B1491" s="231">
        <v>45994</v>
      </c>
      <c r="C1491" s="232">
        <v>112</v>
      </c>
      <c r="D1491" s="232" t="str">
        <f>IFERROR(VLOOKUP(C1491,'Neraca Saldo'!$B$6:$C$56,2,0),"")</f>
        <v>Kas</v>
      </c>
      <c r="E1491" s="194" t="s">
        <v>1191</v>
      </c>
      <c r="F1491" s="234" t="s">
        <v>838</v>
      </c>
      <c r="G1491" s="232"/>
      <c r="H1491" s="236">
        <f t="shared" si="32"/>
        <v>0</v>
      </c>
      <c r="I1491" s="236">
        <f t="shared" si="33"/>
        <v>10000000</v>
      </c>
    </row>
    <row r="1492" spans="2:9" ht="12.75" hidden="1" customHeight="1" x14ac:dyDescent="0.2">
      <c r="B1492" s="231">
        <v>45996</v>
      </c>
      <c r="C1492" s="232">
        <v>112</v>
      </c>
      <c r="D1492" s="232" t="str">
        <f>IFERROR(VLOOKUP(C1492,'Neraca Saldo'!$B$6:$C$56,2,0),"")</f>
        <v>Kas</v>
      </c>
      <c r="E1492" s="232" t="s">
        <v>838</v>
      </c>
      <c r="F1492" s="234" t="s">
        <v>77</v>
      </c>
      <c r="G1492" s="232"/>
      <c r="H1492" s="188">
        <v>10000000</v>
      </c>
      <c r="I1492" s="236">
        <v>0</v>
      </c>
    </row>
    <row r="1493" spans="2:9" ht="12.75" hidden="1" customHeight="1" x14ac:dyDescent="0.2">
      <c r="B1493" s="231">
        <v>45996</v>
      </c>
      <c r="C1493" s="232">
        <v>111</v>
      </c>
      <c r="D1493" s="232" t="str">
        <f>IFERROR(VLOOKUP(C1493,'Neraca Saldo'!$B$6:$C$56,2,0),"")</f>
        <v>Bank</v>
      </c>
      <c r="E1493" s="232" t="s">
        <v>838</v>
      </c>
      <c r="F1493" s="234" t="s">
        <v>77</v>
      </c>
      <c r="G1493" s="232"/>
      <c r="H1493" s="236">
        <f t="shared" si="32"/>
        <v>0</v>
      </c>
      <c r="I1493" s="236">
        <f t="shared" si="33"/>
        <v>10000000</v>
      </c>
    </row>
    <row r="1494" spans="2:9" ht="12.75" hidden="1" customHeight="1" x14ac:dyDescent="0.2">
      <c r="B1494" s="238">
        <v>45996</v>
      </c>
      <c r="C1494" s="239">
        <v>111</v>
      </c>
      <c r="D1494" s="239" t="str">
        <f>IFERROR(VLOOKUP(C1494,'Neraca Saldo'!$B$6:$C$56,2,0),"")</f>
        <v>Bank</v>
      </c>
      <c r="E1494" s="258" t="s">
        <v>1192</v>
      </c>
      <c r="F1494" s="244" t="s">
        <v>77</v>
      </c>
      <c r="G1494" s="239"/>
      <c r="H1494" s="245">
        <v>350000</v>
      </c>
      <c r="I1494" s="240">
        <v>0</v>
      </c>
    </row>
    <row r="1495" spans="2:9" ht="12.75" hidden="1" customHeight="1" x14ac:dyDescent="0.2">
      <c r="B1495" s="238">
        <v>45996</v>
      </c>
      <c r="C1495" s="239">
        <v>212</v>
      </c>
      <c r="D1495" s="239" t="str">
        <f>IFERROR(VLOOKUP(C1495,'Neraca Saldo'!$B$6:$C$56,2,0),"")</f>
        <v>Simpanan Karyawan</v>
      </c>
      <c r="E1495" s="258" t="s">
        <v>1192</v>
      </c>
      <c r="F1495" s="244" t="s">
        <v>77</v>
      </c>
      <c r="G1495" s="239"/>
      <c r="H1495" s="240">
        <f t="shared" ref="H1495:H1555" si="34">I1494</f>
        <v>0</v>
      </c>
      <c r="I1495" s="240">
        <f t="shared" ref="I1495:I1555" si="35">H1494</f>
        <v>350000</v>
      </c>
    </row>
    <row r="1496" spans="2:9" ht="12.75" hidden="1" customHeight="1" x14ac:dyDescent="0.2">
      <c r="B1496" s="231">
        <v>45996</v>
      </c>
      <c r="C1496" s="232">
        <v>515</v>
      </c>
      <c r="D1496" s="232" t="str">
        <f>IFERROR(VLOOKUP(C1496,'Neraca Saldo'!$B$6:$C$56,2,0),"")</f>
        <v>Beban Gaji</v>
      </c>
      <c r="E1496" s="194" t="s">
        <v>1193</v>
      </c>
      <c r="F1496" s="234" t="s">
        <v>838</v>
      </c>
      <c r="G1496" s="232"/>
      <c r="H1496" s="188">
        <v>4500000</v>
      </c>
      <c r="I1496" s="236">
        <v>0</v>
      </c>
    </row>
    <row r="1497" spans="2:9" ht="12.75" hidden="1" customHeight="1" x14ac:dyDescent="0.2">
      <c r="B1497" s="231">
        <v>45996</v>
      </c>
      <c r="C1497" s="232">
        <v>112</v>
      </c>
      <c r="D1497" s="232" t="str">
        <f>IFERROR(VLOOKUP(C1497,'Neraca Saldo'!$B$6:$C$56,2,0),"")</f>
        <v>Kas</v>
      </c>
      <c r="E1497" s="194" t="s">
        <v>1193</v>
      </c>
      <c r="F1497" s="234" t="s">
        <v>838</v>
      </c>
      <c r="G1497" s="232"/>
      <c r="H1497" s="236">
        <f t="shared" si="34"/>
        <v>0</v>
      </c>
      <c r="I1497" s="236">
        <f t="shared" si="35"/>
        <v>4500000</v>
      </c>
    </row>
    <row r="1498" spans="2:9" ht="12.75" customHeight="1" x14ac:dyDescent="0.2">
      <c r="B1498" s="231">
        <v>45996</v>
      </c>
      <c r="C1498" s="232">
        <v>513</v>
      </c>
      <c r="D1498" s="232" t="str">
        <f>IFERROR(VLOOKUP(C1498,'Neraca Saldo'!$B$6:$C$56,2,0),"")</f>
        <v>Beban Pengurus dan Anggota</v>
      </c>
      <c r="E1498" s="194" t="s">
        <v>841</v>
      </c>
      <c r="F1498" s="234" t="s">
        <v>838</v>
      </c>
      <c r="G1498" s="232"/>
      <c r="H1498" s="188">
        <v>181500</v>
      </c>
      <c r="I1498" s="236">
        <v>0</v>
      </c>
    </row>
    <row r="1499" spans="2:9" ht="12.75" hidden="1" customHeight="1" x14ac:dyDescent="0.2">
      <c r="B1499" s="231">
        <v>45996</v>
      </c>
      <c r="C1499" s="232">
        <v>112</v>
      </c>
      <c r="D1499" s="232" t="str">
        <f>IFERROR(VLOOKUP(C1499,'Neraca Saldo'!$B$6:$C$56,2,0),"")</f>
        <v>Kas</v>
      </c>
      <c r="E1499" s="194" t="s">
        <v>841</v>
      </c>
      <c r="F1499" s="234" t="s">
        <v>838</v>
      </c>
      <c r="G1499" s="232"/>
      <c r="H1499" s="236">
        <f t="shared" si="34"/>
        <v>0</v>
      </c>
      <c r="I1499" s="236">
        <f t="shared" si="35"/>
        <v>181500</v>
      </c>
    </row>
    <row r="1500" spans="2:9" ht="12.75" hidden="1" customHeight="1" x14ac:dyDescent="0.2">
      <c r="B1500" s="231">
        <v>45996</v>
      </c>
      <c r="C1500" s="232">
        <v>520</v>
      </c>
      <c r="D1500" s="232" t="str">
        <f>IFERROR(VLOOKUP(C1500,'Neraca Saldo'!$B$6:$C$56,2,0),"")</f>
        <v>Beban Perlengkapan</v>
      </c>
      <c r="E1500" s="194" t="s">
        <v>1194</v>
      </c>
      <c r="F1500" s="234" t="s">
        <v>838</v>
      </c>
      <c r="G1500" s="232"/>
      <c r="H1500" s="188">
        <v>572300</v>
      </c>
      <c r="I1500" s="236">
        <v>0</v>
      </c>
    </row>
    <row r="1501" spans="2:9" ht="12.75" hidden="1" customHeight="1" x14ac:dyDescent="0.2">
      <c r="B1501" s="231">
        <v>45996</v>
      </c>
      <c r="C1501" s="232">
        <v>112</v>
      </c>
      <c r="D1501" s="232" t="str">
        <f>IFERROR(VLOOKUP(C1501,'Neraca Saldo'!$B$6:$C$56,2,0),"")</f>
        <v>Kas</v>
      </c>
      <c r="E1501" s="194" t="s">
        <v>1194</v>
      </c>
      <c r="F1501" s="234" t="s">
        <v>838</v>
      </c>
      <c r="G1501" s="232"/>
      <c r="H1501" s="236">
        <f t="shared" si="34"/>
        <v>0</v>
      </c>
      <c r="I1501" s="236">
        <f t="shared" si="35"/>
        <v>572300</v>
      </c>
    </row>
    <row r="1502" spans="2:9" ht="12.75" customHeight="1" x14ac:dyDescent="0.2">
      <c r="B1502" s="231">
        <v>45996</v>
      </c>
      <c r="C1502" s="232">
        <v>513</v>
      </c>
      <c r="D1502" s="232" t="str">
        <f>IFERROR(VLOOKUP(C1502,'Neraca Saldo'!$B$6:$C$56,2,0),"")</f>
        <v>Beban Pengurus dan Anggota</v>
      </c>
      <c r="E1502" s="194" t="s">
        <v>841</v>
      </c>
      <c r="F1502" s="234" t="s">
        <v>838</v>
      </c>
      <c r="G1502" s="232"/>
      <c r="H1502" s="188">
        <v>581500</v>
      </c>
      <c r="I1502" s="236">
        <v>0</v>
      </c>
    </row>
    <row r="1503" spans="2:9" ht="12.75" hidden="1" customHeight="1" x14ac:dyDescent="0.2">
      <c r="B1503" s="231">
        <v>45996</v>
      </c>
      <c r="C1503" s="232">
        <v>112</v>
      </c>
      <c r="D1503" s="232" t="str">
        <f>IFERROR(VLOOKUP(C1503,'Neraca Saldo'!$B$6:$C$56,2,0),"")</f>
        <v>Kas</v>
      </c>
      <c r="E1503" s="194" t="s">
        <v>841</v>
      </c>
      <c r="F1503" s="234" t="s">
        <v>838</v>
      </c>
      <c r="G1503" s="232"/>
      <c r="H1503" s="236">
        <f t="shared" si="34"/>
        <v>0</v>
      </c>
      <c r="I1503" s="236">
        <f t="shared" si="35"/>
        <v>581500</v>
      </c>
    </row>
    <row r="1504" spans="2:9" ht="12.75" hidden="1" customHeight="1" x14ac:dyDescent="0.2">
      <c r="B1504" s="238">
        <v>46000</v>
      </c>
      <c r="C1504" s="239">
        <v>111</v>
      </c>
      <c r="D1504" s="239" t="str">
        <f>IFERROR(VLOOKUP(C1504,'Neraca Saldo'!$B$6:$C$56,2,0),"")</f>
        <v>Bank</v>
      </c>
      <c r="E1504" s="258" t="s">
        <v>1031</v>
      </c>
      <c r="F1504" s="244" t="s">
        <v>77</v>
      </c>
      <c r="G1504" s="239"/>
      <c r="H1504" s="245">
        <v>200000</v>
      </c>
      <c r="I1504" s="240">
        <v>0</v>
      </c>
    </row>
    <row r="1505" spans="2:9" ht="12.75" hidden="1" customHeight="1" x14ac:dyDescent="0.2">
      <c r="B1505" s="238">
        <v>46000</v>
      </c>
      <c r="C1505" s="239">
        <v>212</v>
      </c>
      <c r="D1505" s="239" t="str">
        <f>IFERROR(VLOOKUP(C1505,'Neraca Saldo'!$B$6:$C$56,2,0),"")</f>
        <v>Simpanan Karyawan</v>
      </c>
      <c r="E1505" s="258" t="s">
        <v>1031</v>
      </c>
      <c r="F1505" s="244" t="s">
        <v>77</v>
      </c>
      <c r="G1505" s="239"/>
      <c r="H1505" s="240">
        <f t="shared" si="34"/>
        <v>0</v>
      </c>
      <c r="I1505" s="240">
        <f t="shared" si="35"/>
        <v>200000</v>
      </c>
    </row>
    <row r="1506" spans="2:9" ht="12.75" hidden="1" customHeight="1" x14ac:dyDescent="0.2">
      <c r="B1506" s="238">
        <v>46001</v>
      </c>
      <c r="C1506" s="239">
        <v>111</v>
      </c>
      <c r="D1506" s="239" t="str">
        <f>IFERROR(VLOOKUP(C1506,'Neraca Saldo'!$B$6:$C$56,2,0),"")</f>
        <v>Bank</v>
      </c>
      <c r="E1506" s="258" t="s">
        <v>1029</v>
      </c>
      <c r="F1506" s="244" t="s">
        <v>77</v>
      </c>
      <c r="G1506" s="239"/>
      <c r="H1506" s="245">
        <v>200000</v>
      </c>
      <c r="I1506" s="240">
        <v>0</v>
      </c>
    </row>
    <row r="1507" spans="2:9" ht="12.75" hidden="1" customHeight="1" x14ac:dyDescent="0.2">
      <c r="B1507" s="238">
        <v>46001</v>
      </c>
      <c r="C1507" s="239">
        <v>212</v>
      </c>
      <c r="D1507" s="239" t="str">
        <f>IFERROR(VLOOKUP(C1507,'Neraca Saldo'!$B$6:$C$56,2,0),"")</f>
        <v>Simpanan Karyawan</v>
      </c>
      <c r="E1507" s="258" t="s">
        <v>1029</v>
      </c>
      <c r="F1507" s="244" t="s">
        <v>77</v>
      </c>
      <c r="G1507" s="239"/>
      <c r="H1507" s="240">
        <f t="shared" si="34"/>
        <v>0</v>
      </c>
      <c r="I1507" s="240">
        <f t="shared" si="35"/>
        <v>200000</v>
      </c>
    </row>
    <row r="1508" spans="2:9" ht="12.75" hidden="1" customHeight="1" x14ac:dyDescent="0.2">
      <c r="B1508" s="238">
        <v>46001</v>
      </c>
      <c r="C1508" s="198">
        <v>111</v>
      </c>
      <c r="D1508" s="198" t="str">
        <f>IFERROR(VLOOKUP(C1508,'Neraca Saldo'!$B$6:$C$56,2,0),"")</f>
        <v>Bank</v>
      </c>
      <c r="E1508" s="258" t="s">
        <v>1195</v>
      </c>
      <c r="F1508" s="294" t="s">
        <v>77</v>
      </c>
      <c r="G1508" s="198"/>
      <c r="H1508" s="245">
        <v>1277000</v>
      </c>
      <c r="I1508" s="295">
        <v>0</v>
      </c>
    </row>
    <row r="1509" spans="2:9" ht="12.75" hidden="1" customHeight="1" x14ac:dyDescent="0.2">
      <c r="B1509" s="238">
        <v>46001</v>
      </c>
      <c r="C1509" s="198">
        <v>415</v>
      </c>
      <c r="D1509" s="198" t="str">
        <f>IFERROR(VLOOKUP(C1509,'Neraca Saldo'!$B$6:$C$56,2,0),"")</f>
        <v>Pendapatan Lain-lain</v>
      </c>
      <c r="E1509" s="258" t="s">
        <v>1195</v>
      </c>
      <c r="F1509" s="294" t="s">
        <v>77</v>
      </c>
      <c r="G1509" s="198"/>
      <c r="H1509" s="295" t="s">
        <v>1036</v>
      </c>
      <c r="I1509" s="295">
        <f t="shared" si="35"/>
        <v>1277000</v>
      </c>
    </row>
    <row r="1510" spans="2:9" ht="12.75" customHeight="1" x14ac:dyDescent="0.2">
      <c r="B1510" s="231">
        <v>46003</v>
      </c>
      <c r="C1510" s="232">
        <v>513</v>
      </c>
      <c r="D1510" s="232" t="str">
        <f>IFERROR(VLOOKUP(C1510,'Neraca Saldo'!$B$6:$C$56,2,0),"")</f>
        <v>Beban Pengurus dan Anggota</v>
      </c>
      <c r="E1510" s="194" t="s">
        <v>841</v>
      </c>
      <c r="F1510" s="234" t="s">
        <v>838</v>
      </c>
      <c r="G1510" s="232"/>
      <c r="H1510" s="188">
        <v>590600</v>
      </c>
      <c r="I1510" s="236">
        <v>0</v>
      </c>
    </row>
    <row r="1511" spans="2:9" ht="12.75" hidden="1" customHeight="1" x14ac:dyDescent="0.2">
      <c r="B1511" s="231">
        <v>46003</v>
      </c>
      <c r="C1511" s="232">
        <v>112</v>
      </c>
      <c r="D1511" s="232" t="str">
        <f>IFERROR(VLOOKUP(C1511,'Neraca Saldo'!$B$6:$C$56,2,0),"")</f>
        <v>Kas</v>
      </c>
      <c r="E1511" s="194" t="s">
        <v>841</v>
      </c>
      <c r="F1511" s="234" t="s">
        <v>838</v>
      </c>
      <c r="G1511" s="232"/>
      <c r="H1511" s="236">
        <f t="shared" si="34"/>
        <v>0</v>
      </c>
      <c r="I1511" s="236">
        <f t="shared" si="35"/>
        <v>590600</v>
      </c>
    </row>
    <row r="1512" spans="2:9" ht="12.75" customHeight="1" x14ac:dyDescent="0.2">
      <c r="B1512" s="231">
        <v>46003</v>
      </c>
      <c r="C1512" s="232">
        <v>513</v>
      </c>
      <c r="D1512" s="232" t="str">
        <f>IFERROR(VLOOKUP(C1512,'Neraca Saldo'!$B$6:$C$56,2,0),"")</f>
        <v>Beban Pengurus dan Anggota</v>
      </c>
      <c r="E1512" s="194" t="s">
        <v>1191</v>
      </c>
      <c r="F1512" s="234" t="s">
        <v>838</v>
      </c>
      <c r="G1512" s="232"/>
      <c r="H1512" s="188">
        <v>900000</v>
      </c>
      <c r="I1512" s="236">
        <v>0</v>
      </c>
    </row>
    <row r="1513" spans="2:9" ht="12.75" hidden="1" customHeight="1" x14ac:dyDescent="0.2">
      <c r="B1513" s="231">
        <v>46003</v>
      </c>
      <c r="C1513" s="232">
        <v>112</v>
      </c>
      <c r="D1513" s="232" t="str">
        <f>IFERROR(VLOOKUP(C1513,'Neraca Saldo'!$B$6:$C$56,2,0),"")</f>
        <v>Kas</v>
      </c>
      <c r="E1513" s="194" t="s">
        <v>1191</v>
      </c>
      <c r="F1513" s="234" t="s">
        <v>838</v>
      </c>
      <c r="G1513" s="232"/>
      <c r="H1513" s="236">
        <f t="shared" si="34"/>
        <v>0</v>
      </c>
      <c r="I1513" s="236">
        <f t="shared" si="35"/>
        <v>900000</v>
      </c>
    </row>
    <row r="1514" spans="2:9" ht="12.75" hidden="1" customHeight="1" x14ac:dyDescent="0.2">
      <c r="B1514" s="238">
        <v>46006</v>
      </c>
      <c r="C1514" s="239">
        <v>111</v>
      </c>
      <c r="D1514" s="239" t="str">
        <f>IFERROR(VLOOKUP(C1514,'Neraca Saldo'!$B$6:$C$56,2,0),"")</f>
        <v>Bank</v>
      </c>
      <c r="E1514" s="258" t="s">
        <v>1196</v>
      </c>
      <c r="F1514" s="244" t="s">
        <v>77</v>
      </c>
      <c r="G1514" s="239"/>
      <c r="H1514" s="245">
        <v>5221100</v>
      </c>
      <c r="I1514" s="240">
        <v>0</v>
      </c>
    </row>
    <row r="1515" spans="2:9" ht="12.75" hidden="1" customHeight="1" x14ac:dyDescent="0.2">
      <c r="B1515" s="238">
        <v>46006</v>
      </c>
      <c r="C1515" s="239">
        <v>411</v>
      </c>
      <c r="D1515" s="239" t="str">
        <f>IFERROR(VLOOKUP(C1515,'Neraca Saldo'!$B$6:$C$56,2,0),"")</f>
        <v>Pendapatan Toko</v>
      </c>
      <c r="E1515" s="258" t="s">
        <v>1196</v>
      </c>
      <c r="F1515" s="244" t="s">
        <v>77</v>
      </c>
      <c r="G1515" s="239"/>
      <c r="H1515" s="240">
        <f t="shared" si="34"/>
        <v>0</v>
      </c>
      <c r="I1515" s="240">
        <f t="shared" si="35"/>
        <v>5221100</v>
      </c>
    </row>
    <row r="1516" spans="2:9" ht="12.75" hidden="1" customHeight="1" x14ac:dyDescent="0.2">
      <c r="B1516" s="238">
        <v>46006</v>
      </c>
      <c r="C1516" s="239">
        <v>111</v>
      </c>
      <c r="D1516" s="239" t="str">
        <f>IFERROR(VLOOKUP(C1516,'Neraca Saldo'!$B$6:$C$56,2,0),"")</f>
        <v>Bank</v>
      </c>
      <c r="E1516" s="206" t="s">
        <v>1197</v>
      </c>
      <c r="F1516" s="244" t="s">
        <v>77</v>
      </c>
      <c r="G1516" s="239"/>
      <c r="H1516" s="245">
        <v>150000</v>
      </c>
      <c r="I1516" s="240">
        <v>0</v>
      </c>
    </row>
    <row r="1517" spans="2:9" ht="12.75" hidden="1" customHeight="1" x14ac:dyDescent="0.2">
      <c r="B1517" s="238">
        <v>46006</v>
      </c>
      <c r="C1517" s="239">
        <v>212</v>
      </c>
      <c r="D1517" s="239" t="str">
        <f>IFERROR(VLOOKUP(C1517,'Neraca Saldo'!$B$6:$C$56,2,0),"")</f>
        <v>Simpanan Karyawan</v>
      </c>
      <c r="E1517" s="206" t="s">
        <v>1197</v>
      </c>
      <c r="F1517" s="244" t="s">
        <v>77</v>
      </c>
      <c r="G1517" s="239"/>
      <c r="H1517" s="240">
        <f t="shared" si="34"/>
        <v>0</v>
      </c>
      <c r="I1517" s="240">
        <f t="shared" si="35"/>
        <v>150000</v>
      </c>
    </row>
    <row r="1518" spans="2:9" ht="12.75" hidden="1" customHeight="1" x14ac:dyDescent="0.2">
      <c r="B1518" s="238">
        <v>46006</v>
      </c>
      <c r="C1518" s="239">
        <v>111</v>
      </c>
      <c r="D1518" s="239" t="str">
        <f>IFERROR(VLOOKUP(C1518,'Neraca Saldo'!$B$6:$C$56,2,0),"")</f>
        <v>Bank</v>
      </c>
      <c r="E1518" s="206" t="s">
        <v>1198</v>
      </c>
      <c r="F1518" s="244" t="s">
        <v>77</v>
      </c>
      <c r="G1518" s="239"/>
      <c r="H1518" s="245">
        <v>63800000</v>
      </c>
      <c r="I1518" s="240">
        <v>0</v>
      </c>
    </row>
    <row r="1519" spans="2:9" ht="12.75" hidden="1" customHeight="1" x14ac:dyDescent="0.2">
      <c r="B1519" s="238">
        <v>46006</v>
      </c>
      <c r="C1519" s="239">
        <v>212</v>
      </c>
      <c r="D1519" s="239" t="str">
        <f>IFERROR(VLOOKUP(C1519,'Neraca Saldo'!$B$6:$C$56,2,0),"")</f>
        <v>Simpanan Karyawan</v>
      </c>
      <c r="E1519" s="206" t="s">
        <v>1198</v>
      </c>
      <c r="F1519" s="244" t="s">
        <v>77</v>
      </c>
      <c r="G1519" s="239"/>
      <c r="H1519" s="240">
        <f t="shared" si="34"/>
        <v>0</v>
      </c>
      <c r="I1519" s="240">
        <f t="shared" si="35"/>
        <v>63800000</v>
      </c>
    </row>
    <row r="1520" spans="2:9" ht="12.75" hidden="1" customHeight="1" x14ac:dyDescent="0.2">
      <c r="B1520" s="238">
        <v>46006</v>
      </c>
      <c r="C1520" s="239">
        <v>111</v>
      </c>
      <c r="D1520" s="239" t="str">
        <f>IFERROR(VLOOKUP(C1520,'Neraca Saldo'!$B$6:$C$56,2,0),"")</f>
        <v>Bank</v>
      </c>
      <c r="E1520" s="206" t="s">
        <v>1199</v>
      </c>
      <c r="F1520" s="244" t="s">
        <v>77</v>
      </c>
      <c r="G1520" s="239"/>
      <c r="H1520" s="245">
        <v>36193800</v>
      </c>
      <c r="I1520" s="240">
        <v>0</v>
      </c>
    </row>
    <row r="1521" spans="2:9" ht="12.75" hidden="1" customHeight="1" x14ac:dyDescent="0.2">
      <c r="B1521" s="238">
        <v>46006</v>
      </c>
      <c r="C1521" s="239">
        <v>212</v>
      </c>
      <c r="D1521" s="239" t="str">
        <f>IFERROR(VLOOKUP(C1521,'Neraca Saldo'!$B$6:$C$56,2,0),"")</f>
        <v>Simpanan Karyawan</v>
      </c>
      <c r="E1521" s="206" t="s">
        <v>1199</v>
      </c>
      <c r="F1521" s="244" t="s">
        <v>77</v>
      </c>
      <c r="G1521" s="239"/>
      <c r="H1521" s="240">
        <f t="shared" si="34"/>
        <v>0</v>
      </c>
      <c r="I1521" s="240">
        <f t="shared" si="35"/>
        <v>36193800</v>
      </c>
    </row>
    <row r="1522" spans="2:9" ht="12.75" hidden="1" customHeight="1" x14ac:dyDescent="0.2">
      <c r="B1522" s="238">
        <v>46006</v>
      </c>
      <c r="C1522" s="239">
        <v>111</v>
      </c>
      <c r="D1522" s="239" t="str">
        <f>IFERROR(VLOOKUP(C1522,'Neraca Saldo'!$B$6:$C$56,2,0),"")</f>
        <v>Bank</v>
      </c>
      <c r="E1522" s="206" t="s">
        <v>1200</v>
      </c>
      <c r="F1522" s="244" t="s">
        <v>77</v>
      </c>
      <c r="G1522" s="239"/>
      <c r="H1522" s="245">
        <v>7550000</v>
      </c>
      <c r="I1522" s="240">
        <v>0</v>
      </c>
    </row>
    <row r="1523" spans="2:9" ht="12.75" hidden="1" customHeight="1" x14ac:dyDescent="0.2">
      <c r="B1523" s="238">
        <v>46006</v>
      </c>
      <c r="C1523" s="239">
        <v>222</v>
      </c>
      <c r="D1523" s="239" t="str">
        <f>IFERROR(VLOOKUP(C1523,'Neraca Saldo'!$B$6:$C$56,2,0),"")</f>
        <v>Hutang SPN</v>
      </c>
      <c r="E1523" s="206" t="s">
        <v>1200</v>
      </c>
      <c r="F1523" s="244" t="s">
        <v>77</v>
      </c>
      <c r="G1523" s="239"/>
      <c r="H1523" s="240">
        <f t="shared" si="34"/>
        <v>0</v>
      </c>
      <c r="I1523" s="240">
        <f t="shared" si="35"/>
        <v>7550000</v>
      </c>
    </row>
    <row r="1524" spans="2:9" ht="12.75" hidden="1" customHeight="1" x14ac:dyDescent="0.2">
      <c r="B1524" s="238">
        <v>46006</v>
      </c>
      <c r="C1524" s="239">
        <v>111</v>
      </c>
      <c r="D1524" s="239" t="str">
        <f>IFERROR(VLOOKUP(C1524,'Neraca Saldo'!$B$6:$C$56,2,0),"")</f>
        <v>Bank</v>
      </c>
      <c r="E1524" s="206" t="s">
        <v>1201</v>
      </c>
      <c r="F1524" s="244" t="s">
        <v>77</v>
      </c>
      <c r="G1524" s="239"/>
      <c r="H1524" s="245">
        <v>86224020</v>
      </c>
      <c r="I1524" s="240">
        <v>0</v>
      </c>
    </row>
    <row r="1525" spans="2:9" ht="12.75" hidden="1" customHeight="1" x14ac:dyDescent="0.2">
      <c r="B1525" s="238">
        <v>46006</v>
      </c>
      <c r="C1525" s="239">
        <v>121</v>
      </c>
      <c r="D1525" s="239" t="str">
        <f>IFERROR(VLOOKUP(C1525,'Neraca Saldo'!$B$6:$C$56,2,0),"")</f>
        <v>Piutang Anggota</v>
      </c>
      <c r="E1525" s="206" t="s">
        <v>1201</v>
      </c>
      <c r="F1525" s="244" t="s">
        <v>77</v>
      </c>
      <c r="G1525" s="239"/>
      <c r="H1525" s="240">
        <f t="shared" si="34"/>
        <v>0</v>
      </c>
      <c r="I1525" s="240">
        <f t="shared" si="35"/>
        <v>86224020</v>
      </c>
    </row>
    <row r="1526" spans="2:9" ht="12.75" hidden="1" customHeight="1" x14ac:dyDescent="0.2">
      <c r="B1526" s="238">
        <v>46006</v>
      </c>
      <c r="C1526" s="239">
        <v>111</v>
      </c>
      <c r="D1526" s="239" t="str">
        <f>IFERROR(VLOOKUP(C1526,'Neraca Saldo'!$B$6:$C$56,2,0),"")</f>
        <v>Bank</v>
      </c>
      <c r="E1526" s="206" t="s">
        <v>1202</v>
      </c>
      <c r="F1526" s="244" t="s">
        <v>77</v>
      </c>
      <c r="G1526" s="239"/>
      <c r="H1526" s="245">
        <v>181214876</v>
      </c>
      <c r="I1526" s="240">
        <v>0</v>
      </c>
    </row>
    <row r="1527" spans="2:9" ht="12.75" hidden="1" customHeight="1" x14ac:dyDescent="0.2">
      <c r="B1527" s="238">
        <v>46006</v>
      </c>
      <c r="C1527" s="239">
        <v>121</v>
      </c>
      <c r="D1527" s="239" t="str">
        <f>IFERROR(VLOOKUP(C1527,'Neraca Saldo'!$B$6:$C$56,2,0),"")</f>
        <v>Piutang Anggota</v>
      </c>
      <c r="E1527" s="206" t="s">
        <v>1202</v>
      </c>
      <c r="F1527" s="244" t="s">
        <v>77</v>
      </c>
      <c r="G1527" s="239"/>
      <c r="H1527" s="240">
        <f t="shared" si="34"/>
        <v>0</v>
      </c>
      <c r="I1527" s="240">
        <f t="shared" si="35"/>
        <v>181214876</v>
      </c>
    </row>
    <row r="1528" spans="2:9" ht="12.75" hidden="1" customHeight="1" x14ac:dyDescent="0.2">
      <c r="B1528" s="238">
        <v>46006</v>
      </c>
      <c r="C1528" s="239">
        <v>111</v>
      </c>
      <c r="D1528" s="239" t="str">
        <f>IFERROR(VLOOKUP(C1528,'Neraca Saldo'!$B$6:$C$56,2,0),"")</f>
        <v>Bank</v>
      </c>
      <c r="E1528" s="206" t="s">
        <v>1203</v>
      </c>
      <c r="F1528" s="244" t="s">
        <v>77</v>
      </c>
      <c r="G1528" s="239"/>
      <c r="H1528" s="245">
        <v>7600000</v>
      </c>
      <c r="I1528" s="240">
        <v>0</v>
      </c>
    </row>
    <row r="1529" spans="2:9" ht="12.75" hidden="1" customHeight="1" x14ac:dyDescent="0.2">
      <c r="B1529" s="238">
        <v>46006</v>
      </c>
      <c r="C1529" s="239">
        <v>411</v>
      </c>
      <c r="D1529" s="239" t="str">
        <f>IFERROR(VLOOKUP(C1529,'Neraca Saldo'!$B$6:$C$56,2,0),"")</f>
        <v>Pendapatan Toko</v>
      </c>
      <c r="E1529" s="206" t="s">
        <v>1203</v>
      </c>
      <c r="F1529" s="244" t="s">
        <v>77</v>
      </c>
      <c r="G1529" s="239"/>
      <c r="H1529" s="240">
        <f t="shared" si="34"/>
        <v>0</v>
      </c>
      <c r="I1529" s="240">
        <f t="shared" si="35"/>
        <v>7600000</v>
      </c>
    </row>
    <row r="1530" spans="2:9" ht="12.75" hidden="1" customHeight="1" x14ac:dyDescent="0.2">
      <c r="B1530" s="238">
        <v>46006</v>
      </c>
      <c r="C1530" s="239">
        <v>111</v>
      </c>
      <c r="D1530" s="239" t="str">
        <f>IFERROR(VLOOKUP(C1530,'Neraca Saldo'!$B$6:$C$56,2,0),"")</f>
        <v>Bank</v>
      </c>
      <c r="E1530" s="206" t="s">
        <v>1204</v>
      </c>
      <c r="F1530" s="244" t="s">
        <v>77</v>
      </c>
      <c r="G1530" s="239"/>
      <c r="H1530" s="245">
        <v>1840000</v>
      </c>
      <c r="I1530" s="240">
        <v>0</v>
      </c>
    </row>
    <row r="1531" spans="2:9" ht="12.75" hidden="1" customHeight="1" x14ac:dyDescent="0.2">
      <c r="B1531" s="238">
        <v>46006</v>
      </c>
      <c r="C1531" s="239">
        <v>121</v>
      </c>
      <c r="D1531" s="239" t="str">
        <f>IFERROR(VLOOKUP(C1531,'Neraca Saldo'!$B$6:$C$56,2,0),"")</f>
        <v>Piutang Anggota</v>
      </c>
      <c r="E1531" s="206" t="s">
        <v>1204</v>
      </c>
      <c r="F1531" s="244" t="s">
        <v>77</v>
      </c>
      <c r="G1531" s="239"/>
      <c r="H1531" s="240">
        <f t="shared" si="34"/>
        <v>0</v>
      </c>
      <c r="I1531" s="240">
        <f t="shared" si="35"/>
        <v>1840000</v>
      </c>
    </row>
    <row r="1532" spans="2:9" ht="12.75" hidden="1" customHeight="1" x14ac:dyDescent="0.2">
      <c r="B1532" s="231">
        <v>46007</v>
      </c>
      <c r="C1532" s="232">
        <v>411</v>
      </c>
      <c r="D1532" s="232" t="str">
        <f>IFERROR(VLOOKUP(C1532,'Neraca Saldo'!$B$6:$C$56,2,0),"")</f>
        <v>Pendapatan Toko</v>
      </c>
      <c r="E1532" s="259" t="s">
        <v>1196</v>
      </c>
      <c r="F1532" s="234" t="s">
        <v>77</v>
      </c>
      <c r="G1532" s="232"/>
      <c r="H1532" s="246">
        <v>5221100</v>
      </c>
      <c r="I1532" s="236">
        <v>0</v>
      </c>
    </row>
    <row r="1533" spans="2:9" ht="12.75" hidden="1" customHeight="1" x14ac:dyDescent="0.2">
      <c r="B1533" s="231">
        <v>46007</v>
      </c>
      <c r="C1533" s="232">
        <v>111</v>
      </c>
      <c r="D1533" s="232" t="str">
        <f>IFERROR(VLOOKUP(C1533,'Neraca Saldo'!$B$6:$C$56,2,0),"")</f>
        <v>Bank</v>
      </c>
      <c r="E1533" s="259" t="s">
        <v>1196</v>
      </c>
      <c r="F1533" s="234" t="s">
        <v>77</v>
      </c>
      <c r="G1533" s="232"/>
      <c r="H1533" s="236">
        <f t="shared" si="34"/>
        <v>0</v>
      </c>
      <c r="I1533" s="236">
        <f t="shared" si="35"/>
        <v>5221100</v>
      </c>
    </row>
    <row r="1534" spans="2:9" ht="12.75" hidden="1" customHeight="1" x14ac:dyDescent="0.2">
      <c r="B1534" s="231">
        <v>46007</v>
      </c>
      <c r="C1534" s="232">
        <v>124</v>
      </c>
      <c r="D1534" s="232" t="str">
        <f>IFERROR(VLOOKUP(C1534,'Neraca Saldo'!$B$6:$C$56,2,0),"")</f>
        <v>Piutang USP</v>
      </c>
      <c r="E1534" s="205" t="s">
        <v>1199</v>
      </c>
      <c r="F1534" s="234" t="s">
        <v>77</v>
      </c>
      <c r="G1534" s="232"/>
      <c r="H1534" s="246">
        <v>36193800</v>
      </c>
      <c r="I1534" s="236">
        <v>0</v>
      </c>
    </row>
    <row r="1535" spans="2:9" ht="12.75" hidden="1" customHeight="1" x14ac:dyDescent="0.2">
      <c r="B1535" s="231">
        <v>46007</v>
      </c>
      <c r="C1535" s="232">
        <v>111</v>
      </c>
      <c r="D1535" s="232" t="str">
        <f>IFERROR(VLOOKUP(C1535,'Neraca Saldo'!$B$6:$C$56,2,0),"")</f>
        <v>Bank</v>
      </c>
      <c r="E1535" s="205" t="s">
        <v>1199</v>
      </c>
      <c r="F1535" s="234" t="s">
        <v>77</v>
      </c>
      <c r="G1535" s="232"/>
      <c r="H1535" s="236">
        <f t="shared" si="34"/>
        <v>0</v>
      </c>
      <c r="I1535" s="236">
        <f t="shared" si="35"/>
        <v>36193800</v>
      </c>
    </row>
    <row r="1536" spans="2:9" ht="12.75" hidden="1" customHeight="1" x14ac:dyDescent="0.2">
      <c r="B1536" s="231">
        <v>46007</v>
      </c>
      <c r="C1536" s="232">
        <v>222</v>
      </c>
      <c r="D1536" s="232" t="str">
        <f>IFERROR(VLOOKUP(C1536,'Neraca Saldo'!$B$6:$C$56,2,0),"")</f>
        <v>Hutang SPN</v>
      </c>
      <c r="E1536" s="205" t="s">
        <v>1200</v>
      </c>
      <c r="F1536" s="234" t="s">
        <v>77</v>
      </c>
      <c r="G1536" s="232"/>
      <c r="H1536" s="246">
        <v>7550000</v>
      </c>
      <c r="I1536" s="236">
        <v>0</v>
      </c>
    </row>
    <row r="1537" spans="2:9" ht="12.75" hidden="1" customHeight="1" x14ac:dyDescent="0.2">
      <c r="B1537" s="231">
        <v>46007</v>
      </c>
      <c r="C1537" s="232">
        <v>111</v>
      </c>
      <c r="D1537" s="232" t="str">
        <f>IFERROR(VLOOKUP(C1537,'Neraca Saldo'!$B$6:$C$56,2,0),"")</f>
        <v>Bank</v>
      </c>
      <c r="E1537" s="205" t="s">
        <v>1200</v>
      </c>
      <c r="F1537" s="234" t="s">
        <v>77</v>
      </c>
      <c r="G1537" s="232"/>
      <c r="H1537" s="236">
        <f t="shared" si="34"/>
        <v>0</v>
      </c>
      <c r="I1537" s="236">
        <f t="shared" si="35"/>
        <v>7550000</v>
      </c>
    </row>
    <row r="1538" spans="2:9" ht="12.75" hidden="1" customHeight="1" x14ac:dyDescent="0.2">
      <c r="B1538" s="231">
        <v>46007</v>
      </c>
      <c r="C1538" s="232">
        <v>126</v>
      </c>
      <c r="D1538" s="232" t="str">
        <f>IFERROR(VLOOKUP(C1538,'Neraca Saldo'!$B$6:$C$56,2,0),"")</f>
        <v>Piutang Pengadaan</v>
      </c>
      <c r="E1538" s="205" t="s">
        <v>1201</v>
      </c>
      <c r="F1538" s="234" t="s">
        <v>77</v>
      </c>
      <c r="G1538" s="232"/>
      <c r="H1538" s="246">
        <v>86224020</v>
      </c>
      <c r="I1538" s="236">
        <v>0</v>
      </c>
    </row>
    <row r="1539" spans="2:9" ht="12.75" hidden="1" customHeight="1" x14ac:dyDescent="0.2">
      <c r="B1539" s="231">
        <v>46007</v>
      </c>
      <c r="C1539" s="232">
        <v>111</v>
      </c>
      <c r="D1539" s="232" t="str">
        <f>IFERROR(VLOOKUP(C1539,'Neraca Saldo'!$B$6:$C$56,2,0),"")</f>
        <v>Bank</v>
      </c>
      <c r="E1539" s="205" t="s">
        <v>1201</v>
      </c>
      <c r="F1539" s="234" t="s">
        <v>77</v>
      </c>
      <c r="G1539" s="232"/>
      <c r="H1539" s="236">
        <f t="shared" si="34"/>
        <v>0</v>
      </c>
      <c r="I1539" s="236">
        <f t="shared" si="35"/>
        <v>86224020</v>
      </c>
    </row>
    <row r="1540" spans="2:9" ht="12.75" hidden="1" customHeight="1" x14ac:dyDescent="0.2">
      <c r="B1540" s="231">
        <v>46007</v>
      </c>
      <c r="C1540" s="232">
        <v>124</v>
      </c>
      <c r="D1540" s="232" t="str">
        <f>IFERROR(VLOOKUP(C1540,'Neraca Saldo'!$B$6:$C$56,2,0),"")</f>
        <v>Piutang USP</v>
      </c>
      <c r="E1540" s="205" t="s">
        <v>1202</v>
      </c>
      <c r="F1540" s="234" t="s">
        <v>77</v>
      </c>
      <c r="G1540" s="232"/>
      <c r="H1540" s="246">
        <v>181214876</v>
      </c>
      <c r="I1540" s="236">
        <v>0</v>
      </c>
    </row>
    <row r="1541" spans="2:9" ht="12.75" hidden="1" customHeight="1" x14ac:dyDescent="0.2">
      <c r="B1541" s="231">
        <v>46007</v>
      </c>
      <c r="C1541" s="232">
        <v>111</v>
      </c>
      <c r="D1541" s="232" t="str">
        <f>IFERROR(VLOOKUP(C1541,'Neraca Saldo'!$B$6:$C$56,2,0),"")</f>
        <v>Bank</v>
      </c>
      <c r="E1541" s="205" t="s">
        <v>1202</v>
      </c>
      <c r="F1541" s="234" t="s">
        <v>77</v>
      </c>
      <c r="G1541" s="232"/>
      <c r="H1541" s="236">
        <f t="shared" si="34"/>
        <v>0</v>
      </c>
      <c r="I1541" s="236">
        <f t="shared" si="35"/>
        <v>181214876</v>
      </c>
    </row>
    <row r="1542" spans="2:9" ht="12.75" hidden="1" customHeight="1" x14ac:dyDescent="0.2">
      <c r="B1542" s="231">
        <v>46007</v>
      </c>
      <c r="C1542" s="232">
        <v>411</v>
      </c>
      <c r="D1542" s="232" t="str">
        <f>IFERROR(VLOOKUP(C1542,'Neraca Saldo'!$B$6:$C$56,2,0),"")</f>
        <v>Pendapatan Toko</v>
      </c>
      <c r="E1542" s="205" t="s">
        <v>1203</v>
      </c>
      <c r="F1542" s="234" t="s">
        <v>77</v>
      </c>
      <c r="G1542" s="232"/>
      <c r="H1542" s="246">
        <v>7600000</v>
      </c>
      <c r="I1542" s="236">
        <v>0</v>
      </c>
    </row>
    <row r="1543" spans="2:9" ht="12.75" hidden="1" customHeight="1" x14ac:dyDescent="0.2">
      <c r="B1543" s="231">
        <v>46007</v>
      </c>
      <c r="C1543" s="232">
        <v>111</v>
      </c>
      <c r="D1543" s="232" t="str">
        <f>IFERROR(VLOOKUP(C1543,'Neraca Saldo'!$B$6:$C$56,2,0),"")</f>
        <v>Bank</v>
      </c>
      <c r="E1543" s="205" t="s">
        <v>1203</v>
      </c>
      <c r="F1543" s="234" t="s">
        <v>77</v>
      </c>
      <c r="G1543" s="232"/>
      <c r="H1543" s="236">
        <f t="shared" si="34"/>
        <v>0</v>
      </c>
      <c r="I1543" s="236">
        <f t="shared" si="35"/>
        <v>7600000</v>
      </c>
    </row>
    <row r="1544" spans="2:9" ht="12.75" hidden="1" customHeight="1" x14ac:dyDescent="0.2">
      <c r="B1544" s="231">
        <v>46007</v>
      </c>
      <c r="C1544" s="232">
        <v>126</v>
      </c>
      <c r="D1544" s="232" t="str">
        <f>IFERROR(VLOOKUP(C1544,'Neraca Saldo'!$B$6:$C$56,2,0),"")</f>
        <v>Piutang Pengadaan</v>
      </c>
      <c r="E1544" s="205" t="s">
        <v>1204</v>
      </c>
      <c r="F1544" s="234" t="s">
        <v>77</v>
      </c>
      <c r="G1544" s="232"/>
      <c r="H1544" s="246">
        <v>1840000</v>
      </c>
      <c r="I1544" s="236">
        <v>0</v>
      </c>
    </row>
    <row r="1545" spans="2:9" ht="12.75" hidden="1" customHeight="1" x14ac:dyDescent="0.2">
      <c r="B1545" s="231">
        <v>46007</v>
      </c>
      <c r="C1545" s="232">
        <v>111</v>
      </c>
      <c r="D1545" s="232" t="str">
        <f>IFERROR(VLOOKUP(C1545,'Neraca Saldo'!$B$6:$C$56,2,0),"")</f>
        <v>Bank</v>
      </c>
      <c r="E1545" s="205" t="s">
        <v>1204</v>
      </c>
      <c r="F1545" s="234" t="s">
        <v>77</v>
      </c>
      <c r="G1545" s="232"/>
      <c r="H1545" s="236">
        <f t="shared" si="34"/>
        <v>0</v>
      </c>
      <c r="I1545" s="236">
        <f t="shared" si="35"/>
        <v>1840000</v>
      </c>
    </row>
    <row r="1546" spans="2:9" ht="12.75" customHeight="1" x14ac:dyDescent="0.2">
      <c r="B1546" s="231">
        <v>46007</v>
      </c>
      <c r="C1546" s="232">
        <v>513</v>
      </c>
      <c r="D1546" s="232" t="str">
        <f>IFERROR(VLOOKUP(C1546,'Neraca Saldo'!$B$6:$C$56,2,0),"")</f>
        <v>Beban Pengurus dan Anggota</v>
      </c>
      <c r="E1546" s="205" t="s">
        <v>1208</v>
      </c>
      <c r="F1546" s="234" t="s">
        <v>77</v>
      </c>
      <c r="G1546" s="232"/>
      <c r="H1546" s="196">
        <v>17135000</v>
      </c>
      <c r="I1546" s="236">
        <v>0</v>
      </c>
    </row>
    <row r="1547" spans="2:9" ht="12.75" hidden="1" customHeight="1" x14ac:dyDescent="0.2">
      <c r="B1547" s="231">
        <v>46007</v>
      </c>
      <c r="C1547" s="232">
        <v>111</v>
      </c>
      <c r="D1547" s="232" t="str">
        <f>IFERROR(VLOOKUP(C1547,'Neraca Saldo'!$B$6:$C$56,2,0),"")</f>
        <v>Bank</v>
      </c>
      <c r="E1547" s="205" t="s">
        <v>1208</v>
      </c>
      <c r="F1547" s="234" t="s">
        <v>77</v>
      </c>
      <c r="G1547" s="232"/>
      <c r="H1547" s="236">
        <f t="shared" si="34"/>
        <v>0</v>
      </c>
      <c r="I1547" s="236">
        <f t="shared" si="35"/>
        <v>17135000</v>
      </c>
    </row>
    <row r="1548" spans="2:9" ht="12.75" customHeight="1" x14ac:dyDescent="0.2">
      <c r="B1548" s="231">
        <v>46007</v>
      </c>
      <c r="C1548" s="232">
        <v>513</v>
      </c>
      <c r="D1548" s="232" t="str">
        <f>IFERROR(VLOOKUP(C1548,'Neraca Saldo'!$B$6:$C$56,2,0),"")</f>
        <v>Beban Pengurus dan Anggota</v>
      </c>
      <c r="E1548" s="194" t="s">
        <v>841</v>
      </c>
      <c r="F1548" s="234" t="s">
        <v>838</v>
      </c>
      <c r="G1548" s="232"/>
      <c r="H1548" s="188">
        <v>960000</v>
      </c>
      <c r="I1548" s="236">
        <v>0</v>
      </c>
    </row>
    <row r="1549" spans="2:9" ht="12.75" hidden="1" customHeight="1" x14ac:dyDescent="0.2">
      <c r="B1549" s="231">
        <v>46007</v>
      </c>
      <c r="C1549" s="232">
        <v>112</v>
      </c>
      <c r="D1549" s="232" t="str">
        <f>IFERROR(VLOOKUP(C1549,'Neraca Saldo'!$B$6:$C$56,2,0),"")</f>
        <v>Kas</v>
      </c>
      <c r="E1549" s="194" t="s">
        <v>841</v>
      </c>
      <c r="F1549" s="234" t="s">
        <v>838</v>
      </c>
      <c r="G1549" s="232"/>
      <c r="H1549" s="236">
        <f t="shared" si="34"/>
        <v>0</v>
      </c>
      <c r="I1549" s="236">
        <f t="shared" si="35"/>
        <v>960000</v>
      </c>
    </row>
    <row r="1550" spans="2:9" ht="12.75" hidden="1" customHeight="1" x14ac:dyDescent="0.2">
      <c r="B1550" s="231">
        <v>46007</v>
      </c>
      <c r="C1550" s="232">
        <v>112</v>
      </c>
      <c r="D1550" s="232" t="str">
        <f>IFERROR(VLOOKUP(C1550,'Neraca Saldo'!$B$6:$C$56,2,0),"")</f>
        <v>Kas</v>
      </c>
      <c r="E1550" s="232" t="s">
        <v>838</v>
      </c>
      <c r="F1550" s="234" t="s">
        <v>77</v>
      </c>
      <c r="G1550" s="232"/>
      <c r="H1550" s="196">
        <v>10000000</v>
      </c>
      <c r="I1550" s="236">
        <v>0</v>
      </c>
    </row>
    <row r="1551" spans="2:9" ht="12.75" hidden="1" customHeight="1" x14ac:dyDescent="0.2">
      <c r="B1551" s="231">
        <v>46007</v>
      </c>
      <c r="C1551" s="232">
        <v>111</v>
      </c>
      <c r="D1551" s="232" t="str">
        <f>IFERROR(VLOOKUP(C1551,'Neraca Saldo'!$B$6:$C$56,2,0),"")</f>
        <v>Bank</v>
      </c>
      <c r="E1551" s="232" t="s">
        <v>838</v>
      </c>
      <c r="F1551" s="234" t="s">
        <v>77</v>
      </c>
      <c r="G1551" s="232"/>
      <c r="H1551" s="236">
        <f t="shared" si="34"/>
        <v>0</v>
      </c>
      <c r="I1551" s="236">
        <f t="shared" si="35"/>
        <v>10000000</v>
      </c>
    </row>
    <row r="1552" spans="2:9" ht="12.75" customHeight="1" x14ac:dyDescent="0.2">
      <c r="B1552" s="231">
        <v>46007</v>
      </c>
      <c r="C1552" s="232">
        <v>513</v>
      </c>
      <c r="D1552" s="232" t="str">
        <f>IFERROR(VLOOKUP(C1552,'Neraca Saldo'!$B$6:$C$56,2,0),"")</f>
        <v>Beban Pengurus dan Anggota</v>
      </c>
      <c r="E1552" s="194" t="s">
        <v>841</v>
      </c>
      <c r="F1552" s="234" t="s">
        <v>838</v>
      </c>
      <c r="G1552" s="232"/>
      <c r="H1552" s="188">
        <v>291000</v>
      </c>
      <c r="I1552" s="236">
        <v>0</v>
      </c>
    </row>
    <row r="1553" spans="2:9" ht="12.75" hidden="1" customHeight="1" x14ac:dyDescent="0.2">
      <c r="B1553" s="231">
        <v>46007</v>
      </c>
      <c r="C1553" s="232">
        <v>112</v>
      </c>
      <c r="D1553" s="232" t="str">
        <f>IFERROR(VLOOKUP(C1553,'Neraca Saldo'!$B$6:$C$56,2,0),"")</f>
        <v>Kas</v>
      </c>
      <c r="E1553" s="194" t="s">
        <v>841</v>
      </c>
      <c r="F1553" s="234" t="s">
        <v>838</v>
      </c>
      <c r="G1553" s="232"/>
      <c r="H1553" s="236">
        <f t="shared" si="34"/>
        <v>0</v>
      </c>
      <c r="I1553" s="236">
        <f t="shared" si="35"/>
        <v>291000</v>
      </c>
    </row>
    <row r="1554" spans="2:9" ht="12.75" hidden="1" customHeight="1" x14ac:dyDescent="0.2">
      <c r="B1554" s="238">
        <v>46007</v>
      </c>
      <c r="C1554" s="239">
        <v>111</v>
      </c>
      <c r="D1554" s="239" t="str">
        <f>IFERROR(VLOOKUP(C1554,'Neraca Saldo'!$B$6:$C$56,2,0),"")</f>
        <v>Bank</v>
      </c>
      <c r="E1554" s="206" t="s">
        <v>1209</v>
      </c>
      <c r="F1554" s="244" t="s">
        <v>77</v>
      </c>
      <c r="G1554" s="239"/>
      <c r="H1554" s="245">
        <v>490000</v>
      </c>
      <c r="I1554" s="240">
        <v>0</v>
      </c>
    </row>
    <row r="1555" spans="2:9" ht="12.75" customHeight="1" x14ac:dyDescent="0.2">
      <c r="B1555" s="238">
        <v>46007</v>
      </c>
      <c r="C1555" s="239">
        <v>513</v>
      </c>
      <c r="D1555" s="239" t="str">
        <f>IFERROR(VLOOKUP(C1555,'Neraca Saldo'!$B$6:$C$56,2,0),"")</f>
        <v>Beban Pengurus dan Anggota</v>
      </c>
      <c r="E1555" s="206" t="s">
        <v>1209</v>
      </c>
      <c r="F1555" s="244" t="s">
        <v>77</v>
      </c>
      <c r="G1555" s="239"/>
      <c r="H1555" s="240">
        <f t="shared" si="34"/>
        <v>0</v>
      </c>
      <c r="I1555" s="240">
        <f t="shared" si="35"/>
        <v>490000</v>
      </c>
    </row>
    <row r="1556" spans="2:9" ht="12.75" hidden="1" customHeight="1" x14ac:dyDescent="0.2">
      <c r="B1556" s="238">
        <v>46008</v>
      </c>
      <c r="C1556" s="239">
        <v>111</v>
      </c>
      <c r="D1556" s="239" t="str">
        <f>IFERROR(VLOOKUP(C1556,'Neraca Saldo'!$B$6:$C$56,2,0),"")</f>
        <v>Bank</v>
      </c>
      <c r="E1556" s="206" t="s">
        <v>1104</v>
      </c>
      <c r="F1556" s="244" t="s">
        <v>77</v>
      </c>
      <c r="G1556" s="239"/>
      <c r="H1556" s="245">
        <v>2000000</v>
      </c>
      <c r="I1556" s="240">
        <v>0</v>
      </c>
    </row>
    <row r="1557" spans="2:9" ht="12.75" hidden="1" customHeight="1" x14ac:dyDescent="0.2">
      <c r="B1557" s="238">
        <v>46008</v>
      </c>
      <c r="C1557" s="239">
        <v>212</v>
      </c>
      <c r="D1557" s="239" t="str">
        <f>IFERROR(VLOOKUP(C1557,'Neraca Saldo'!$B$6:$C$56,2,0),"")</f>
        <v>Simpanan Karyawan</v>
      </c>
      <c r="E1557" s="206" t="s">
        <v>1104</v>
      </c>
      <c r="F1557" s="244" t="s">
        <v>77</v>
      </c>
      <c r="G1557" s="239"/>
      <c r="H1557" s="240">
        <f>I1556</f>
        <v>0</v>
      </c>
      <c r="I1557" s="240">
        <f>H1556</f>
        <v>2000000</v>
      </c>
    </row>
    <row r="1558" spans="2:9" ht="12.75" hidden="1" customHeight="1" x14ac:dyDescent="0.2">
      <c r="B1558" s="238">
        <v>46015</v>
      </c>
      <c r="C1558" s="239">
        <v>112</v>
      </c>
      <c r="D1558" s="239" t="str">
        <f>IFERROR(VLOOKUP(C1558,'Neraca Saldo'!$B$6:$C$56,2,0),"")</f>
        <v>Kas</v>
      </c>
      <c r="E1558" s="198" t="s">
        <v>1211</v>
      </c>
      <c r="F1558" s="244" t="s">
        <v>838</v>
      </c>
      <c r="G1558" s="239"/>
      <c r="H1558" s="191">
        <v>1800000</v>
      </c>
      <c r="I1558" s="240">
        <v>0</v>
      </c>
    </row>
    <row r="1559" spans="2:9" ht="12.75" hidden="1" customHeight="1" x14ac:dyDescent="0.2">
      <c r="B1559" s="238">
        <v>46015</v>
      </c>
      <c r="C1559" s="239">
        <v>414</v>
      </c>
      <c r="D1559" s="239" t="str">
        <f>IFERROR(VLOOKUP(C1559,'Neraca Saldo'!$B$6:$C$56,2,0),"")</f>
        <v>Pendapatan Jasa Pengadaan</v>
      </c>
      <c r="E1559" s="198" t="s">
        <v>1211</v>
      </c>
      <c r="F1559" s="244" t="s">
        <v>838</v>
      </c>
      <c r="G1559" s="239"/>
      <c r="H1559" s="240">
        <f>I1558</f>
        <v>0</v>
      </c>
      <c r="I1559" s="240">
        <f>H1558</f>
        <v>1800000</v>
      </c>
    </row>
    <row r="1560" spans="2:9" ht="12.75" hidden="1" customHeight="1" x14ac:dyDescent="0.2">
      <c r="B1560" s="231">
        <v>46015</v>
      </c>
      <c r="C1560" s="232">
        <v>212</v>
      </c>
      <c r="D1560" s="232" t="str">
        <f>IFERROR(VLOOKUP(C1560,'Neraca Saldo'!$B$6:$C$56,2,0),"")</f>
        <v>Simpanan Karyawan</v>
      </c>
      <c r="E1560" s="194" t="s">
        <v>1119</v>
      </c>
      <c r="F1560" s="234" t="s">
        <v>838</v>
      </c>
      <c r="G1560" s="232"/>
      <c r="H1560" s="188">
        <v>3000000</v>
      </c>
      <c r="I1560" s="236">
        <v>0</v>
      </c>
    </row>
    <row r="1561" spans="2:9" ht="12.75" hidden="1" customHeight="1" x14ac:dyDescent="0.2">
      <c r="B1561" s="231">
        <v>46015</v>
      </c>
      <c r="C1561" s="232">
        <v>112</v>
      </c>
      <c r="D1561" s="232" t="str">
        <f>IFERROR(VLOOKUP(C1561,'Neraca Saldo'!$B$6:$C$56,2,0),"")</f>
        <v>Kas</v>
      </c>
      <c r="E1561" s="194" t="s">
        <v>1119</v>
      </c>
      <c r="F1561" s="234" t="s">
        <v>838</v>
      </c>
      <c r="G1561" s="232"/>
      <c r="H1561" s="236">
        <f>I1560</f>
        <v>0</v>
      </c>
      <c r="I1561" s="236">
        <f>H1560</f>
        <v>3000000</v>
      </c>
    </row>
    <row r="1562" spans="2:9" ht="12.75" customHeight="1" x14ac:dyDescent="0.2">
      <c r="B1562" s="231">
        <v>46015</v>
      </c>
      <c r="C1562" s="232">
        <v>513</v>
      </c>
      <c r="D1562" s="232" t="str">
        <f>IFERROR(VLOOKUP(C1562,'Neraca Saldo'!$B$6:$C$56,2,0),"")</f>
        <v>Beban Pengurus dan Anggota</v>
      </c>
      <c r="E1562" s="217" t="s">
        <v>1220</v>
      </c>
      <c r="F1562" s="234" t="s">
        <v>838</v>
      </c>
      <c r="G1562" s="232"/>
      <c r="H1562" s="188">
        <v>5000000</v>
      </c>
      <c r="I1562" s="236">
        <v>0</v>
      </c>
    </row>
    <row r="1563" spans="2:9" ht="12.75" hidden="1" customHeight="1" x14ac:dyDescent="0.2">
      <c r="B1563" s="231">
        <v>46015</v>
      </c>
      <c r="C1563" s="232">
        <v>112</v>
      </c>
      <c r="D1563" s="232" t="str">
        <f>IFERROR(VLOOKUP(C1563,'Neraca Saldo'!$B$6:$C$56,2,0),"")</f>
        <v>Kas</v>
      </c>
      <c r="E1563" s="217" t="s">
        <v>1220</v>
      </c>
      <c r="F1563" s="234" t="s">
        <v>838</v>
      </c>
      <c r="G1563" s="232"/>
      <c r="H1563" s="236">
        <f>I1562</f>
        <v>0</v>
      </c>
      <c r="I1563" s="236">
        <f>H1562</f>
        <v>5000000</v>
      </c>
    </row>
    <row r="1564" spans="2:9" ht="12.75" hidden="1" customHeight="1" x14ac:dyDescent="0.2">
      <c r="B1564" s="238">
        <v>46017</v>
      </c>
      <c r="C1564" s="239">
        <v>111</v>
      </c>
      <c r="D1564" s="239" t="str">
        <f>IFERROR(VLOOKUP(C1564,'Neraca Saldo'!$B$6:$C$56,2,0),"")</f>
        <v>Bank</v>
      </c>
      <c r="E1564" s="206" t="s">
        <v>1048</v>
      </c>
      <c r="F1564" s="244" t="s">
        <v>77</v>
      </c>
      <c r="G1564" s="239"/>
      <c r="H1564" s="245">
        <v>200000</v>
      </c>
      <c r="I1564" s="240">
        <v>0</v>
      </c>
    </row>
    <row r="1565" spans="2:9" ht="12.75" hidden="1" customHeight="1" x14ac:dyDescent="0.2">
      <c r="B1565" s="238">
        <v>46017</v>
      </c>
      <c r="C1565" s="239">
        <v>212</v>
      </c>
      <c r="D1565" s="239" t="str">
        <f>IFERROR(VLOOKUP(C1565,'Neraca Saldo'!$B$6:$C$56,2,0),"")</f>
        <v>Simpanan Karyawan</v>
      </c>
      <c r="E1565" s="206" t="s">
        <v>1048</v>
      </c>
      <c r="F1565" s="244" t="s">
        <v>77</v>
      </c>
      <c r="G1565" s="239"/>
      <c r="H1565" s="240">
        <f>I1564</f>
        <v>0</v>
      </c>
      <c r="I1565" s="240">
        <f>H1564</f>
        <v>200000</v>
      </c>
    </row>
    <row r="1566" spans="2:9" ht="12.75" hidden="1" customHeight="1" x14ac:dyDescent="0.2">
      <c r="B1566" s="238">
        <v>46017</v>
      </c>
      <c r="C1566" s="239">
        <v>111</v>
      </c>
      <c r="D1566" s="239" t="str">
        <f>IFERROR(VLOOKUP(C1566,'Neraca Saldo'!$B$6:$C$56,2,0),"")</f>
        <v>Bank</v>
      </c>
      <c r="E1566" s="206" t="s">
        <v>1210</v>
      </c>
      <c r="F1566" s="244" t="s">
        <v>77</v>
      </c>
      <c r="G1566" s="239"/>
      <c r="H1566" s="245">
        <v>350000</v>
      </c>
      <c r="I1566" s="240">
        <v>0</v>
      </c>
    </row>
    <row r="1567" spans="2:9" ht="12.75" hidden="1" customHeight="1" x14ac:dyDescent="0.2">
      <c r="B1567" s="238">
        <v>46017</v>
      </c>
      <c r="C1567" s="239">
        <v>212</v>
      </c>
      <c r="D1567" s="239" t="str">
        <f>IFERROR(VLOOKUP(C1567,'Neraca Saldo'!$B$6:$C$56,2,0),"")</f>
        <v>Simpanan Karyawan</v>
      </c>
      <c r="E1567" s="206" t="s">
        <v>1210</v>
      </c>
      <c r="F1567" s="244" t="s">
        <v>77</v>
      </c>
      <c r="G1567" s="239"/>
      <c r="H1567" s="240">
        <f>I1566</f>
        <v>0</v>
      </c>
      <c r="I1567" s="240">
        <f>H1566</f>
        <v>350000</v>
      </c>
    </row>
    <row r="1568" spans="2:9" ht="12.75" customHeight="1" x14ac:dyDescent="0.2">
      <c r="B1568" s="231">
        <v>46019</v>
      </c>
      <c r="C1568" s="232">
        <v>513</v>
      </c>
      <c r="D1568" s="232" t="str">
        <f>IFERROR(VLOOKUP(C1568,'Neraca Saldo'!$B$6:$C$56,2,0),"")</f>
        <v>Beban Pengurus dan Anggota</v>
      </c>
      <c r="E1568" s="194" t="s">
        <v>841</v>
      </c>
      <c r="F1568" s="234" t="s">
        <v>838</v>
      </c>
      <c r="G1568" s="232"/>
      <c r="H1568" s="188">
        <v>517350</v>
      </c>
      <c r="I1568" s="236">
        <v>0</v>
      </c>
    </row>
    <row r="1569" spans="2:9" ht="12.75" hidden="1" customHeight="1" x14ac:dyDescent="0.2">
      <c r="B1569" s="231">
        <v>46019</v>
      </c>
      <c r="C1569" s="232">
        <v>112</v>
      </c>
      <c r="D1569" s="232" t="str">
        <f>IFERROR(VLOOKUP(C1569,'Neraca Saldo'!$B$6:$C$56,2,0),"")</f>
        <v>Kas</v>
      </c>
      <c r="E1569" s="194" t="s">
        <v>841</v>
      </c>
      <c r="F1569" s="234" t="s">
        <v>838</v>
      </c>
      <c r="G1569" s="232"/>
      <c r="H1569" s="236">
        <f>I1568</f>
        <v>0</v>
      </c>
      <c r="I1569" s="236">
        <f>H1568</f>
        <v>517350</v>
      </c>
    </row>
    <row r="1570" spans="2:9" ht="12.75" hidden="1" customHeight="1" x14ac:dyDescent="0.2">
      <c r="B1570" s="231">
        <v>46020</v>
      </c>
      <c r="C1570" s="232">
        <v>313</v>
      </c>
      <c r="D1570" s="232" t="str">
        <f>IFERROR(VLOOKUP(C1570,'Neraca Saldo'!$B$6:$C$56,2,0),"")</f>
        <v>(Laba)/Rugi ditahan</v>
      </c>
      <c r="E1570" s="194" t="s">
        <v>1212</v>
      </c>
      <c r="F1570" s="234" t="s">
        <v>838</v>
      </c>
      <c r="G1570" s="232"/>
      <c r="H1570" s="188">
        <v>250000</v>
      </c>
      <c r="I1570" s="236">
        <v>0</v>
      </c>
    </row>
    <row r="1571" spans="2:9" ht="12.75" hidden="1" customHeight="1" x14ac:dyDescent="0.2">
      <c r="B1571" s="231">
        <v>46020</v>
      </c>
      <c r="C1571" s="232">
        <v>112</v>
      </c>
      <c r="D1571" s="232" t="str">
        <f>IFERROR(VLOOKUP(C1571,'Neraca Saldo'!$B$6:$C$56,2,0),"")</f>
        <v>Kas</v>
      </c>
      <c r="E1571" s="194" t="s">
        <v>1212</v>
      </c>
      <c r="F1571" s="234" t="s">
        <v>838</v>
      </c>
      <c r="G1571" s="232"/>
      <c r="H1571" s="236">
        <f>I1570</f>
        <v>0</v>
      </c>
      <c r="I1571" s="236">
        <f>H1570</f>
        <v>250000</v>
      </c>
    </row>
    <row r="1572" spans="2:9" ht="12.75" customHeight="1" x14ac:dyDescent="0.2">
      <c r="B1572" s="231">
        <v>46020</v>
      </c>
      <c r="C1572" s="232">
        <v>513</v>
      </c>
      <c r="D1572" s="232" t="str">
        <f>IFERROR(VLOOKUP(C1572,'Neraca Saldo'!$B$6:$C$56,2,0),"")</f>
        <v>Beban Pengurus dan Anggota</v>
      </c>
      <c r="E1572" s="217" t="s">
        <v>1221</v>
      </c>
      <c r="F1572" s="234" t="s">
        <v>838</v>
      </c>
      <c r="G1572" s="232"/>
      <c r="H1572" s="188">
        <v>2030000</v>
      </c>
      <c r="I1572" s="236">
        <v>0</v>
      </c>
    </row>
    <row r="1573" spans="2:9" ht="12.75" hidden="1" customHeight="1" x14ac:dyDescent="0.2">
      <c r="B1573" s="231">
        <v>46020</v>
      </c>
      <c r="C1573" s="232">
        <v>112</v>
      </c>
      <c r="D1573" s="232" t="str">
        <f>IFERROR(VLOOKUP(C1573,'Neraca Saldo'!$B$6:$C$56,2,0),"")</f>
        <v>Kas</v>
      </c>
      <c r="E1573" s="217" t="s">
        <v>1221</v>
      </c>
      <c r="F1573" s="234" t="s">
        <v>838</v>
      </c>
      <c r="G1573" s="232"/>
      <c r="H1573" s="236">
        <f>I1572</f>
        <v>0</v>
      </c>
      <c r="I1573" s="236">
        <f>H1572</f>
        <v>2030000</v>
      </c>
    </row>
    <row r="1574" spans="2:9" ht="12.75" customHeight="1" x14ac:dyDescent="0.2">
      <c r="B1574" s="231">
        <v>46020</v>
      </c>
      <c r="C1574" s="232">
        <v>513</v>
      </c>
      <c r="D1574" s="232" t="str">
        <f>IFERROR(VLOOKUP(C1574,'Neraca Saldo'!$B$6:$C$56,2,0),"")</f>
        <v>Beban Pengurus dan Anggota</v>
      </c>
      <c r="E1574" s="217" t="s">
        <v>1222</v>
      </c>
      <c r="F1574" s="234" t="s">
        <v>838</v>
      </c>
      <c r="G1574" s="232"/>
      <c r="H1574" s="246">
        <v>88000</v>
      </c>
      <c r="I1574" s="236">
        <v>0</v>
      </c>
    </row>
    <row r="1575" spans="2:9" ht="12.75" hidden="1" customHeight="1" x14ac:dyDescent="0.2">
      <c r="B1575" s="231">
        <v>46020</v>
      </c>
      <c r="C1575" s="232">
        <v>112</v>
      </c>
      <c r="D1575" s="232" t="str">
        <f>IFERROR(VLOOKUP(C1575,'Neraca Saldo'!$B$6:$C$56,2,0),"")</f>
        <v>Kas</v>
      </c>
      <c r="E1575" s="217" t="s">
        <v>1222</v>
      </c>
      <c r="F1575" s="234" t="s">
        <v>838</v>
      </c>
      <c r="G1575" s="232"/>
      <c r="H1575" s="236">
        <f>I1574</f>
        <v>0</v>
      </c>
      <c r="I1575" s="236">
        <f>H1574</f>
        <v>88000</v>
      </c>
    </row>
    <row r="1576" spans="2:9" ht="12.75" hidden="1" customHeight="1" x14ac:dyDescent="0.2">
      <c r="B1576" s="238">
        <v>46021</v>
      </c>
      <c r="C1576" s="239">
        <v>111</v>
      </c>
      <c r="D1576" s="239" t="str">
        <f>IFERROR(VLOOKUP(C1576,'Neraca Saldo'!$B$6:$C$56,2,0),"")</f>
        <v>Bank</v>
      </c>
      <c r="E1576" s="206" t="s">
        <v>1104</v>
      </c>
      <c r="F1576" s="244" t="s">
        <v>77</v>
      </c>
      <c r="G1576" s="239"/>
      <c r="H1576" s="245">
        <v>2500000</v>
      </c>
      <c r="I1576" s="240">
        <v>0</v>
      </c>
    </row>
    <row r="1577" spans="2:9" ht="12.75" hidden="1" customHeight="1" x14ac:dyDescent="0.2">
      <c r="B1577" s="238">
        <v>46021</v>
      </c>
      <c r="C1577" s="239">
        <v>212</v>
      </c>
      <c r="D1577" s="239" t="str">
        <f>IFERROR(VLOOKUP(C1577,'Neraca Saldo'!$B$6:$C$56,2,0),"")</f>
        <v>Simpanan Karyawan</v>
      </c>
      <c r="E1577" s="206" t="s">
        <v>1104</v>
      </c>
      <c r="F1577" s="244" t="s">
        <v>77</v>
      </c>
      <c r="G1577" s="239"/>
      <c r="H1577" s="240">
        <f>I1576</f>
        <v>0</v>
      </c>
      <c r="I1577" s="240">
        <f>H1576</f>
        <v>2500000</v>
      </c>
    </row>
    <row r="1578" spans="2:9" ht="12.75" hidden="1" customHeight="1" x14ac:dyDescent="0.2">
      <c r="B1578" s="238">
        <v>46021</v>
      </c>
      <c r="C1578" s="239">
        <v>111</v>
      </c>
      <c r="D1578" s="239" t="str">
        <f>IFERROR(VLOOKUP(C1578,'Neraca Saldo'!$B$6:$C$56,2,0),"")</f>
        <v>Bank</v>
      </c>
      <c r="E1578" s="206" t="s">
        <v>1137</v>
      </c>
      <c r="F1578" s="244" t="s">
        <v>77</v>
      </c>
      <c r="G1578" s="239"/>
      <c r="H1578" s="245">
        <v>5000000</v>
      </c>
      <c r="I1578" s="240">
        <v>0</v>
      </c>
    </row>
    <row r="1579" spans="2:9" ht="12.75" hidden="1" customHeight="1" x14ac:dyDescent="0.2">
      <c r="B1579" s="238">
        <v>46021</v>
      </c>
      <c r="C1579" s="239">
        <v>212</v>
      </c>
      <c r="D1579" s="239" t="str">
        <f>IFERROR(VLOOKUP(C1579,'Neraca Saldo'!$B$6:$C$56,2,0),"")</f>
        <v>Simpanan Karyawan</v>
      </c>
      <c r="E1579" s="206" t="s">
        <v>1137</v>
      </c>
      <c r="F1579" s="244" t="s">
        <v>77</v>
      </c>
      <c r="G1579" s="239"/>
      <c r="H1579" s="240">
        <f>I1578</f>
        <v>0</v>
      </c>
      <c r="I1579" s="240">
        <f>H1578</f>
        <v>5000000</v>
      </c>
    </row>
    <row r="1580" spans="2:9" ht="12.75" hidden="1" customHeight="1" x14ac:dyDescent="0.2">
      <c r="B1580" s="231">
        <v>46022</v>
      </c>
      <c r="C1580" s="232">
        <v>126</v>
      </c>
      <c r="D1580" s="232" t="str">
        <f>IFERROR(VLOOKUP(C1580,'Neraca Saldo'!$B$6:$C$56,2,0),"")</f>
        <v>Piutang Pengadaan</v>
      </c>
      <c r="E1580" s="205" t="s">
        <v>836</v>
      </c>
      <c r="F1580" s="234" t="s">
        <v>77</v>
      </c>
      <c r="G1580" s="232"/>
      <c r="H1580" s="196">
        <v>5000000</v>
      </c>
      <c r="I1580" s="236">
        <v>0</v>
      </c>
    </row>
    <row r="1581" spans="2:9" ht="12.75" hidden="1" customHeight="1" x14ac:dyDescent="0.2">
      <c r="B1581" s="231">
        <v>46022</v>
      </c>
      <c r="C1581" s="232">
        <v>111</v>
      </c>
      <c r="D1581" s="232" t="str">
        <f>IFERROR(VLOOKUP(C1581,'Neraca Saldo'!$B$6:$C$56,2,0),"")</f>
        <v>Bank</v>
      </c>
      <c r="E1581" s="205" t="s">
        <v>836</v>
      </c>
      <c r="F1581" s="234" t="s">
        <v>77</v>
      </c>
      <c r="G1581" s="232"/>
      <c r="H1581" s="236">
        <f>I1580</f>
        <v>0</v>
      </c>
      <c r="I1581" s="236">
        <f>H1580</f>
        <v>5000000</v>
      </c>
    </row>
    <row r="1582" spans="2:9" ht="12.75" hidden="1" customHeight="1" x14ac:dyDescent="0.2">
      <c r="B1582" s="231">
        <v>46022</v>
      </c>
      <c r="C1582" s="232">
        <v>126</v>
      </c>
      <c r="D1582" s="232" t="str">
        <f>IFERROR(VLOOKUP(C1582,'Neraca Saldo'!$B$6:$C$56,2,0),"")</f>
        <v>Piutang Pengadaan</v>
      </c>
      <c r="E1582" s="205" t="s">
        <v>836</v>
      </c>
      <c r="F1582" s="234" t="s">
        <v>77</v>
      </c>
      <c r="G1582" s="232"/>
      <c r="H1582" s="196">
        <v>15000000</v>
      </c>
      <c r="I1582" s="236">
        <v>0</v>
      </c>
    </row>
    <row r="1583" spans="2:9" ht="12.75" hidden="1" customHeight="1" x14ac:dyDescent="0.2">
      <c r="B1583" s="231">
        <v>46022</v>
      </c>
      <c r="C1583" s="232">
        <v>111</v>
      </c>
      <c r="D1583" s="232" t="str">
        <f>IFERROR(VLOOKUP(C1583,'Neraca Saldo'!$B$6:$C$56,2,0),"")</f>
        <v>Bank</v>
      </c>
      <c r="E1583" s="205" t="s">
        <v>836</v>
      </c>
      <c r="F1583" s="234" t="s">
        <v>77</v>
      </c>
      <c r="G1583" s="232"/>
      <c r="H1583" s="236">
        <f>I1582</f>
        <v>0</v>
      </c>
      <c r="I1583" s="236">
        <f>H1582</f>
        <v>15000000</v>
      </c>
    </row>
    <row r="1584" spans="2:9" ht="12.75" hidden="1" customHeight="1" x14ac:dyDescent="0.2">
      <c r="B1584" s="231">
        <v>46022</v>
      </c>
      <c r="C1584" s="232">
        <v>112</v>
      </c>
      <c r="D1584" s="232" t="str">
        <f>IFERROR(VLOOKUP(C1584,'Neraca Saldo'!$B$6:$C$56,2,0),"")</f>
        <v>Kas</v>
      </c>
      <c r="E1584" s="232" t="s">
        <v>838</v>
      </c>
      <c r="F1584" s="234" t="s">
        <v>77</v>
      </c>
      <c r="G1584" s="232"/>
      <c r="H1584" s="188">
        <v>10000000</v>
      </c>
      <c r="I1584" s="236">
        <v>0</v>
      </c>
    </row>
    <row r="1585" spans="2:10" ht="12.75" hidden="1" customHeight="1" x14ac:dyDescent="0.2">
      <c r="B1585" s="231">
        <v>46022</v>
      </c>
      <c r="C1585" s="232">
        <v>111</v>
      </c>
      <c r="D1585" s="232" t="str">
        <f>IFERROR(VLOOKUP(C1585,'Neraca Saldo'!$B$6:$C$56,2,0),"")</f>
        <v>Bank</v>
      </c>
      <c r="E1585" s="232" t="s">
        <v>838</v>
      </c>
      <c r="F1585" s="234" t="s">
        <v>77</v>
      </c>
      <c r="G1585" s="232"/>
      <c r="H1585" s="236">
        <f>I1584</f>
        <v>0</v>
      </c>
      <c r="I1585" s="236">
        <f>H1584</f>
        <v>10000000</v>
      </c>
    </row>
    <row r="1586" spans="2:10" ht="12.75" hidden="1" customHeight="1" x14ac:dyDescent="0.2">
      <c r="B1586" s="231">
        <v>46022</v>
      </c>
      <c r="C1586" s="232">
        <v>212</v>
      </c>
      <c r="D1586" s="232" t="str">
        <f>IFERROR(VLOOKUP(C1586,'Neraca Saldo'!$B$6:$C$56,2,0),"")</f>
        <v>Simpanan Karyawan</v>
      </c>
      <c r="E1586" s="205" t="s">
        <v>1213</v>
      </c>
      <c r="F1586" s="234" t="s">
        <v>77</v>
      </c>
      <c r="G1586" s="232"/>
      <c r="H1586" s="196">
        <v>11250000</v>
      </c>
      <c r="I1586" s="236">
        <v>0</v>
      </c>
    </row>
    <row r="1587" spans="2:10" ht="12.75" hidden="1" customHeight="1" x14ac:dyDescent="0.2">
      <c r="B1587" s="231">
        <v>46022</v>
      </c>
      <c r="C1587" s="232">
        <v>111</v>
      </c>
      <c r="D1587" s="232" t="str">
        <f>IFERROR(VLOOKUP(C1587,'Neraca Saldo'!$B$6:$C$56,2,0),"")</f>
        <v>Bank</v>
      </c>
      <c r="E1587" s="205" t="s">
        <v>1213</v>
      </c>
      <c r="F1587" s="234" t="s">
        <v>77</v>
      </c>
      <c r="G1587" s="232"/>
      <c r="H1587" s="236">
        <f>I1586</f>
        <v>0</v>
      </c>
      <c r="I1587" s="236">
        <f>H1586</f>
        <v>11250000</v>
      </c>
    </row>
    <row r="1588" spans="2:10" ht="12.75" hidden="1" customHeight="1" x14ac:dyDescent="0.2">
      <c r="B1588" s="238">
        <v>46022</v>
      </c>
      <c r="C1588" s="239">
        <v>111</v>
      </c>
      <c r="D1588" s="239" t="str">
        <f>IFERROR(VLOOKUP(C1588,'Neraca Saldo'!$B$6:$C$56,2,0),"")</f>
        <v>Bank</v>
      </c>
      <c r="E1588" s="206" t="s">
        <v>964</v>
      </c>
      <c r="F1588" s="244" t="s">
        <v>77</v>
      </c>
      <c r="G1588" s="239"/>
      <c r="H1588" s="245">
        <v>300000</v>
      </c>
      <c r="I1588" s="240">
        <v>0</v>
      </c>
    </row>
    <row r="1589" spans="2:10" ht="12.75" hidden="1" customHeight="1" x14ac:dyDescent="0.2">
      <c r="B1589" s="238">
        <v>46022</v>
      </c>
      <c r="C1589" s="239">
        <v>212</v>
      </c>
      <c r="D1589" s="239" t="str">
        <f>IFERROR(VLOOKUP(C1589,'Neraca Saldo'!$B$6:$C$56,2,0),"")</f>
        <v>Simpanan Karyawan</v>
      </c>
      <c r="E1589" s="206" t="s">
        <v>964</v>
      </c>
      <c r="F1589" s="244" t="s">
        <v>77</v>
      </c>
      <c r="G1589" s="239"/>
      <c r="H1589" s="240">
        <f>I1588</f>
        <v>0</v>
      </c>
      <c r="I1589" s="240">
        <f>H1588</f>
        <v>300000</v>
      </c>
    </row>
    <row r="1590" spans="2:10" ht="12.75" hidden="1" customHeight="1" x14ac:dyDescent="0.2">
      <c r="B1590" s="262">
        <v>46022</v>
      </c>
      <c r="C1590" s="232">
        <v>112</v>
      </c>
      <c r="D1590" s="263" t="str">
        <f>IFERROR(VLOOKUP(C1590,'Neraca Saldo'!$B$6:$C$56,2,0),"")</f>
        <v>Kas</v>
      </c>
      <c r="E1590" s="263" t="s">
        <v>838</v>
      </c>
      <c r="F1590" s="264" t="s">
        <v>77</v>
      </c>
      <c r="G1590" s="263"/>
      <c r="H1590" s="265">
        <v>300000</v>
      </c>
      <c r="I1590" s="266">
        <v>0</v>
      </c>
    </row>
    <row r="1591" spans="2:10" ht="12.75" hidden="1" customHeight="1" x14ac:dyDescent="0.2">
      <c r="B1591" s="262">
        <v>46022</v>
      </c>
      <c r="C1591" s="232">
        <v>111</v>
      </c>
      <c r="D1591" s="263" t="str">
        <f>IFERROR(VLOOKUP(C1591,'Neraca Saldo'!$B$6:$C$56,2,0),"")</f>
        <v>Bank</v>
      </c>
      <c r="E1591" s="263" t="s">
        <v>838</v>
      </c>
      <c r="F1591" s="264" t="s">
        <v>77</v>
      </c>
      <c r="G1591" s="263"/>
      <c r="H1591" s="266">
        <f>I1590</f>
        <v>0</v>
      </c>
      <c r="I1591" s="266">
        <f>H1590</f>
        <v>300000</v>
      </c>
      <c r="J1591" s="221">
        <f>SUBTOTAL(9,I9:I1591)</f>
        <v>1755500</v>
      </c>
    </row>
    <row r="1592" spans="2:10" ht="12.75" hidden="1" customHeight="1" x14ac:dyDescent="0.2">
      <c r="B1592" s="262">
        <v>46022</v>
      </c>
      <c r="C1592" s="232">
        <v>111</v>
      </c>
      <c r="D1592" s="263" t="str">
        <f>IFERROR(VLOOKUP(C1592,'Neraca Saldo'!$B$6:$C$56,2,0),"")</f>
        <v>Bank</v>
      </c>
      <c r="E1592" s="297" t="s">
        <v>1214</v>
      </c>
      <c r="F1592" s="264" t="s">
        <v>77</v>
      </c>
      <c r="G1592" s="263"/>
      <c r="H1592" s="265">
        <v>350000</v>
      </c>
      <c r="I1592" s="266">
        <v>0</v>
      </c>
    </row>
    <row r="1593" spans="2:10" ht="12.75" hidden="1" customHeight="1" x14ac:dyDescent="0.2">
      <c r="B1593" s="231">
        <v>46022</v>
      </c>
      <c r="C1593" s="232">
        <v>212</v>
      </c>
      <c r="D1593" s="232" t="str">
        <f>IFERROR(VLOOKUP(C1593,'Neraca Saldo'!$B$6:$C$56,2,0),"")</f>
        <v>Simpanan Karyawan</v>
      </c>
      <c r="E1593" s="197" t="s">
        <v>1214</v>
      </c>
      <c r="F1593" s="234" t="s">
        <v>77</v>
      </c>
      <c r="G1593" s="232"/>
      <c r="H1593" s="236">
        <f>I1592</f>
        <v>0</v>
      </c>
      <c r="I1593" s="236">
        <f>H1592</f>
        <v>350000</v>
      </c>
    </row>
    <row r="1594" spans="2:10" ht="12.75" hidden="1" customHeight="1" x14ac:dyDescent="0.2">
      <c r="B1594" s="262">
        <v>46022</v>
      </c>
      <c r="C1594" s="239">
        <v>111</v>
      </c>
      <c r="D1594" s="239" t="str">
        <f>IFERROR(VLOOKUP(C1594,'Neraca Saldo'!$B$6:$C$56,2,0),"")</f>
        <v>Bank</v>
      </c>
      <c r="E1594" s="216" t="s">
        <v>57</v>
      </c>
      <c r="F1594" s="239" t="s">
        <v>77</v>
      </c>
      <c r="G1594" s="263"/>
      <c r="H1594" s="298">
        <v>21069</v>
      </c>
      <c r="I1594" s="266">
        <v>0</v>
      </c>
    </row>
    <row r="1595" spans="2:10" ht="12.75" hidden="1" customHeight="1" x14ac:dyDescent="0.2">
      <c r="B1595" s="262">
        <v>46022</v>
      </c>
      <c r="C1595" s="239">
        <v>413</v>
      </c>
      <c r="D1595" s="239" t="str">
        <f>IFERROR(VLOOKUP(C1595,'Neraca Saldo'!$B$6:$C$56,2,0),"")</f>
        <v>Pendapatan Jasa Bank</v>
      </c>
      <c r="E1595" s="216" t="s">
        <v>57</v>
      </c>
      <c r="F1595" s="239" t="s">
        <v>77</v>
      </c>
      <c r="G1595" s="263"/>
      <c r="H1595" s="266">
        <f>I1594</f>
        <v>0</v>
      </c>
      <c r="I1595" s="266">
        <f>H1594</f>
        <v>21069</v>
      </c>
    </row>
    <row r="1596" spans="2:10" ht="12.75" hidden="1" customHeight="1" x14ac:dyDescent="0.2">
      <c r="B1596" s="262">
        <v>46022</v>
      </c>
      <c r="C1596" s="232">
        <v>521</v>
      </c>
      <c r="D1596" s="232" t="str">
        <f>IFERROR(VLOOKUP(C1596,'Neraca Saldo'!$B$6:$C$56,2,0),"")</f>
        <v>Beban Biaya Bank</v>
      </c>
      <c r="E1596" s="260" t="s">
        <v>94</v>
      </c>
      <c r="F1596" s="232" t="s">
        <v>77</v>
      </c>
      <c r="G1596" s="263"/>
      <c r="H1596" s="299">
        <v>4214</v>
      </c>
      <c r="I1596" s="266">
        <v>0</v>
      </c>
    </row>
    <row r="1597" spans="2:10" ht="12.75" hidden="1" customHeight="1" x14ac:dyDescent="0.2">
      <c r="B1597" s="262">
        <v>46022</v>
      </c>
      <c r="C1597" s="232">
        <v>111</v>
      </c>
      <c r="D1597" s="232" t="str">
        <f>IFERROR(VLOOKUP(C1597,'Neraca Saldo'!$B$6:$C$56,2,0),"")</f>
        <v>Bank</v>
      </c>
      <c r="E1597" s="260" t="s">
        <v>94</v>
      </c>
      <c r="F1597" s="232" t="s">
        <v>77</v>
      </c>
      <c r="G1597" s="263"/>
      <c r="H1597" s="266">
        <f>I1596</f>
        <v>0</v>
      </c>
      <c r="I1597" s="266">
        <f>H1596</f>
        <v>4214</v>
      </c>
    </row>
    <row r="1598" spans="2:10" ht="12.75" hidden="1" customHeight="1" x14ac:dyDescent="0.2">
      <c r="B1598" s="262">
        <v>46022</v>
      </c>
      <c r="C1598" s="232">
        <v>521</v>
      </c>
      <c r="D1598" s="232" t="str">
        <f>IFERROR(VLOOKUP(C1598,'Neraca Saldo'!$B$6:$C$56,2,0),"")</f>
        <v>Beban Biaya Bank</v>
      </c>
      <c r="E1598" s="260" t="s">
        <v>95</v>
      </c>
      <c r="F1598" s="232" t="s">
        <v>77</v>
      </c>
      <c r="G1598" s="263"/>
      <c r="H1598" s="299">
        <v>10000</v>
      </c>
      <c r="I1598" s="266">
        <v>0</v>
      </c>
    </row>
    <row r="1599" spans="2:10" ht="12.75" hidden="1" customHeight="1" x14ac:dyDescent="0.2">
      <c r="B1599" s="262">
        <v>46022</v>
      </c>
      <c r="C1599" s="232">
        <v>111</v>
      </c>
      <c r="D1599" s="232" t="str">
        <f>IFERROR(VLOOKUP(C1599,'Neraca Saldo'!$B$6:$C$56,2,0),"")</f>
        <v>Bank</v>
      </c>
      <c r="E1599" s="260" t="s">
        <v>95</v>
      </c>
      <c r="F1599" s="232" t="s">
        <v>77</v>
      </c>
      <c r="G1599" s="263"/>
      <c r="H1599" s="266">
        <f>I1598</f>
        <v>0</v>
      </c>
      <c r="I1599" s="266">
        <f>H1598</f>
        <v>10000</v>
      </c>
    </row>
    <row r="1600" spans="2:10" hidden="1" x14ac:dyDescent="0.2">
      <c r="B1600" s="267"/>
      <c r="C1600" s="268"/>
      <c r="D1600" s="268"/>
      <c r="E1600" s="269"/>
      <c r="F1600" s="270"/>
      <c r="G1600" s="268"/>
      <c r="H1600" s="271">
        <f>SUM(H8:H1599)</f>
        <v>9619248001</v>
      </c>
      <c r="I1600" s="271">
        <f>SUM(I8:I1599)</f>
        <v>9619248001</v>
      </c>
      <c r="J1600" s="274"/>
    </row>
    <row r="1601" spans="2:9" ht="12.75" hidden="1" x14ac:dyDescent="0.2">
      <c r="B1601" s="267">
        <v>46022</v>
      </c>
      <c r="C1601" s="268">
        <v>121</v>
      </c>
      <c r="D1601" s="268" t="str">
        <f>IFERROR(VLOOKUP(C1601,'Neraca Saldo'!$B$6:$C$56,2,0),"")</f>
        <v>Piutang Anggota</v>
      </c>
      <c r="E1601" s="269" t="s">
        <v>118</v>
      </c>
      <c r="F1601" s="270" t="s">
        <v>831</v>
      </c>
      <c r="G1601" s="268"/>
      <c r="H1601" s="299">
        <v>2289000000</v>
      </c>
      <c r="I1601" s="266">
        <v>0</v>
      </c>
    </row>
    <row r="1602" spans="2:9" hidden="1" x14ac:dyDescent="0.2">
      <c r="B1602" s="267">
        <v>46022</v>
      </c>
      <c r="C1602" s="268">
        <v>124</v>
      </c>
      <c r="D1602" s="268" t="str">
        <f>IFERROR(VLOOKUP(C1602,'Neraca Saldo'!$B$6:$C$56,2,0),"")</f>
        <v>Piutang USP</v>
      </c>
      <c r="E1602" s="269" t="s">
        <v>118</v>
      </c>
      <c r="F1602" s="270" t="s">
        <v>831</v>
      </c>
      <c r="G1602" s="268"/>
      <c r="H1602" s="266">
        <f>I1601</f>
        <v>0</v>
      </c>
      <c r="I1602" s="266">
        <f>H1601</f>
        <v>2289000000</v>
      </c>
    </row>
    <row r="1603" spans="2:9" ht="12.75" hidden="1" x14ac:dyDescent="0.2">
      <c r="B1603" s="267"/>
      <c r="C1603" s="268"/>
      <c r="D1603" s="268" t="str">
        <f>IFERROR(VLOOKUP(C1603,'[1]Neraca Saldo'!$B$6:$C$56,2,0),"")</f>
        <v/>
      </c>
      <c r="E1603" s="272" t="s">
        <v>119</v>
      </c>
      <c r="F1603" s="270" t="s">
        <v>831</v>
      </c>
      <c r="G1603" s="268"/>
      <c r="H1603" s="299">
        <v>0</v>
      </c>
      <c r="I1603" s="266">
        <v>0</v>
      </c>
    </row>
    <row r="1604" spans="2:9" hidden="1" x14ac:dyDescent="0.2">
      <c r="B1604" s="267"/>
      <c r="C1604" s="268"/>
      <c r="D1604" s="268"/>
      <c r="E1604" s="272"/>
      <c r="F1604" s="270"/>
      <c r="G1604" s="268"/>
      <c r="H1604" s="266">
        <f>I1603</f>
        <v>0</v>
      </c>
      <c r="I1604" s="266">
        <f>H1603</f>
        <v>0</v>
      </c>
    </row>
    <row r="1605" spans="2:9" ht="12.75" hidden="1" x14ac:dyDescent="0.2">
      <c r="B1605" s="267">
        <v>46022</v>
      </c>
      <c r="C1605" s="268">
        <v>212</v>
      </c>
      <c r="D1605" s="268" t="str">
        <f>IFERROR(VLOOKUP(C1605,'Neraca Saldo'!$B$6:$C$56,2,0),"")</f>
        <v>Simpanan Karyawan</v>
      </c>
      <c r="E1605" s="273" t="s">
        <v>714</v>
      </c>
      <c r="F1605" s="270" t="s">
        <v>831</v>
      </c>
      <c r="G1605" s="268"/>
      <c r="H1605" s="299">
        <v>311835400</v>
      </c>
      <c r="I1605" s="266">
        <v>0</v>
      </c>
    </row>
    <row r="1606" spans="2:9" hidden="1" x14ac:dyDescent="0.2">
      <c r="B1606" s="267">
        <v>46022</v>
      </c>
      <c r="C1606" s="268">
        <v>121</v>
      </c>
      <c r="D1606" s="268" t="str">
        <f>IFERROR(VLOOKUP(C1606,'Neraca Saldo'!$B$6:$C$56,2,0),"")</f>
        <v>Piutang Anggota</v>
      </c>
      <c r="E1606" s="273" t="s">
        <v>714</v>
      </c>
      <c r="F1606" s="270" t="s">
        <v>831</v>
      </c>
      <c r="G1606" s="268"/>
      <c r="H1606" s="266">
        <f>I1605</f>
        <v>0</v>
      </c>
      <c r="I1606" s="266">
        <f>H1605</f>
        <v>311835400</v>
      </c>
    </row>
    <row r="1607" spans="2:9" ht="12.75" hidden="1" x14ac:dyDescent="0.2">
      <c r="B1607" s="267"/>
      <c r="C1607" s="268"/>
      <c r="D1607" s="268" t="str">
        <f>IFERROR(VLOOKUP(C1607,'[1]Neraca Saldo'!$B$6:$C$56,2,0),"")</f>
        <v/>
      </c>
      <c r="E1607" s="272" t="s">
        <v>1227</v>
      </c>
      <c r="F1607" s="270" t="s">
        <v>831</v>
      </c>
      <c r="G1607" s="268"/>
      <c r="H1607" s="299">
        <v>0</v>
      </c>
      <c r="I1607" s="266">
        <v>0</v>
      </c>
    </row>
    <row r="1608" spans="2:9" hidden="1" x14ac:dyDescent="0.2">
      <c r="B1608" s="267"/>
      <c r="C1608" s="268"/>
      <c r="D1608" s="268" t="str">
        <f>IFERROR(VLOOKUP(C1608,'[1]Neraca Saldo'!$B$6:$C$56,2,0),"")</f>
        <v/>
      </c>
      <c r="E1608" s="269"/>
      <c r="F1608" s="270"/>
      <c r="G1608" s="268"/>
      <c r="H1608" s="266">
        <f>I1607</f>
        <v>0</v>
      </c>
      <c r="I1608" s="266">
        <f>H1607</f>
        <v>0</v>
      </c>
    </row>
    <row r="1609" spans="2:9" ht="12.75" hidden="1" x14ac:dyDescent="0.2">
      <c r="B1609" s="267">
        <v>46022</v>
      </c>
      <c r="C1609" s="268">
        <v>121</v>
      </c>
      <c r="D1609" s="268" t="str">
        <f>IFERROR(VLOOKUP(C1609,'Neraca Saldo'!$B$6:$C$56,2,0),"")</f>
        <v>Piutang Anggota</v>
      </c>
      <c r="E1609" s="273" t="s">
        <v>120</v>
      </c>
      <c r="F1609" s="270" t="s">
        <v>831</v>
      </c>
      <c r="G1609" s="268"/>
      <c r="H1609" s="299">
        <f>223572444-9855600</f>
        <v>213716844</v>
      </c>
      <c r="I1609" s="266">
        <v>0</v>
      </c>
    </row>
    <row r="1610" spans="2:9" hidden="1" x14ac:dyDescent="0.2">
      <c r="B1610" s="267">
        <v>46022</v>
      </c>
      <c r="C1610" s="268">
        <v>412</v>
      </c>
      <c r="D1610" s="268" t="str">
        <f>IFERROR(VLOOKUP(C1610,'Neraca Saldo'!$B$6:$C$56,2,0),"")</f>
        <v>Pendapatan Jasa Pinjaman</v>
      </c>
      <c r="E1610" s="273" t="s">
        <v>120</v>
      </c>
      <c r="F1610" s="270" t="s">
        <v>831</v>
      </c>
      <c r="G1610" s="268"/>
      <c r="H1610" s="266">
        <f>I1609</f>
        <v>0</v>
      </c>
      <c r="I1610" s="266">
        <f>H1609</f>
        <v>213716844</v>
      </c>
    </row>
    <row r="1611" spans="2:9" ht="12.75" hidden="1" x14ac:dyDescent="0.2">
      <c r="B1611" s="267"/>
      <c r="C1611" s="268"/>
      <c r="D1611" s="268" t="str">
        <f>IFERROR(VLOOKUP(C1611,'[1]Neraca Saldo'!$B$6:$C$56,2,0),"")</f>
        <v/>
      </c>
      <c r="E1611" s="272" t="s">
        <v>121</v>
      </c>
      <c r="F1611" s="270" t="s">
        <v>831</v>
      </c>
      <c r="G1611" s="268"/>
      <c r="H1611" s="299">
        <v>0</v>
      </c>
      <c r="I1611" s="266">
        <v>0</v>
      </c>
    </row>
    <row r="1612" spans="2:9" hidden="1" x14ac:dyDescent="0.2">
      <c r="B1612" s="267"/>
      <c r="C1612" s="268"/>
      <c r="D1612" s="268"/>
      <c r="E1612" s="272"/>
      <c r="F1612" s="270"/>
      <c r="G1612" s="268"/>
      <c r="H1612" s="266">
        <f>I1611</f>
        <v>0</v>
      </c>
      <c r="I1612" s="266">
        <f>H1611</f>
        <v>0</v>
      </c>
    </row>
    <row r="1613" spans="2:9" ht="12.75" hidden="1" x14ac:dyDescent="0.2">
      <c r="B1613" s="267">
        <v>46022</v>
      </c>
      <c r="C1613" s="268">
        <v>517</v>
      </c>
      <c r="D1613" s="268" t="str">
        <f>IFERROR(VLOOKUP(C1613,'Neraca Saldo'!$B$6:$C$56,2,0),"")</f>
        <v>Beban Transport</v>
      </c>
      <c r="E1613" s="273" t="s">
        <v>1215</v>
      </c>
      <c r="F1613" s="270" t="s">
        <v>832</v>
      </c>
      <c r="G1613" s="268" t="s">
        <v>618</v>
      </c>
      <c r="H1613" s="299">
        <v>2095000</v>
      </c>
      <c r="I1613" s="266">
        <v>0</v>
      </c>
    </row>
    <row r="1614" spans="2:9" ht="12.75" hidden="1" customHeight="1" x14ac:dyDescent="0.2">
      <c r="B1614" s="267">
        <v>46022</v>
      </c>
      <c r="C1614" s="268">
        <v>126</v>
      </c>
      <c r="D1614" s="268" t="str">
        <f>IFERROR(VLOOKUP(C1614,'Neraca Saldo'!$B$6:$C$56,2,0),"")</f>
        <v>Piutang Pengadaan</v>
      </c>
      <c r="E1614" s="273" t="s">
        <v>1215</v>
      </c>
      <c r="F1614" s="270" t="s">
        <v>832</v>
      </c>
      <c r="G1614" s="268" t="s">
        <v>618</v>
      </c>
      <c r="H1614" s="266">
        <f>I1613</f>
        <v>0</v>
      </c>
      <c r="I1614" s="266">
        <f>H1613</f>
        <v>2095000</v>
      </c>
    </row>
    <row r="1615" spans="2:9" ht="12.75" hidden="1" x14ac:dyDescent="0.2">
      <c r="B1615" s="267"/>
      <c r="C1615" s="268"/>
      <c r="D1615" s="268" t="str">
        <f>IFERROR(VLOOKUP(C1615,'Neraca Saldo'!$B$6:$C$56,2,0),"")</f>
        <v/>
      </c>
      <c r="E1615" s="269"/>
      <c r="F1615" s="270"/>
      <c r="G1615" s="268"/>
      <c r="H1615" s="299">
        <v>0</v>
      </c>
      <c r="I1615" s="266">
        <v>0</v>
      </c>
    </row>
    <row r="1616" spans="2:9" ht="12.75" hidden="1" customHeight="1" x14ac:dyDescent="0.2">
      <c r="B1616" s="267">
        <v>46022</v>
      </c>
      <c r="C1616" s="268">
        <v>121</v>
      </c>
      <c r="D1616" s="268" t="str">
        <f>IFERROR(VLOOKUP(C1616,'Neraca Saldo'!$B$6:$C$56,2,0),"")</f>
        <v>Piutang Anggota</v>
      </c>
      <c r="E1616" s="273" t="s">
        <v>1216</v>
      </c>
      <c r="F1616" s="270" t="s">
        <v>832</v>
      </c>
      <c r="G1616" s="268" t="s">
        <v>618</v>
      </c>
      <c r="H1616" s="266">
        <v>1191576211</v>
      </c>
      <c r="I1616" s="266">
        <f>H1615</f>
        <v>0</v>
      </c>
    </row>
    <row r="1617" spans="2:10" ht="12.75" hidden="1" customHeight="1" x14ac:dyDescent="0.2">
      <c r="B1617" s="267">
        <v>46022</v>
      </c>
      <c r="C1617" s="268">
        <v>126</v>
      </c>
      <c r="D1617" s="268" t="str">
        <f>IFERROR(VLOOKUP(C1617,'Neraca Saldo'!$B$6:$C$56,2,0),"")</f>
        <v>Piutang Pengadaan</v>
      </c>
      <c r="E1617" s="273" t="s">
        <v>1216</v>
      </c>
      <c r="F1617" s="270" t="s">
        <v>832</v>
      </c>
      <c r="G1617" s="268" t="s">
        <v>618</v>
      </c>
      <c r="H1617" s="299">
        <v>0</v>
      </c>
      <c r="I1617" s="266">
        <f>H1616</f>
        <v>1191576211</v>
      </c>
    </row>
    <row r="1618" spans="2:10" ht="12.75" hidden="1" customHeight="1" x14ac:dyDescent="0.2">
      <c r="B1618" s="267"/>
      <c r="C1618" s="268"/>
      <c r="D1618" s="268" t="str">
        <f>IFERROR(VLOOKUP(C1618,'Neraca Saldo'!$B$6:$C$56,2,0),"")</f>
        <v/>
      </c>
      <c r="E1618" s="273"/>
      <c r="F1618" s="270"/>
      <c r="G1618" s="268"/>
      <c r="H1618" s="266">
        <v>0</v>
      </c>
      <c r="I1618" s="266">
        <f>H1617</f>
        <v>0</v>
      </c>
    </row>
    <row r="1619" spans="2:10" ht="12.75" hidden="1" customHeight="1" x14ac:dyDescent="0.2">
      <c r="B1619" s="267"/>
      <c r="C1619" s="268"/>
      <c r="D1619" s="268" t="str">
        <f>IFERROR(VLOOKUP(C1619,'Neraca Saldo'!$B$6:$C$56,2,0),"")</f>
        <v/>
      </c>
      <c r="E1619" s="273"/>
      <c r="F1619" s="270"/>
      <c r="G1619" s="268"/>
      <c r="H1619" s="299">
        <v>0</v>
      </c>
      <c r="I1619" s="266">
        <v>0</v>
      </c>
    </row>
    <row r="1620" spans="2:10" ht="12.75" hidden="1" customHeight="1" x14ac:dyDescent="0.2">
      <c r="B1620" s="267">
        <v>46022</v>
      </c>
      <c r="C1620" s="268">
        <v>126</v>
      </c>
      <c r="D1620" s="268" t="str">
        <f>IFERROR(VLOOKUP(C1620,'Neraca Saldo'!$B$6:$C$56,2,0),"")</f>
        <v>Piutang Pengadaan</v>
      </c>
      <c r="E1620" s="273" t="s">
        <v>1217</v>
      </c>
      <c r="F1620" s="270" t="s">
        <v>832</v>
      </c>
      <c r="G1620" s="268" t="s">
        <v>618</v>
      </c>
      <c r="H1620" s="266">
        <v>1325000</v>
      </c>
      <c r="I1620" s="266">
        <f>H1619</f>
        <v>0</v>
      </c>
    </row>
    <row r="1621" spans="2:10" ht="12.75" hidden="1" customHeight="1" x14ac:dyDescent="0.2">
      <c r="B1621" s="267">
        <v>46022</v>
      </c>
      <c r="C1621" s="268">
        <v>121</v>
      </c>
      <c r="D1621" s="268" t="str">
        <f>IFERROR(VLOOKUP(C1621,'Neraca Saldo'!$B$6:$C$56,2,0),"")</f>
        <v>Piutang Anggota</v>
      </c>
      <c r="E1621" s="273" t="s">
        <v>1217</v>
      </c>
      <c r="F1621" s="270" t="s">
        <v>832</v>
      </c>
      <c r="G1621" s="268" t="s">
        <v>618</v>
      </c>
      <c r="H1621" s="299">
        <v>0</v>
      </c>
      <c r="I1621" s="266">
        <f>H1620</f>
        <v>1325000</v>
      </c>
    </row>
    <row r="1622" spans="2:10" ht="12.75" hidden="1" customHeight="1" x14ac:dyDescent="0.2">
      <c r="B1622" s="267"/>
      <c r="C1622" s="268"/>
      <c r="D1622" s="268"/>
      <c r="E1622" s="273"/>
      <c r="F1622" s="270"/>
      <c r="G1622" s="268"/>
      <c r="H1622" s="266">
        <v>0</v>
      </c>
      <c r="I1622" s="266">
        <f>H1621</f>
        <v>0</v>
      </c>
    </row>
    <row r="1623" spans="2:10" ht="12.75" hidden="1" customHeight="1" x14ac:dyDescent="0.2">
      <c r="B1623" s="267">
        <v>46022</v>
      </c>
      <c r="C1623" s="268">
        <v>121</v>
      </c>
      <c r="D1623" s="268" t="str">
        <f>IFERROR(VLOOKUP(C1623,'Neraca Saldo'!$B$6:$C$56,2,0),"")</f>
        <v>Piutang Anggota</v>
      </c>
      <c r="E1623" s="273" t="s">
        <v>120</v>
      </c>
      <c r="F1623" s="270" t="s">
        <v>832</v>
      </c>
      <c r="G1623" s="268"/>
      <c r="H1623" s="299">
        <v>146803306</v>
      </c>
      <c r="I1623" s="266">
        <v>0</v>
      </c>
    </row>
    <row r="1624" spans="2:10" ht="12.75" hidden="1" customHeight="1" x14ac:dyDescent="0.2">
      <c r="B1624" s="267">
        <v>46022</v>
      </c>
      <c r="C1624" s="268">
        <v>414</v>
      </c>
      <c r="D1624" s="268" t="str">
        <f>IFERROR(VLOOKUP(C1624,'Neraca Saldo'!$B$6:$C$56,2,0),"")</f>
        <v>Pendapatan Jasa Pengadaan</v>
      </c>
      <c r="E1624" s="273" t="s">
        <v>120</v>
      </c>
      <c r="F1624" s="270" t="s">
        <v>832</v>
      </c>
      <c r="G1624" s="268"/>
      <c r="H1624" s="266">
        <f>I1623</f>
        <v>0</v>
      </c>
      <c r="I1624" s="266">
        <f>H1623</f>
        <v>146803306</v>
      </c>
    </row>
    <row r="1625" spans="2:10" ht="12.75" hidden="1" customHeight="1" x14ac:dyDescent="0.2">
      <c r="B1625" s="267"/>
      <c r="C1625" s="268"/>
      <c r="D1625" s="268" t="str">
        <f>IFERROR(VLOOKUP(C1625,'[1]Neraca Saldo'!$B$6:$C$56,2,0),"")</f>
        <v/>
      </c>
      <c r="E1625" s="272" t="s">
        <v>121</v>
      </c>
      <c r="F1625" s="270" t="s">
        <v>832</v>
      </c>
      <c r="G1625" s="268"/>
      <c r="H1625" s="299">
        <v>0</v>
      </c>
      <c r="I1625" s="266">
        <v>0</v>
      </c>
    </row>
    <row r="1626" spans="2:10" ht="12.75" hidden="1" customHeight="1" x14ac:dyDescent="0.2">
      <c r="B1626" s="267"/>
      <c r="C1626" s="268"/>
      <c r="D1626" s="268"/>
      <c r="E1626" s="272"/>
      <c r="F1626" s="270"/>
      <c r="G1626" s="268"/>
      <c r="H1626" s="266">
        <f>I1625</f>
        <v>0</v>
      </c>
      <c r="I1626" s="266">
        <f>H1625</f>
        <v>0</v>
      </c>
    </row>
    <row r="1627" spans="2:10" ht="12.75" hidden="1" customHeight="1" x14ac:dyDescent="0.2">
      <c r="B1627" s="267"/>
      <c r="C1627" s="268"/>
      <c r="D1627" s="268"/>
      <c r="E1627" s="272"/>
      <c r="F1627" s="270"/>
      <c r="G1627" s="268"/>
      <c r="H1627" s="299">
        <v>0</v>
      </c>
      <c r="I1627" s="266">
        <v>0</v>
      </c>
    </row>
    <row r="1628" spans="2:10" ht="12.75" hidden="1" customHeight="1" x14ac:dyDescent="0.2">
      <c r="B1628" s="267">
        <v>46022</v>
      </c>
      <c r="C1628" s="268">
        <v>123</v>
      </c>
      <c r="D1628" s="268" t="str">
        <f>IFERROR(VLOOKUP(C1628,'Neraca Saldo'!$B$6:$C$56,2,0),"")</f>
        <v>Piutang Toko</v>
      </c>
      <c r="E1628" s="273" t="s">
        <v>622</v>
      </c>
      <c r="F1628" s="270" t="s">
        <v>833</v>
      </c>
      <c r="G1628" s="268"/>
      <c r="H1628" s="266">
        <v>1227746947</v>
      </c>
      <c r="I1628" s="266">
        <f t="shared" ref="I1628:I1638" si="36">H1627</f>
        <v>0</v>
      </c>
    </row>
    <row r="1629" spans="2:10" ht="12.75" hidden="1" customHeight="1" x14ac:dyDescent="0.2">
      <c r="B1629" s="267">
        <v>46022</v>
      </c>
      <c r="C1629" s="268">
        <v>411</v>
      </c>
      <c r="D1629" s="268" t="str">
        <f>IFERROR(VLOOKUP(C1629,'Neraca Saldo'!$B$6:$C$56,2,0),"")</f>
        <v>Pendapatan Toko</v>
      </c>
      <c r="E1629" s="273" t="s">
        <v>622</v>
      </c>
      <c r="F1629" s="270" t="s">
        <v>833</v>
      </c>
      <c r="G1629" s="268"/>
      <c r="H1629" s="299">
        <v>0</v>
      </c>
      <c r="I1629" s="266">
        <f>H1628</f>
        <v>1227746947</v>
      </c>
    </row>
    <row r="1630" spans="2:10" ht="12.75" hidden="1" customHeight="1" x14ac:dyDescent="0.2">
      <c r="B1630" s="267"/>
      <c r="C1630" s="268"/>
      <c r="D1630" s="268" t="str">
        <f>IFERROR(VLOOKUP(C1630,'[1]Neraca Saldo'!$B$6:$C$56,2,0),"")</f>
        <v/>
      </c>
      <c r="E1630" s="272" t="s">
        <v>623</v>
      </c>
      <c r="F1630" s="270" t="s">
        <v>833</v>
      </c>
      <c r="G1630" s="268"/>
      <c r="H1630" s="266">
        <v>0</v>
      </c>
      <c r="I1630" s="266">
        <f t="shared" si="36"/>
        <v>0</v>
      </c>
      <c r="J1630" s="274"/>
    </row>
    <row r="1631" spans="2:10" ht="12.75" hidden="1" customHeight="1" x14ac:dyDescent="0.2">
      <c r="B1631" s="267"/>
      <c r="C1631" s="268"/>
      <c r="D1631" s="268" t="str">
        <f>IFERROR(VLOOKUP(C1631,'[1]Neraca Saldo'!$B$6:$C$56,2,0),"")</f>
        <v/>
      </c>
      <c r="E1631" s="273"/>
      <c r="F1631" s="270"/>
      <c r="G1631" s="268"/>
      <c r="H1631" s="299">
        <v>0</v>
      </c>
      <c r="I1631" s="266">
        <f t="shared" si="36"/>
        <v>0</v>
      </c>
    </row>
    <row r="1632" spans="2:10" ht="12.75" hidden="1" customHeight="1" x14ac:dyDescent="0.2">
      <c r="B1632" s="267">
        <v>46022</v>
      </c>
      <c r="C1632" s="268">
        <v>511</v>
      </c>
      <c r="D1632" s="268" t="str">
        <f>IFERROR(VLOOKUP(C1632,'Neraca Saldo'!$B$6:$C$56,2,0),"")</f>
        <v>Beban Pokok Penjualan</v>
      </c>
      <c r="E1632" s="273" t="s">
        <v>624</v>
      </c>
      <c r="F1632" s="270" t="s">
        <v>833</v>
      </c>
      <c r="G1632" s="268"/>
      <c r="H1632" s="266">
        <v>1074229714.7269547</v>
      </c>
      <c r="I1632" s="266">
        <f t="shared" si="36"/>
        <v>0</v>
      </c>
    </row>
    <row r="1633" spans="2:11" ht="12.75" hidden="1" customHeight="1" x14ac:dyDescent="0.2">
      <c r="B1633" s="267">
        <v>46022</v>
      </c>
      <c r="C1633" s="268">
        <v>123</v>
      </c>
      <c r="D1633" s="268" t="str">
        <f>IFERROR(VLOOKUP(C1633,'Neraca Saldo'!$B$6:$C$56,2,0),"")</f>
        <v>Piutang Toko</v>
      </c>
      <c r="E1633" s="273" t="s">
        <v>624</v>
      </c>
      <c r="F1633" s="270" t="s">
        <v>833</v>
      </c>
      <c r="G1633" s="268"/>
      <c r="H1633" s="299">
        <v>0</v>
      </c>
      <c r="I1633" s="266">
        <f>H1632</f>
        <v>1074229714.7269547</v>
      </c>
    </row>
    <row r="1634" spans="2:11" ht="12.75" hidden="1" customHeight="1" x14ac:dyDescent="0.2">
      <c r="B1634" s="267"/>
      <c r="C1634" s="268"/>
      <c r="D1634" s="268" t="str">
        <f>IFERROR(VLOOKUP(C1634,'[1]Neraca Saldo'!$B$6:$C$56,2,0),"")</f>
        <v/>
      </c>
      <c r="E1634" s="272" t="s">
        <v>867</v>
      </c>
      <c r="F1634" s="270" t="s">
        <v>833</v>
      </c>
      <c r="G1634" s="268"/>
      <c r="H1634" s="266">
        <v>0</v>
      </c>
      <c r="I1634" s="266">
        <f t="shared" si="36"/>
        <v>0</v>
      </c>
    </row>
    <row r="1635" spans="2:11" ht="12.75" hidden="1" customHeight="1" x14ac:dyDescent="0.2">
      <c r="B1635" s="267"/>
      <c r="C1635" s="268"/>
      <c r="D1635" s="268" t="str">
        <f>IFERROR(VLOOKUP(C1635,'Neraca Saldo'!$B$6:$C$56,2,0),"")</f>
        <v/>
      </c>
      <c r="E1635" s="273"/>
      <c r="F1635" s="270"/>
      <c r="G1635" s="268"/>
      <c r="H1635" s="299">
        <v>0</v>
      </c>
      <c r="I1635" s="266">
        <f t="shared" si="36"/>
        <v>0</v>
      </c>
    </row>
    <row r="1636" spans="2:11" ht="12.75" hidden="1" customHeight="1" x14ac:dyDescent="0.2">
      <c r="B1636" s="267">
        <v>46022</v>
      </c>
      <c r="C1636" s="268">
        <v>141</v>
      </c>
      <c r="D1636" s="268" t="str">
        <f>IFERROR(VLOOKUP(C1636,'Neraca Saldo'!$B$6:$C$56,2,0),"")</f>
        <v>Inventory</v>
      </c>
      <c r="E1636" s="273" t="s">
        <v>497</v>
      </c>
      <c r="F1636" s="270" t="s">
        <v>833</v>
      </c>
      <c r="G1636" s="268"/>
      <c r="H1636" s="266">
        <f>19567477-1223986</f>
        <v>18343491</v>
      </c>
      <c r="I1636" s="266">
        <f t="shared" si="36"/>
        <v>0</v>
      </c>
      <c r="K1636" s="221">
        <v>6323375</v>
      </c>
    </row>
    <row r="1637" spans="2:11" ht="12.75" hidden="1" customHeight="1" x14ac:dyDescent="0.2">
      <c r="B1637" s="267">
        <v>46022</v>
      </c>
      <c r="C1637" s="268">
        <v>123</v>
      </c>
      <c r="D1637" s="268" t="str">
        <f>IFERROR(VLOOKUP(C1637,'Neraca Saldo'!$B$6:$C$56,2,0),"")</f>
        <v>Piutang Toko</v>
      </c>
      <c r="E1637" s="273" t="s">
        <v>497</v>
      </c>
      <c r="F1637" s="270" t="s">
        <v>833</v>
      </c>
      <c r="G1637" s="268"/>
      <c r="H1637" s="299">
        <v>0</v>
      </c>
      <c r="I1637" s="266">
        <f>H1636</f>
        <v>18343491</v>
      </c>
      <c r="K1637" s="221">
        <v>13986250</v>
      </c>
    </row>
    <row r="1638" spans="2:11" ht="12.75" hidden="1" customHeight="1" x14ac:dyDescent="0.2">
      <c r="B1638" s="267"/>
      <c r="C1638" s="268"/>
      <c r="D1638" s="268" t="str">
        <f>IFERROR(VLOOKUP(C1638,'[1]Neraca Saldo'!$B$6:$C$56,2,0),"")</f>
        <v/>
      </c>
      <c r="E1638" s="272" t="s">
        <v>625</v>
      </c>
      <c r="F1638" s="270" t="s">
        <v>833</v>
      </c>
      <c r="G1638" s="268"/>
      <c r="H1638" s="266">
        <v>0</v>
      </c>
      <c r="I1638" s="266">
        <f t="shared" si="36"/>
        <v>0</v>
      </c>
    </row>
    <row r="1639" spans="2:11" ht="12.75" hidden="1" customHeight="1" x14ac:dyDescent="0.2">
      <c r="B1639" s="267"/>
      <c r="C1639" s="268"/>
      <c r="D1639" s="268" t="str">
        <f>IFERROR(VLOOKUP(C1639,'Neraca Saldo'!$B$6:$C$56,2,0),"")</f>
        <v/>
      </c>
      <c r="E1639" s="273"/>
      <c r="F1639" s="270"/>
      <c r="G1639" s="268"/>
      <c r="H1639" s="299">
        <v>0</v>
      </c>
      <c r="I1639" s="266">
        <v>0</v>
      </c>
    </row>
    <row r="1640" spans="2:11" ht="12.75" hidden="1" customHeight="1" x14ac:dyDescent="0.2">
      <c r="B1640" s="267">
        <v>46022</v>
      </c>
      <c r="C1640" s="268">
        <v>522</v>
      </c>
      <c r="D1640" s="268" t="str">
        <f>IFERROR(VLOOKUP(C1640,'Neraca Saldo'!$B$6:$C$56,2,0),"")</f>
        <v>Beban Pajak</v>
      </c>
      <c r="E1640" s="273" t="s">
        <v>1218</v>
      </c>
      <c r="F1640" s="270" t="s">
        <v>834</v>
      </c>
      <c r="G1640" s="268"/>
      <c r="H1640" s="266">
        <f>'Neraca '!H80</f>
        <v>23598627.170034982</v>
      </c>
      <c r="I1640" s="266">
        <f>H1639</f>
        <v>0</v>
      </c>
    </row>
    <row r="1641" spans="2:11" ht="12.75" hidden="1" customHeight="1" x14ac:dyDescent="0.2">
      <c r="B1641" s="267">
        <v>46022</v>
      </c>
      <c r="C1641" s="268">
        <v>232</v>
      </c>
      <c r="D1641" s="268" t="str">
        <f>IFERROR(VLOOKUP(C1641,'Neraca Saldo'!$B$6:$C$56,2,0),"")</f>
        <v>Hutang Pajak</v>
      </c>
      <c r="E1641" s="273" t="s">
        <v>1218</v>
      </c>
      <c r="F1641" s="270" t="s">
        <v>834</v>
      </c>
      <c r="G1641" s="268"/>
      <c r="H1641" s="299">
        <v>0</v>
      </c>
      <c r="I1641" s="266">
        <f>H1640</f>
        <v>23598627.170034982</v>
      </c>
    </row>
    <row r="1642" spans="2:11" ht="12.75" hidden="1" customHeight="1" x14ac:dyDescent="0.2">
      <c r="B1642" s="275"/>
      <c r="C1642" s="276"/>
      <c r="D1642" s="276" t="str">
        <f>IFERROR(VLOOKUP(C1642,'Neraca Saldo'!$B$6:$C$56,2,0),"")</f>
        <v/>
      </c>
      <c r="E1642" s="277"/>
      <c r="F1642" s="278"/>
      <c r="G1642" s="276"/>
      <c r="H1642" s="279"/>
      <c r="I1642" s="279"/>
    </row>
    <row r="1643" spans="2:11" ht="12.75" hidden="1" customHeight="1" x14ac:dyDescent="0.2">
      <c r="B1643" s="275"/>
      <c r="C1643" s="276">
        <v>124</v>
      </c>
      <c r="D1643" s="276" t="str">
        <f>IFERROR(VLOOKUP(C1643,'Neraca Saldo'!$B$6:$C$56,2,0),"")</f>
        <v>Piutang USP</v>
      </c>
      <c r="E1643" s="277" t="s">
        <v>1231</v>
      </c>
      <c r="F1643" s="278"/>
      <c r="G1643" s="276"/>
      <c r="H1643" s="279">
        <f>244350188+134025520</f>
        <v>378375708</v>
      </c>
      <c r="I1643" s="279"/>
      <c r="K1643" s="221">
        <v>-134025520</v>
      </c>
    </row>
    <row r="1644" spans="2:11" ht="12.75" hidden="1" customHeight="1" x14ac:dyDescent="0.2">
      <c r="B1644" s="275"/>
      <c r="C1644" s="276">
        <v>121</v>
      </c>
      <c r="D1644" s="276" t="str">
        <f>IFERROR(VLOOKUP(C1644,'Neraca Saldo'!$B$6:$C$56,2,0),"")</f>
        <v>Piutang Anggota</v>
      </c>
      <c r="E1644" s="277" t="s">
        <v>1231</v>
      </c>
      <c r="F1644" s="278"/>
      <c r="G1644" s="276"/>
      <c r="H1644" s="279"/>
      <c r="I1644" s="285">
        <f>H1643</f>
        <v>378375708</v>
      </c>
    </row>
    <row r="1645" spans="2:11" ht="12.75" hidden="1" customHeight="1" x14ac:dyDescent="0.2">
      <c r="B1645" s="275"/>
      <c r="C1645" s="276"/>
      <c r="D1645" s="276" t="str">
        <f>IFERROR(VLOOKUP(C1645,'Neraca Saldo'!$B$6:$C$56,2,0),"")</f>
        <v/>
      </c>
      <c r="E1645" s="280"/>
      <c r="F1645" s="278"/>
      <c r="G1645" s="276"/>
      <c r="H1645" s="279"/>
      <c r="I1645" s="279"/>
      <c r="K1645" s="274"/>
    </row>
    <row r="1646" spans="2:11" ht="12.75" hidden="1" customHeight="1" x14ac:dyDescent="0.2">
      <c r="B1646" s="275"/>
      <c r="C1646" s="276"/>
      <c r="D1646" s="276" t="str">
        <f>IFERROR(VLOOKUP(C1646,'Neraca Saldo'!$B$6:$C$56,2,0),"")</f>
        <v/>
      </c>
      <c r="E1646" s="280"/>
      <c r="F1646" s="278"/>
      <c r="G1646" s="276"/>
      <c r="H1646" s="279"/>
      <c r="I1646" s="279"/>
    </row>
    <row r="1647" spans="2:11" ht="12.75" hidden="1" customHeight="1" x14ac:dyDescent="0.2">
      <c r="B1647" s="275"/>
      <c r="C1647" s="276"/>
      <c r="D1647" s="276" t="str">
        <f>IFERROR(VLOOKUP(C1647,'Neraca Saldo'!$B$6:$C$56,2,0),"")</f>
        <v/>
      </c>
      <c r="E1647" s="280"/>
      <c r="F1647" s="278"/>
      <c r="G1647" s="276"/>
      <c r="H1647" s="279"/>
      <c r="I1647" s="279"/>
    </row>
    <row r="1648" spans="2:11" ht="12.75" hidden="1" customHeight="1" x14ac:dyDescent="0.2">
      <c r="B1648" s="275"/>
      <c r="C1648" s="276"/>
      <c r="D1648" s="276" t="str">
        <f>IFERROR(VLOOKUP(C1648,'Neraca Saldo'!$B$6:$C$56,2,0),"")</f>
        <v/>
      </c>
      <c r="E1648" s="280"/>
      <c r="F1648" s="278"/>
      <c r="G1648" s="276"/>
      <c r="H1648" s="279"/>
      <c r="I1648" s="279"/>
    </row>
    <row r="1649" spans="2:9" hidden="1" x14ac:dyDescent="0.2">
      <c r="B1649" s="276"/>
      <c r="C1649" s="276"/>
      <c r="D1649" s="276"/>
      <c r="E1649" s="280"/>
      <c r="F1649" s="278"/>
      <c r="G1649" s="276"/>
      <c r="H1649" s="281">
        <f>SUM(H748:H1648)</f>
        <v>21211946707.896992</v>
      </c>
      <c r="I1649" s="281">
        <f>SUM(I748:I1648)</f>
        <v>21211946707.896992</v>
      </c>
    </row>
    <row r="1650" spans="2:9" hidden="1" x14ac:dyDescent="0.2">
      <c r="I1650" s="223">
        <f>+H1649-I1649</f>
        <v>0</v>
      </c>
    </row>
    <row r="1651" spans="2:9" hidden="1" x14ac:dyDescent="0.2">
      <c r="H1651" s="223">
        <f>SUBTOTAL(9,H8:H1650)</f>
        <v>106787832</v>
      </c>
    </row>
    <row r="1652" spans="2:9" hidden="1" x14ac:dyDescent="0.2">
      <c r="H1652" s="223">
        <v>325659552</v>
      </c>
    </row>
    <row r="1653" spans="2:9" hidden="1" x14ac:dyDescent="0.2">
      <c r="H1653" s="223">
        <f>H1651-H1652</f>
        <v>-218871720</v>
      </c>
    </row>
    <row r="1654" spans="2:9" x14ac:dyDescent="0.2">
      <c r="I1654" s="223">
        <f>SUBTOTAL(9,I13:I1575)</f>
        <v>1755500</v>
      </c>
    </row>
    <row r="1655" spans="2:9" x14ac:dyDescent="0.2">
      <c r="I1655" s="223">
        <v>310584181</v>
      </c>
    </row>
    <row r="1656" spans="2:9" x14ac:dyDescent="0.2">
      <c r="I1656" s="223">
        <f>I1654-I1655</f>
        <v>-308828681</v>
      </c>
    </row>
    <row r="1662" spans="2:9" x14ac:dyDescent="0.2">
      <c r="H1662" s="223" t="s">
        <v>77</v>
      </c>
    </row>
    <row r="1663" spans="2:9" x14ac:dyDescent="0.2">
      <c r="E1663" s="221" t="s">
        <v>1230</v>
      </c>
      <c r="G1663" s="274">
        <f>-(H404+H402)</f>
        <v>-7950000</v>
      </c>
      <c r="H1663" s="223">
        <f>-G1663</f>
        <v>7950000</v>
      </c>
    </row>
    <row r="1664" spans="2:9" x14ac:dyDescent="0.2">
      <c r="E1664" s="221" t="s">
        <v>849</v>
      </c>
      <c r="G1664" s="223">
        <v>5937500</v>
      </c>
      <c r="H1664" s="223">
        <f>-G1664</f>
        <v>-5937500</v>
      </c>
    </row>
    <row r="1665" spans="7:8" x14ac:dyDescent="0.2">
      <c r="G1665" s="312">
        <f>SUBTOTAL(9,G1663:G1664)</f>
        <v>-2012500</v>
      </c>
      <c r="H1665" s="312">
        <f>SUBTOTAL(9,H1663:H1664)</f>
        <v>2012500</v>
      </c>
    </row>
  </sheetData>
  <autoFilter ref="B5:I1653" xr:uid="{32EC9D86-8886-4855-BC84-F63BCF699A22}">
    <filterColumn colId="1">
      <filters>
        <filter val="513"/>
      </filters>
    </filterColumn>
  </autoFilter>
  <phoneticPr fontId="8" type="noConversion"/>
  <pageMargins left="0.7" right="0.7" top="0.75" bottom="0.75" header="0.3" footer="0.3"/>
  <pageSetup paperSize="9" scale="70"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E6359-0756-44EE-BAD1-07FE64DDF292}">
  <sheetPr codeName="Sheet9"/>
  <dimension ref="A1:U61"/>
  <sheetViews>
    <sheetView zoomScaleNormal="100" workbookViewId="0">
      <selection activeCell="I31" sqref="I31"/>
    </sheetView>
  </sheetViews>
  <sheetFormatPr defaultRowHeight="12.75" x14ac:dyDescent="0.2"/>
  <cols>
    <col min="1" max="1" width="9.140625" style="26" customWidth="1"/>
    <col min="2" max="2" width="11" customWidth="1"/>
    <col min="3" max="3" width="30.28515625" customWidth="1"/>
    <col min="4" max="4" width="17.7109375" customWidth="1"/>
    <col min="5" max="5" width="16.5703125" customWidth="1"/>
    <col min="6" max="6" width="15.28515625" customWidth="1"/>
    <col min="7" max="7" width="17.5703125" customWidth="1"/>
    <col min="9" max="9" width="26" customWidth="1"/>
    <col min="10" max="10" width="14.5703125" customWidth="1"/>
    <col min="11" max="11" width="22.140625" bestFit="1" customWidth="1"/>
    <col min="12" max="12" width="16.28515625" customWidth="1"/>
    <col min="13" max="13" width="30.28515625" bestFit="1" customWidth="1"/>
    <col min="14" max="14" width="19.28515625" bestFit="1" customWidth="1"/>
    <col min="15" max="15" width="15" style="3" bestFit="1" customWidth="1"/>
    <col min="18" max="18" width="16.7109375" bestFit="1" customWidth="1"/>
    <col min="20" max="20" width="12.42578125" bestFit="1" customWidth="1"/>
  </cols>
  <sheetData>
    <row r="1" spans="1:21" ht="15.75" x14ac:dyDescent="0.25">
      <c r="B1" s="342" t="s">
        <v>59</v>
      </c>
      <c r="C1" s="342"/>
      <c r="D1" s="342"/>
      <c r="E1" s="342"/>
      <c r="F1" s="342"/>
      <c r="G1" s="342"/>
      <c r="H1" s="342"/>
      <c r="I1" s="166"/>
    </row>
    <row r="2" spans="1:21" ht="15.75" x14ac:dyDescent="0.25">
      <c r="B2" s="342" t="s">
        <v>76</v>
      </c>
      <c r="C2" s="342"/>
      <c r="D2" s="342"/>
      <c r="E2" s="342"/>
      <c r="F2" s="342"/>
      <c r="G2" s="342"/>
      <c r="H2" s="342"/>
      <c r="I2" s="166"/>
    </row>
    <row r="3" spans="1:21" ht="15.75" x14ac:dyDescent="0.25">
      <c r="B3" s="342" t="s">
        <v>71</v>
      </c>
      <c r="C3" s="342"/>
      <c r="D3" s="342"/>
      <c r="E3" s="342"/>
      <c r="F3" s="342"/>
      <c r="G3" s="342"/>
      <c r="H3" s="342"/>
      <c r="I3" s="166">
        <v>17044310</v>
      </c>
    </row>
    <row r="4" spans="1:21" ht="15.75" x14ac:dyDescent="0.25">
      <c r="B4" s="343" t="s">
        <v>872</v>
      </c>
      <c r="C4" s="343"/>
      <c r="D4" s="343"/>
      <c r="E4" s="343"/>
      <c r="F4" s="343"/>
      <c r="G4" s="343"/>
      <c r="H4" s="343"/>
      <c r="I4" s="296">
        <f>I3-G8</f>
        <v>-0.84848403930664063</v>
      </c>
    </row>
    <row r="5" spans="1:21" x14ac:dyDescent="0.2">
      <c r="B5" s="7">
        <v>2025</v>
      </c>
      <c r="K5" s="30"/>
    </row>
    <row r="6" spans="1:21" x14ac:dyDescent="0.2">
      <c r="B6" s="11" t="s">
        <v>48</v>
      </c>
      <c r="C6" s="11" t="s">
        <v>40</v>
      </c>
      <c r="D6" s="11" t="s">
        <v>1</v>
      </c>
      <c r="E6" s="11" t="s">
        <v>50</v>
      </c>
      <c r="F6" s="11" t="s">
        <v>51</v>
      </c>
      <c r="G6" s="11" t="s">
        <v>61</v>
      </c>
      <c r="H6" s="11" t="s">
        <v>52</v>
      </c>
      <c r="I6" s="56"/>
      <c r="K6" s="30"/>
      <c r="L6" s="56" t="s">
        <v>551</v>
      </c>
      <c r="N6" s="13" t="s">
        <v>552</v>
      </c>
      <c r="Q6" s="13" t="s">
        <v>553</v>
      </c>
      <c r="R6" s="8"/>
      <c r="U6" t="s">
        <v>800</v>
      </c>
    </row>
    <row r="7" spans="1:21" x14ac:dyDescent="0.2">
      <c r="B7" s="4">
        <v>1</v>
      </c>
      <c r="C7" s="4" t="s">
        <v>53</v>
      </c>
      <c r="D7" s="4"/>
      <c r="E7" s="14"/>
      <c r="F7" s="14"/>
      <c r="G7" s="14"/>
      <c r="H7" s="4"/>
      <c r="I7" s="167"/>
      <c r="K7" s="31" t="s">
        <v>544</v>
      </c>
      <c r="L7" s="30">
        <f>G15</f>
        <v>65170235.207070827</v>
      </c>
      <c r="N7" s="13" t="s">
        <v>553</v>
      </c>
      <c r="O7" s="3">
        <f>940000000+400000000+156353000</f>
        <v>1496353000</v>
      </c>
      <c r="Q7">
        <v>2019</v>
      </c>
      <c r="R7" s="8">
        <v>190000000</v>
      </c>
      <c r="T7" t="s">
        <v>801</v>
      </c>
      <c r="U7" t="s">
        <v>802</v>
      </c>
    </row>
    <row r="8" spans="1:21" x14ac:dyDescent="0.2">
      <c r="A8" s="26" t="s">
        <v>22</v>
      </c>
      <c r="B8" s="4">
        <v>111</v>
      </c>
      <c r="C8" s="1" t="s">
        <v>77</v>
      </c>
      <c r="D8" s="282">
        <v>40474148.848484516</v>
      </c>
      <c r="E8" s="19">
        <f>SUMIF(Jurnal!$C$6:$C$1648,'Neraca Saldo'!$B$7:$B$55,Jurnal!$H$6:$H$1648)</f>
        <v>4617966491</v>
      </c>
      <c r="F8" s="19">
        <f>SUMIF(Jurnal!$C$6:$C$1648,'Neraca Saldo'!$B$7:$B$55,Jurnal!$I$6:$I$1648)</f>
        <v>4641396329</v>
      </c>
      <c r="G8" s="131">
        <f>D8+E8-F8</f>
        <v>17044310.848484039</v>
      </c>
      <c r="H8" s="14" t="s">
        <v>36</v>
      </c>
      <c r="I8" s="168" t="s">
        <v>830</v>
      </c>
      <c r="K8" s="47" t="s">
        <v>549</v>
      </c>
      <c r="L8" s="3">
        <v>1092467895.2222221</v>
      </c>
      <c r="N8" s="13" t="s">
        <v>1228</v>
      </c>
      <c r="O8" s="3">
        <f>G39+G37</f>
        <v>362320150</v>
      </c>
      <c r="Q8">
        <v>2020</v>
      </c>
      <c r="R8" s="8">
        <v>219000000</v>
      </c>
    </row>
    <row r="9" spans="1:21" x14ac:dyDescent="0.2">
      <c r="A9" s="26" t="s">
        <v>22</v>
      </c>
      <c r="B9" s="4">
        <v>112</v>
      </c>
      <c r="C9" s="20" t="s">
        <v>78</v>
      </c>
      <c r="D9" s="283">
        <v>5243082</v>
      </c>
      <c r="E9" s="19">
        <f>SUMIF(Jurnal!$C$6:$C$1648,'Neraca Saldo'!$B$7:$B$55,Jurnal!$H$6:$H$1648)</f>
        <v>324159552</v>
      </c>
      <c r="F9" s="19">
        <f>SUMIF(Jurnal!$C$6:$C$1648,'Neraca Saldo'!$B$7:$B$55,Jurnal!$I$6:$I$1648)</f>
        <v>315778294</v>
      </c>
      <c r="G9" s="304">
        <f t="shared" ref="G9:G18" si="0">D9+E9-F9</f>
        <v>13624340</v>
      </c>
      <c r="H9" s="14" t="s">
        <v>36</v>
      </c>
      <c r="I9" s="310">
        <v>13124340</v>
      </c>
      <c r="J9" s="309">
        <f>G9-I9</f>
        <v>500000</v>
      </c>
      <c r="K9" s="47" t="s">
        <v>550</v>
      </c>
      <c r="L9" s="8" t="e">
        <f>#REF!</f>
        <v>#REF!</v>
      </c>
      <c r="N9" s="13" t="s">
        <v>554</v>
      </c>
      <c r="Q9">
        <v>2021</v>
      </c>
      <c r="R9" s="8">
        <v>190000000</v>
      </c>
    </row>
    <row r="10" spans="1:21" x14ac:dyDescent="0.2">
      <c r="A10" s="26" t="s">
        <v>32</v>
      </c>
      <c r="B10" s="4">
        <v>121</v>
      </c>
      <c r="C10" s="20" t="s">
        <v>32</v>
      </c>
      <c r="D10" s="284">
        <v>2833599214.5909081</v>
      </c>
      <c r="E10" s="19">
        <f>SUMIF(Jurnal!$C$6:$C$1648,'Neraca Saldo'!$B$7:$B$55,Jurnal!$H$6:$H$1648)</f>
        <v>3841096361</v>
      </c>
      <c r="F10" s="19">
        <f>SUMIF(Jurnal!$C$6:$C$1648,'Neraca Saldo'!$B$7:$B$55,Jurnal!$I$6:$I$1648)</f>
        <v>3661363012</v>
      </c>
      <c r="G10" s="131">
        <f t="shared" si="0"/>
        <v>3013332563.5909081</v>
      </c>
      <c r="H10" s="14" t="s">
        <v>36</v>
      </c>
      <c r="I10" s="300"/>
      <c r="L10" s="55" t="e">
        <f>SUM(L7:L9)</f>
        <v>#REF!</v>
      </c>
      <c r="N10" s="13" t="s">
        <v>555</v>
      </c>
      <c r="Q10">
        <v>2022</v>
      </c>
      <c r="R10" s="143">
        <v>111000000</v>
      </c>
    </row>
    <row r="11" spans="1:21" x14ac:dyDescent="0.2">
      <c r="A11" s="26" t="s">
        <v>79</v>
      </c>
      <c r="B11" s="4">
        <v>122</v>
      </c>
      <c r="C11" s="1" t="s">
        <v>79</v>
      </c>
      <c r="D11" s="285">
        <v>0</v>
      </c>
      <c r="E11" s="19">
        <f>SUMIF(Jurnal!$C$6:$C$1648,'Neraca Saldo'!$B$7:$B$55,Jurnal!$H$6:$H$1648)</f>
        <v>0</v>
      </c>
      <c r="F11" s="19">
        <f>SUMIF(Jurnal!$C$6:$C$1648,'Neraca Saldo'!$B$7:$B$55,Jurnal!$I$6:$I$1648)</f>
        <v>0</v>
      </c>
      <c r="G11" s="131">
        <f t="shared" si="0"/>
        <v>0</v>
      </c>
      <c r="H11" s="14" t="s">
        <v>36</v>
      </c>
      <c r="I11" s="168"/>
      <c r="K11" s="8"/>
      <c r="L11" s="8" t="e">
        <f>L10-(G10+G13+G15)</f>
        <v>#REF!</v>
      </c>
      <c r="N11" s="13" t="s">
        <v>558</v>
      </c>
      <c r="O11" s="3">
        <f>SUM(O7:O10)</f>
        <v>1858673150</v>
      </c>
      <c r="Q11">
        <v>2023</v>
      </c>
      <c r="R11" s="143">
        <v>230000000</v>
      </c>
    </row>
    <row r="12" spans="1:21" x14ac:dyDescent="0.2">
      <c r="A12" s="26" t="s">
        <v>105</v>
      </c>
      <c r="B12" s="4">
        <v>123</v>
      </c>
      <c r="C12" s="1" t="s">
        <v>80</v>
      </c>
      <c r="D12" s="285">
        <v>104738319</v>
      </c>
      <c r="E12" s="19">
        <f>SUMIF(Jurnal!$C$6:$C$1648,'Neraca Saldo'!$B$7:$B$55,Jurnal!$H$6:$H$1648)</f>
        <v>1227746947</v>
      </c>
      <c r="F12" s="19">
        <f>SUMIF(Jurnal!$C$6:$C$1648,'Neraca Saldo'!$B$7:$B$55,Jurnal!$I$6:$I$1648)</f>
        <v>1189740510.7269547</v>
      </c>
      <c r="G12" s="131">
        <f t="shared" si="0"/>
        <v>142744755.2730453</v>
      </c>
      <c r="H12" s="14" t="s">
        <v>36</v>
      </c>
      <c r="I12" s="303">
        <v>145163465</v>
      </c>
      <c r="J12" s="2">
        <f>G12-I12</f>
        <v>-2418709.7269546986</v>
      </c>
      <c r="L12" s="29"/>
      <c r="N12" s="13" t="s">
        <v>556</v>
      </c>
      <c r="O12" s="3">
        <f>G10+G13+G15</f>
        <v>3322852986.7979789</v>
      </c>
      <c r="R12" s="143"/>
    </row>
    <row r="13" spans="1:21" x14ac:dyDescent="0.2">
      <c r="A13" s="26" t="s">
        <v>104</v>
      </c>
      <c r="B13" s="4">
        <v>124</v>
      </c>
      <c r="C13" s="1" t="s">
        <v>81</v>
      </c>
      <c r="D13" s="285">
        <v>-397152390</v>
      </c>
      <c r="E13" s="19">
        <f>SUMIF(Jurnal!$C$6:$C$1648,'Neraca Saldo'!$B$7:$B$55,Jurnal!$H$6:$H$1648)</f>
        <v>2931502578</v>
      </c>
      <c r="F13" s="19">
        <f>SUMIF(Jurnal!$C$6:$C$1648,'Neraca Saldo'!$B$7:$B$55,Jurnal!$I$6:$I$1648)</f>
        <v>2290000000</v>
      </c>
      <c r="G13" s="304">
        <f t="shared" si="0"/>
        <v>244350188</v>
      </c>
      <c r="H13" s="14" t="s">
        <v>36</v>
      </c>
      <c r="I13" s="305">
        <v>235600188</v>
      </c>
      <c r="J13" s="306"/>
      <c r="K13" s="307"/>
      <c r="L13" s="307"/>
      <c r="M13" s="307"/>
      <c r="N13" s="13" t="s">
        <v>557</v>
      </c>
      <c r="O13" s="3">
        <f>O11-O12</f>
        <v>-1464179836.7979789</v>
      </c>
      <c r="Q13" t="s">
        <v>620</v>
      </c>
      <c r="R13" s="130"/>
      <c r="T13" s="2"/>
    </row>
    <row r="14" spans="1:21" x14ac:dyDescent="0.2">
      <c r="A14" s="26" t="s">
        <v>115</v>
      </c>
      <c r="B14" s="4">
        <v>125</v>
      </c>
      <c r="C14" s="1" t="s">
        <v>115</v>
      </c>
      <c r="D14" s="285">
        <v>0</v>
      </c>
      <c r="E14" s="19">
        <f>SUMIF(Jurnal!$C$6:$C$1648,'Neraca Saldo'!$B$7:$B$55,Jurnal!$H$6:$H$1648)</f>
        <v>0</v>
      </c>
      <c r="F14" s="19">
        <f>SUMIF(Jurnal!$C$6:$C$1648,'Neraca Saldo'!$B$7:$B$55,Jurnal!$I$6:$I$1648)</f>
        <v>0</v>
      </c>
      <c r="G14" s="131">
        <f t="shared" si="0"/>
        <v>0</v>
      </c>
      <c r="H14" s="14" t="s">
        <v>36</v>
      </c>
      <c r="I14" s="305">
        <f>G13-I13</f>
        <v>8750000</v>
      </c>
      <c r="J14" s="311">
        <v>155010422</v>
      </c>
      <c r="K14" s="308">
        <f>I14-J14</f>
        <v>-146260422</v>
      </c>
      <c r="L14" s="309">
        <v>4812000</v>
      </c>
      <c r="M14" s="309">
        <f>K14-L14</f>
        <v>-151072422</v>
      </c>
      <c r="R14" s="55">
        <f>SUM(R7:R13)</f>
        <v>940000000</v>
      </c>
      <c r="T14" s="2"/>
    </row>
    <row r="15" spans="1:21" x14ac:dyDescent="0.2">
      <c r="A15" s="26" t="s">
        <v>510</v>
      </c>
      <c r="B15" s="4">
        <v>126</v>
      </c>
      <c r="C15" s="1" t="s">
        <v>510</v>
      </c>
      <c r="D15" s="282">
        <v>1249550.2070708275</v>
      </c>
      <c r="E15" s="19">
        <f>SUMIF(Jurnal!$C$6:$C$1648,'Neraca Saldo'!$B$7:$B$55,Jurnal!$H$6:$H$1648)</f>
        <v>1329184375</v>
      </c>
      <c r="F15" s="19">
        <f>SUMIF(Jurnal!$C$6:$C$1648,'Neraca Saldo'!$B$7:$B$55,Jurnal!$I$6:$I$1648)</f>
        <v>1265263690</v>
      </c>
      <c r="G15" s="131">
        <f t="shared" si="0"/>
        <v>65170235.207070827</v>
      </c>
      <c r="H15" s="14" t="s">
        <v>36</v>
      </c>
      <c r="I15" s="303">
        <v>65170235</v>
      </c>
      <c r="J15" s="2">
        <f>I15-G15</f>
        <v>-0.20707082748413086</v>
      </c>
      <c r="K15" s="47"/>
      <c r="L15" s="2"/>
      <c r="R15" s="129">
        <f>O8/R14</f>
        <v>0.38544696808510637</v>
      </c>
    </row>
    <row r="16" spans="1:21" x14ac:dyDescent="0.2">
      <c r="A16" s="26" t="s">
        <v>27</v>
      </c>
      <c r="B16" s="4">
        <v>131</v>
      </c>
      <c r="C16" s="1" t="s">
        <v>27</v>
      </c>
      <c r="D16" s="285">
        <v>0</v>
      </c>
      <c r="E16" s="19">
        <f>SUMIF(Jurnal!$C$6:$C$1648,'Neraca Saldo'!$B$7:$B$55,Jurnal!$H$6:$H$1648)</f>
        <v>0</v>
      </c>
      <c r="F16" s="19">
        <f>SUMIF(Jurnal!$C$6:$C$1648,'Neraca Saldo'!$B$7:$B$55,Jurnal!$I$6:$I$1648)</f>
        <v>0</v>
      </c>
      <c r="G16" s="131">
        <f t="shared" si="0"/>
        <v>0</v>
      </c>
      <c r="H16" s="14" t="s">
        <v>36</v>
      </c>
      <c r="I16" s="168"/>
      <c r="K16" s="13" t="s">
        <v>703</v>
      </c>
      <c r="L16" s="8">
        <f>G8-[2]BANK!$G$915</f>
        <v>-43243112.595960617</v>
      </c>
      <c r="M16" t="s">
        <v>705</v>
      </c>
      <c r="N16" s="13"/>
      <c r="R16" s="2">
        <f>R14+G37</f>
        <v>1153716844</v>
      </c>
    </row>
    <row r="17" spans="1:19" x14ac:dyDescent="0.2">
      <c r="A17" s="26" t="s">
        <v>28</v>
      </c>
      <c r="B17" s="4">
        <v>132</v>
      </c>
      <c r="C17" s="1" t="s">
        <v>28</v>
      </c>
      <c r="D17" s="285">
        <v>0</v>
      </c>
      <c r="E17" s="19">
        <f>SUMIF(Jurnal!$C$6:$C$1648,'Neraca Saldo'!$B$7:$B$55,Jurnal!$H$6:$H$1648)</f>
        <v>0</v>
      </c>
      <c r="F17" s="19">
        <f>SUMIF(Jurnal!$C$6:$C$1648,'Neraca Saldo'!$B$7:$B$55,Jurnal!$I$6:$I$1648)</f>
        <v>0</v>
      </c>
      <c r="G17" s="131">
        <f t="shared" si="0"/>
        <v>0</v>
      </c>
      <c r="H17" s="14" t="s">
        <v>37</v>
      </c>
      <c r="I17" s="168"/>
      <c r="K17" t="s">
        <v>702</v>
      </c>
      <c r="L17" s="2">
        <f>G9-[2]Kas!$G$262</f>
        <v>-6019573</v>
      </c>
      <c r="M17" s="13"/>
    </row>
    <row r="18" spans="1:19" x14ac:dyDescent="0.2">
      <c r="A18" s="26" t="s">
        <v>106</v>
      </c>
      <c r="B18" s="4">
        <v>141</v>
      </c>
      <c r="C18" s="20" t="s">
        <v>98</v>
      </c>
      <c r="D18" s="285">
        <v>1223986</v>
      </c>
      <c r="E18" s="19">
        <f>SUMIF(Jurnal!$C$6:$C$1648,'Neraca Saldo'!$B$7:$B$55,Jurnal!$H$6:$H$1648)</f>
        <v>18343491</v>
      </c>
      <c r="F18" s="19">
        <f>SUMIF(Jurnal!$C$6:$C$1648,'Neraca Saldo'!$B$7:$B$55,Jurnal!$I$6:$I$1648)</f>
        <v>0</v>
      </c>
      <c r="G18" s="131">
        <f t="shared" si="0"/>
        <v>19567477</v>
      </c>
      <c r="H18" s="14" t="s">
        <v>36</v>
      </c>
      <c r="I18" s="168"/>
      <c r="K18" t="s">
        <v>704</v>
      </c>
      <c r="L18" s="29" t="e">
        <f>G15-#REF!</f>
        <v>#REF!</v>
      </c>
      <c r="R18" s="3">
        <v>1395000000</v>
      </c>
      <c r="S18" t="s">
        <v>39</v>
      </c>
    </row>
    <row r="19" spans="1:19" x14ac:dyDescent="0.2">
      <c r="B19" s="4"/>
      <c r="C19" s="1"/>
      <c r="D19" s="285"/>
      <c r="E19" s="19">
        <f>SUMIF(Jurnal!$C$6:$C$1648,'Neraca Saldo'!$B$7:$B$55,Jurnal!$H$6:$H$1648)</f>
        <v>0</v>
      </c>
      <c r="F19" s="19">
        <f>SUMIF(Jurnal!$C$6:$C$1648,'Neraca Saldo'!$B$7:$B$55,Jurnal!$I$6:$I$1648)</f>
        <v>0</v>
      </c>
      <c r="G19" s="19"/>
      <c r="H19" s="14"/>
      <c r="I19" s="168"/>
      <c r="N19" t="s">
        <v>618</v>
      </c>
      <c r="O19" s="3">
        <v>1233141610.2777779</v>
      </c>
      <c r="R19" s="3">
        <v>300509500</v>
      </c>
      <c r="S19" t="s">
        <v>800</v>
      </c>
    </row>
    <row r="20" spans="1:19" x14ac:dyDescent="0.2">
      <c r="B20" s="4"/>
      <c r="C20" s="5"/>
      <c r="D20" s="286"/>
      <c r="E20" s="19">
        <f>SUMIF(Jurnal!$C$6:$C$1648,'Neraca Saldo'!$B$7:$B$55,Jurnal!$H$6:$H$1648)</f>
        <v>0</v>
      </c>
      <c r="F20" s="19">
        <f>SUMIF(Jurnal!$C$6:$C$1648,'Neraca Saldo'!$B$7:$B$55,Jurnal!$I$6:$I$1648)</f>
        <v>0</v>
      </c>
      <c r="G20" s="19"/>
      <c r="H20" s="21"/>
      <c r="I20" s="169"/>
      <c r="N20" t="s">
        <v>835</v>
      </c>
      <c r="O20" s="3">
        <v>1669818055.5555553</v>
      </c>
      <c r="R20" s="2">
        <v>213000000</v>
      </c>
    </row>
    <row r="21" spans="1:19" x14ac:dyDescent="0.2">
      <c r="B21" s="4">
        <v>211</v>
      </c>
      <c r="C21" s="5" t="s">
        <v>54</v>
      </c>
      <c r="D21" s="285">
        <v>0</v>
      </c>
      <c r="E21" s="19">
        <f>SUMIF(Jurnal!$C$6:$C$1648,'Neraca Saldo'!$B$7:$B$55,Jurnal!$H$6:$H$1648)</f>
        <v>0</v>
      </c>
      <c r="F21" s="19">
        <f>SUMIF(Jurnal!$C$6:$C$1648,'Neraca Saldo'!$B$7:$B$55,Jurnal!$I$6:$I$1648)</f>
        <v>0</v>
      </c>
      <c r="G21" s="19">
        <f t="shared" ref="G21:G27" si="1">D21+E21-F21</f>
        <v>0</v>
      </c>
      <c r="H21" s="14" t="s">
        <v>37</v>
      </c>
      <c r="I21" s="168"/>
      <c r="K21" s="13" t="s">
        <v>621</v>
      </c>
      <c r="L21" s="2">
        <f>G22</f>
        <v>-3294007563</v>
      </c>
      <c r="O21" s="3">
        <f>O19+O20+O18</f>
        <v>2902959665.833333</v>
      </c>
      <c r="R21" s="55">
        <f>SUM(R18:R20)</f>
        <v>1908509500</v>
      </c>
    </row>
    <row r="22" spans="1:19" x14ac:dyDescent="0.2">
      <c r="A22" s="26" t="s">
        <v>41</v>
      </c>
      <c r="B22" s="4">
        <v>212</v>
      </c>
      <c r="C22" s="1" t="s">
        <v>41</v>
      </c>
      <c r="D22" s="285">
        <v>-2403930500</v>
      </c>
      <c r="E22" s="19">
        <f>SUMIF(Jurnal!$C$6:$C$1648,'Neraca Saldo'!$B$7:$B$55,Jurnal!$H$6:$H$1648)</f>
        <v>414031000</v>
      </c>
      <c r="F22" s="19">
        <f>SUMIF(Jurnal!$C$6:$C$1648,'Neraca Saldo'!$B$7:$B$55,Jurnal!$I$6:$I$1648)</f>
        <v>1304108063</v>
      </c>
      <c r="G22" s="19">
        <f>D22+E22-F22</f>
        <v>-3294007563</v>
      </c>
      <c r="H22" s="14" t="s">
        <v>37</v>
      </c>
      <c r="I22" s="168"/>
      <c r="K22" s="23" t="s">
        <v>97</v>
      </c>
      <c r="L22" s="8">
        <f>2857400000+36650000+9117000+100000000+300509500</f>
        <v>3303676500</v>
      </c>
      <c r="M22" s="13" t="s">
        <v>711</v>
      </c>
      <c r="N22" t="s">
        <v>1229</v>
      </c>
      <c r="O22" s="3">
        <f>+G10</f>
        <v>3013332563.5909081</v>
      </c>
    </row>
    <row r="23" spans="1:19" x14ac:dyDescent="0.2">
      <c r="A23" s="26" t="s">
        <v>23</v>
      </c>
      <c r="B23" s="4">
        <v>213</v>
      </c>
      <c r="C23" s="1" t="s">
        <v>23</v>
      </c>
      <c r="D23" s="285">
        <v>0</v>
      </c>
      <c r="E23" s="19">
        <f>SUMIF(Jurnal!$C$6:$C$1648,'Neraca Saldo'!$B$7:$B$55,Jurnal!$H$6:$H$1648)</f>
        <v>250000</v>
      </c>
      <c r="F23" s="19">
        <f>SUMIF(Jurnal!$C$6:$C$1648,'Neraca Saldo'!$B$7:$B$55,Jurnal!$I$6:$I$1648)</f>
        <v>250000</v>
      </c>
      <c r="G23" s="19">
        <f t="shared" si="1"/>
        <v>0</v>
      </c>
      <c r="H23" s="14" t="s">
        <v>37</v>
      </c>
      <c r="I23" s="168"/>
      <c r="K23" s="30">
        <v>0</v>
      </c>
      <c r="L23" s="24">
        <f>L22+L21</f>
        <v>9668937</v>
      </c>
      <c r="M23" s="13" t="s">
        <v>1219</v>
      </c>
      <c r="O23" s="3">
        <f>O22-O21</f>
        <v>110372897.75757504</v>
      </c>
    </row>
    <row r="24" spans="1:19" x14ac:dyDescent="0.2">
      <c r="A24" s="26" t="s">
        <v>66</v>
      </c>
      <c r="B24" s="4">
        <v>221</v>
      </c>
      <c r="C24" s="1" t="s">
        <v>66</v>
      </c>
      <c r="D24" s="285">
        <v>0</v>
      </c>
      <c r="E24" s="19">
        <f>SUMIF(Jurnal!$C$6:$C$1648,'Neraca Saldo'!$B$7:$B$55,Jurnal!$H$6:$H$1648)</f>
        <v>0</v>
      </c>
      <c r="F24" s="19">
        <f>SUMIF(Jurnal!$C$6:$C$1648,'Neraca Saldo'!$B$7:$B$55,Jurnal!$I$6:$I$1648)</f>
        <v>0</v>
      </c>
      <c r="G24" s="19">
        <f t="shared" si="1"/>
        <v>0</v>
      </c>
      <c r="H24" s="14" t="s">
        <v>37</v>
      </c>
      <c r="I24" s="168"/>
      <c r="L24" s="39">
        <f>K23-L23</f>
        <v>-9668937</v>
      </c>
      <c r="O24" s="3">
        <v>48496953</v>
      </c>
    </row>
    <row r="25" spans="1:19" x14ac:dyDescent="0.2">
      <c r="A25" s="26" t="s">
        <v>116</v>
      </c>
      <c r="B25" s="4">
        <v>222</v>
      </c>
      <c r="C25" s="1" t="s">
        <v>116</v>
      </c>
      <c r="D25" s="285">
        <v>0</v>
      </c>
      <c r="E25" s="19">
        <f>SUMIF(Jurnal!$C$6:$C$1648,'Neraca Saldo'!$B$7:$B$55,Jurnal!$H$6:$H$1648)</f>
        <v>80765000</v>
      </c>
      <c r="F25" s="19">
        <f>SUMIF(Jurnal!$C$6:$C$1648,'Neraca Saldo'!$B$7:$B$55,Jurnal!$I$6:$I$1648)</f>
        <v>80765000</v>
      </c>
      <c r="G25" s="19">
        <f t="shared" si="1"/>
        <v>0</v>
      </c>
      <c r="H25" s="14" t="s">
        <v>37</v>
      </c>
      <c r="I25" s="168"/>
      <c r="L25" s="2"/>
      <c r="O25" s="3">
        <f>O23-O24</f>
        <v>61875944.757575035</v>
      </c>
    </row>
    <row r="26" spans="1:19" x14ac:dyDescent="0.2">
      <c r="A26" s="26" t="s">
        <v>107</v>
      </c>
      <c r="B26" s="4">
        <v>231</v>
      </c>
      <c r="C26" s="20" t="s">
        <v>107</v>
      </c>
      <c r="D26" s="285">
        <v>0</v>
      </c>
      <c r="E26" s="19">
        <f>SUMIF(Jurnal!$C$6:$C$1648,'Neraca Saldo'!$B$7:$B$55,Jurnal!$H$6:$H$1648)</f>
        <v>0</v>
      </c>
      <c r="F26" s="19">
        <f>SUMIF(Jurnal!$C$6:$C$1648,'Neraca Saldo'!$B$7:$B$55,Jurnal!$I$6:$I$1648)</f>
        <v>0</v>
      </c>
      <c r="G26" s="19">
        <f t="shared" si="1"/>
        <v>0</v>
      </c>
      <c r="H26" s="14" t="s">
        <v>37</v>
      </c>
      <c r="I26" s="168"/>
    </row>
    <row r="27" spans="1:19" x14ac:dyDescent="0.2">
      <c r="A27" s="26" t="s">
        <v>608</v>
      </c>
      <c r="B27" s="4">
        <v>232</v>
      </c>
      <c r="C27" s="20" t="s">
        <v>608</v>
      </c>
      <c r="D27" s="285">
        <v>-7266978.1978989895</v>
      </c>
      <c r="E27" s="19">
        <f>SUMIF(Jurnal!$C$6:$C$1648,'Neraca Saldo'!$B$7:$B$55,Jurnal!$H$6:$H$1648)</f>
        <v>7267978</v>
      </c>
      <c r="F27" s="19">
        <f>SUMIF(Jurnal!$C$6:$C$1648,'Neraca Saldo'!$B$7:$B$55,Jurnal!$I$6:$I$1648)</f>
        <v>23598627.170034982</v>
      </c>
      <c r="G27" s="19">
        <f t="shared" si="1"/>
        <v>-23597627.367933974</v>
      </c>
      <c r="H27" s="14" t="s">
        <v>37</v>
      </c>
      <c r="I27" s="168"/>
    </row>
    <row r="28" spans="1:19" x14ac:dyDescent="0.2">
      <c r="B28" s="4"/>
      <c r="C28" s="1"/>
      <c r="D28" s="285"/>
      <c r="E28" s="19">
        <f>SUMIF(Jurnal!$C$6:$C$1648,'Neraca Saldo'!$B$7:$B$55,Jurnal!$H$6:$H$1648)</f>
        <v>0</v>
      </c>
      <c r="F28" s="19">
        <f>SUMIF(Jurnal!$C$6:$C$1648,'Neraca Saldo'!$B$7:$B$55,Jurnal!$I$6:$I$1648)</f>
        <v>0</v>
      </c>
      <c r="G28" s="19"/>
      <c r="H28" s="21"/>
      <c r="I28" s="169"/>
    </row>
    <row r="29" spans="1:19" x14ac:dyDescent="0.2">
      <c r="B29" s="4">
        <v>311</v>
      </c>
      <c r="C29" s="5" t="s">
        <v>39</v>
      </c>
      <c r="D29" s="286"/>
      <c r="E29" s="19">
        <f>SUMIF(Jurnal!$C$6:$C$1648,'Neraca Saldo'!$B$7:$B$55,Jurnal!$H$6:$H$1648)</f>
        <v>0</v>
      </c>
      <c r="F29" s="19">
        <f>SUMIF(Jurnal!$C$6:$C$1648,'Neraca Saldo'!$B$7:$B$55,Jurnal!$I$6:$I$1648)</f>
        <v>0</v>
      </c>
      <c r="G29" s="19"/>
      <c r="H29" s="21"/>
      <c r="I29" s="169"/>
    </row>
    <row r="30" spans="1:19" x14ac:dyDescent="0.2">
      <c r="A30" s="26" t="s">
        <v>33</v>
      </c>
      <c r="B30" s="4">
        <v>312</v>
      </c>
      <c r="C30" s="1" t="s">
        <v>33</v>
      </c>
      <c r="D30" s="285">
        <v>0</v>
      </c>
      <c r="E30" s="19">
        <f>SUMIF(Jurnal!$C$6:$C$1648,'Neraca Saldo'!$B$7:$B$55,Jurnal!$H$6:$H$1648)</f>
        <v>0</v>
      </c>
      <c r="F30" s="19">
        <f>SUMIF(Jurnal!$C$6:$C$1648,'Neraca Saldo'!$B$7:$B$55,Jurnal!$I$6:$I$1648)</f>
        <v>0</v>
      </c>
      <c r="G30" s="19">
        <f>D30+E30-F30</f>
        <v>0</v>
      </c>
      <c r="H30" s="14" t="s">
        <v>37</v>
      </c>
      <c r="I30" s="168">
        <v>-7294332.6971210204</v>
      </c>
      <c r="K30" s="13" t="s">
        <v>100</v>
      </c>
    </row>
    <row r="31" spans="1:19" x14ac:dyDescent="0.2">
      <c r="A31" s="26" t="s">
        <v>542</v>
      </c>
      <c r="B31" s="4">
        <v>313</v>
      </c>
      <c r="C31" s="20" t="s">
        <v>542</v>
      </c>
      <c r="D31" s="285">
        <f>-100975599.087121+93926000-171128833.61</f>
        <v>-178178432.69712102</v>
      </c>
      <c r="E31" s="19">
        <f>SUMIF(Jurnal!$C$6:$C$1648,'Neraca Saldo'!$B$7:$B$55,Jurnal!$H$6:$H$1648)</f>
        <v>99385100</v>
      </c>
      <c r="F31" s="19">
        <f>SUMIF(Jurnal!$C$6:$C$1648,'Neraca Saldo'!$B$7:$B$55,Jurnal!$I$6:$I$1648)</f>
        <v>40000000</v>
      </c>
      <c r="G31" s="19">
        <f>D31+E31-F31</f>
        <v>-118793332.69712102</v>
      </c>
      <c r="H31" s="14" t="s">
        <v>37</v>
      </c>
      <c r="I31" s="300">
        <f>G31+G32</f>
        <v>-7294332.6971210241</v>
      </c>
      <c r="K31" s="13" t="s">
        <v>101</v>
      </c>
      <c r="L31" s="8">
        <f>G18</f>
        <v>19567477</v>
      </c>
    </row>
    <row r="32" spans="1:19" x14ac:dyDescent="0.2">
      <c r="A32" s="26" t="s">
        <v>34</v>
      </c>
      <c r="B32" s="4">
        <v>314</v>
      </c>
      <c r="C32" s="1" t="s">
        <v>34</v>
      </c>
      <c r="D32" s="287">
        <v>0</v>
      </c>
      <c r="E32" s="19">
        <f>SUMIF(Jurnal!$C$6:$C$1648,'Neraca Saldo'!$B$7:$B$55,Jurnal!$H$6:$H$1648)</f>
        <v>111499000</v>
      </c>
      <c r="F32" s="19">
        <f>SUMIF(Jurnal!$C$6:$C$1648,'Neraca Saldo'!$B$7:$B$55,Jurnal!$I$6:$I$1648)</f>
        <v>0</v>
      </c>
      <c r="G32" s="19">
        <f>D32+E32-F32</f>
        <v>111499000</v>
      </c>
      <c r="H32" s="14" t="s">
        <v>37</v>
      </c>
      <c r="I32" s="168"/>
      <c r="K32" s="13" t="s">
        <v>102</v>
      </c>
      <c r="L32" s="8">
        <f>25000000-L31</f>
        <v>5432523</v>
      </c>
    </row>
    <row r="33" spans="1:12" x14ac:dyDescent="0.2">
      <c r="A33" s="26" t="s">
        <v>35</v>
      </c>
      <c r="B33" s="4">
        <v>315</v>
      </c>
      <c r="C33" s="20" t="s">
        <v>612</v>
      </c>
      <c r="D33" s="285">
        <v>0</v>
      </c>
      <c r="E33" s="19">
        <f>SUMIF(Jurnal!$C$6:$C$1648,'Neraca Saldo'!$B$7:$B$55,Jurnal!$H$6:$H$1648)</f>
        <v>0</v>
      </c>
      <c r="F33" s="19">
        <f>SUM(G36:G40)-SUM(G42:G54)</f>
        <v>190934347.10301042</v>
      </c>
      <c r="G33" s="19">
        <f>D33+E33-F33</f>
        <v>-190934347.10301042</v>
      </c>
      <c r="H33" s="14" t="s">
        <v>37</v>
      </c>
      <c r="I33" s="168"/>
      <c r="K33" s="13" t="s">
        <v>103</v>
      </c>
      <c r="L33" s="8">
        <f>G36-G42</f>
        <v>153517232.2730453</v>
      </c>
    </row>
    <row r="34" spans="1:12" x14ac:dyDescent="0.2">
      <c r="B34" s="4"/>
      <c r="C34" s="1"/>
      <c r="D34" s="1"/>
      <c r="E34" s="19">
        <f>SUMIF(Jurnal!$C$6:$C$1648,'Neraca Saldo'!$B$7:$B$55,Jurnal!$H$6:$H$1648)</f>
        <v>0</v>
      </c>
      <c r="F34" s="19">
        <f>SUMIF(Jurnal!$C$8:$C$1648,'Neraca Saldo'!$B$7:$B$55,Jurnal!$I$8:$I$1648)</f>
        <v>0</v>
      </c>
      <c r="G34" s="19"/>
      <c r="H34" s="21"/>
      <c r="I34" s="169"/>
      <c r="L34" s="25">
        <f>SUM(L31:L33)</f>
        <v>178517232.2730453</v>
      </c>
    </row>
    <row r="35" spans="1:12" x14ac:dyDescent="0.2">
      <c r="B35" s="4">
        <v>4</v>
      </c>
      <c r="C35" s="5" t="s">
        <v>45</v>
      </c>
      <c r="D35" s="5"/>
      <c r="E35" s="19">
        <f>SUMIF(Jurnal!$C$6:$C$1648,'Neraca Saldo'!$B$7:$B$55,Jurnal!$H$6:$H$1648)</f>
        <v>0</v>
      </c>
      <c r="F35" s="19">
        <f>SUMIF(Jurnal!$C$6:$C$1648,'Neraca Saldo'!$B$7:$B$55,Jurnal!$I$6:$I$1648)</f>
        <v>0</v>
      </c>
      <c r="G35" s="19"/>
      <c r="H35" s="21"/>
      <c r="I35" s="169"/>
    </row>
    <row r="36" spans="1:12" x14ac:dyDescent="0.2">
      <c r="A36" s="26" t="s">
        <v>82</v>
      </c>
      <c r="B36" s="4">
        <v>411</v>
      </c>
      <c r="C36" s="20" t="s">
        <v>82</v>
      </c>
      <c r="D36" s="20"/>
      <c r="E36" s="19">
        <f>SUMIF(Jurnal!$C$6:$C$1648,'Neraca Saldo'!$B$7:$B$55,Jurnal!$H$6:$H$1648)</f>
        <v>92107350</v>
      </c>
      <c r="F36" s="19">
        <f>SUMIF(Jurnal!$C$6:$C$1648,'Neraca Saldo'!$B$7:$B$55,Jurnal!$I$6:$I$1648)</f>
        <v>1319854297</v>
      </c>
      <c r="G36" s="19">
        <f>+F36-E36</f>
        <v>1227746947</v>
      </c>
      <c r="H36" s="14" t="s">
        <v>37</v>
      </c>
      <c r="I36" s="168"/>
    </row>
    <row r="37" spans="1:12" x14ac:dyDescent="0.2">
      <c r="A37" s="26" t="s">
        <v>83</v>
      </c>
      <c r="B37" s="4">
        <v>412</v>
      </c>
      <c r="C37" s="20" t="s">
        <v>83</v>
      </c>
      <c r="D37" s="20"/>
      <c r="E37" s="19">
        <f>SUMIF(Jurnal!$C$6:$C$1648,'Neraca Saldo'!$B$7:$B$55,Jurnal!$H$6:$H$1648)</f>
        <v>0</v>
      </c>
      <c r="F37" s="19">
        <f>SUMIF(Jurnal!$C$6:$C$1648,'Neraca Saldo'!$B$7:$B$55,Jurnal!$I$6:$I$1648)</f>
        <v>213716844</v>
      </c>
      <c r="G37" s="19">
        <f>+F37-E37</f>
        <v>213716844</v>
      </c>
      <c r="H37" s="14" t="s">
        <v>37</v>
      </c>
      <c r="I37" s="168"/>
    </row>
    <row r="38" spans="1:12" x14ac:dyDescent="0.2">
      <c r="A38" s="26" t="s">
        <v>42</v>
      </c>
      <c r="B38" s="4">
        <v>413</v>
      </c>
      <c r="C38" s="20" t="s">
        <v>84</v>
      </c>
      <c r="D38" s="20"/>
      <c r="E38" s="19">
        <f>SUMIF(Jurnal!$C$6:$C$1648,'Neraca Saldo'!$B$7:$B$55,Jurnal!$H$6:$H$1648)</f>
        <v>0</v>
      </c>
      <c r="F38" s="19">
        <f>SUMIF(Jurnal!$C$6:$C$1648,'Neraca Saldo'!$B$7:$B$55,Jurnal!$I$6:$I$1648)</f>
        <v>335890</v>
      </c>
      <c r="G38" s="19">
        <f>+F38-E38</f>
        <v>335890</v>
      </c>
      <c r="H38" s="14" t="s">
        <v>37</v>
      </c>
      <c r="I38" s="168"/>
    </row>
    <row r="39" spans="1:12" x14ac:dyDescent="0.2">
      <c r="A39" s="26" t="s">
        <v>511</v>
      </c>
      <c r="B39" s="4">
        <v>414</v>
      </c>
      <c r="C39" s="20" t="s">
        <v>511</v>
      </c>
      <c r="D39" s="20"/>
      <c r="E39" s="19">
        <f>SUMIF(Jurnal!$C$6:$C$1648,'Neraca Saldo'!$B$7:$B$55,Jurnal!$H$6:$H$1648)</f>
        <v>0</v>
      </c>
      <c r="F39" s="19">
        <f>SUMIF(Jurnal!$C$6:$C$1648,'Neraca Saldo'!$B$7:$B$55,Jurnal!$I$6:$I$1648)</f>
        <v>148603306</v>
      </c>
      <c r="G39" s="19">
        <f>+F39-E39</f>
        <v>148603306</v>
      </c>
      <c r="H39" s="14" t="s">
        <v>37</v>
      </c>
      <c r="I39" s="168"/>
    </row>
    <row r="40" spans="1:12" x14ac:dyDescent="0.2">
      <c r="A40" s="26" t="s">
        <v>42</v>
      </c>
      <c r="B40" s="4">
        <v>415</v>
      </c>
      <c r="C40" s="20" t="s">
        <v>42</v>
      </c>
      <c r="D40" s="20"/>
      <c r="E40" s="19">
        <f>SUMIF(Jurnal!$C$6:$C$1648,'Neraca Saldo'!$B$7:$B$55,Jurnal!$H$6:$H$1648)</f>
        <v>0</v>
      </c>
      <c r="F40" s="19">
        <f>SUMIF(Jurnal!$C$6:$C$1648,'Neraca Saldo'!$B$7:$B$55,Jurnal!$I$6:$I$1648)</f>
        <v>1408000</v>
      </c>
      <c r="G40" s="19">
        <f>+F40-E40</f>
        <v>1408000</v>
      </c>
      <c r="H40" s="14" t="s">
        <v>37</v>
      </c>
      <c r="I40" s="168"/>
    </row>
    <row r="41" spans="1:12" x14ac:dyDescent="0.2">
      <c r="B41" s="4"/>
      <c r="C41" s="20"/>
      <c r="D41" s="20"/>
      <c r="E41" s="19">
        <f>SUMIF(Jurnal!$C$6:$C$1648,'Neraca Saldo'!$B$7:$B$55,Jurnal!$H$6:$H$1648)</f>
        <v>0</v>
      </c>
      <c r="F41" s="19">
        <f>SUMIF(Jurnal!$C$6:$C$1648,'Neraca Saldo'!$B$7:$B$55,Jurnal!$I$6:$I$1648)</f>
        <v>0</v>
      </c>
      <c r="G41" s="19"/>
      <c r="H41" s="21"/>
      <c r="I41" s="169"/>
    </row>
    <row r="42" spans="1:12" x14ac:dyDescent="0.2">
      <c r="A42" s="26" t="s">
        <v>108</v>
      </c>
      <c r="B42" s="4">
        <v>511</v>
      </c>
      <c r="C42" s="5" t="s">
        <v>99</v>
      </c>
      <c r="D42" s="5"/>
      <c r="E42" s="19">
        <f>SUMIF(Jurnal!$C$6:$C$1648,'Neraca Saldo'!$B$7:$B$55,Jurnal!$H$6:$H$1648)</f>
        <v>1074229714.7269547</v>
      </c>
      <c r="F42" s="19">
        <f>SUMIF(Jurnal!$C$6:$C$1648,'Neraca Saldo'!$B$7:$B$55,Jurnal!$I$6:$I$1648)</f>
        <v>0</v>
      </c>
      <c r="G42" s="19">
        <f>+E42-F42</f>
        <v>1074229714.7269547</v>
      </c>
      <c r="H42" s="21"/>
      <c r="I42" s="169">
        <v>1129618672</v>
      </c>
      <c r="K42" s="2">
        <f>+I42-G42</f>
        <v>55388957.273045301</v>
      </c>
    </row>
    <row r="43" spans="1:12" x14ac:dyDescent="0.2">
      <c r="A43" s="26" t="s">
        <v>85</v>
      </c>
      <c r="B43" s="4">
        <v>512</v>
      </c>
      <c r="C43" s="20" t="s">
        <v>85</v>
      </c>
      <c r="D43" s="20"/>
      <c r="E43" s="19">
        <f>SUMIF(Jurnal!$C$6:$C$1648,'Neraca Saldo'!$B$7:$B$55,Jurnal!$H$6:$H$1648)</f>
        <v>5529757</v>
      </c>
      <c r="F43" s="19">
        <f>SUMIF(Jurnal!$C$6:$C$1648,'Neraca Saldo'!$B$7:$B$55,Jurnal!$I$6:$I$1648)</f>
        <v>0</v>
      </c>
      <c r="G43" s="19">
        <f>+E43-F43</f>
        <v>5529757</v>
      </c>
      <c r="H43" s="14" t="s">
        <v>36</v>
      </c>
      <c r="I43" s="168">
        <v>7850000</v>
      </c>
      <c r="K43" s="2">
        <f t="shared" ref="K43:K53" si="2">+I43-G43</f>
        <v>2320243</v>
      </c>
    </row>
    <row r="44" spans="1:12" x14ac:dyDescent="0.2">
      <c r="A44" s="26" t="s">
        <v>55</v>
      </c>
      <c r="B44" s="4">
        <v>513</v>
      </c>
      <c r="C44" s="20" t="s">
        <v>55</v>
      </c>
      <c r="D44" s="20"/>
      <c r="E44" s="19">
        <f>SUMIF(Jurnal!$C$6:$C$1648,'Neraca Saldo'!$B$7:$B$55,Jurnal!$H$6:$H$1648)</f>
        <v>106787832</v>
      </c>
      <c r="F44" s="19">
        <f>SUMIF(Jurnal!$C$6:$C$1648,'Neraca Saldo'!$B$7:$B$55,Jurnal!$I$6:$I$1648)</f>
        <v>1755500</v>
      </c>
      <c r="G44" s="19">
        <f t="shared" ref="G44:G54" si="3">+E44-F44</f>
        <v>105032332</v>
      </c>
      <c r="H44" s="14" t="s">
        <v>36</v>
      </c>
      <c r="I44" s="168">
        <v>63399690</v>
      </c>
      <c r="K44" s="2">
        <f t="shared" si="2"/>
        <v>-41632642</v>
      </c>
    </row>
    <row r="45" spans="1:12" x14ac:dyDescent="0.2">
      <c r="A45" s="26" t="s">
        <v>47</v>
      </c>
      <c r="B45" s="4">
        <v>514</v>
      </c>
      <c r="C45" s="20" t="s">
        <v>47</v>
      </c>
      <c r="D45" s="20"/>
      <c r="E45" s="19">
        <f>SUMIF(Jurnal!$C$6:$C$1648,'Neraca Saldo'!$B$7:$B$55,Jurnal!$H$6:$H$1648)</f>
        <v>76113</v>
      </c>
      <c r="F45" s="19">
        <f>SUMIF(Jurnal!$C$6:$C$1648,'Neraca Saldo'!$B$7:$B$55,Jurnal!$I$6:$I$1648)</f>
        <v>0</v>
      </c>
      <c r="G45" s="19">
        <f t="shared" si="3"/>
        <v>76113</v>
      </c>
      <c r="H45" s="14" t="s">
        <v>36</v>
      </c>
      <c r="I45" s="168">
        <v>0</v>
      </c>
      <c r="K45" s="2">
        <f t="shared" si="2"/>
        <v>-76113</v>
      </c>
    </row>
    <row r="46" spans="1:12" x14ac:dyDescent="0.2">
      <c r="A46" s="26" t="s">
        <v>86</v>
      </c>
      <c r="B46" s="4">
        <v>515</v>
      </c>
      <c r="C46" s="20" t="s">
        <v>86</v>
      </c>
      <c r="D46" s="20"/>
      <c r="E46" s="19">
        <f>SUMIF(Jurnal!$C$6:$C$1648,'Neraca Saldo'!$B$7:$B$55,Jurnal!$H$6:$H$1648)</f>
        <v>126860000</v>
      </c>
      <c r="F46" s="19">
        <f>SUMIF(Jurnal!$C$6:$C$1648,'Neraca Saldo'!$B$7:$B$55,Jurnal!$I$6:$I$1648)</f>
        <v>0</v>
      </c>
      <c r="G46" s="19">
        <f t="shared" si="3"/>
        <v>126860000</v>
      </c>
      <c r="H46" s="14" t="s">
        <v>36</v>
      </c>
      <c r="I46" s="168">
        <v>46300000</v>
      </c>
      <c r="K46" s="2">
        <f t="shared" si="2"/>
        <v>-80560000</v>
      </c>
    </row>
    <row r="47" spans="1:12" x14ac:dyDescent="0.2">
      <c r="A47" s="26" t="s">
        <v>87</v>
      </c>
      <c r="B47" s="4">
        <v>516</v>
      </c>
      <c r="C47" s="20" t="s">
        <v>87</v>
      </c>
      <c r="D47" s="20"/>
      <c r="E47" s="19">
        <f>SUMIF(Jurnal!$C$6:$C$1648,'Neraca Saldo'!$B$7:$B$55,Jurnal!$H$6:$H$1648)</f>
        <v>3142573</v>
      </c>
      <c r="F47" s="19">
        <f>SUMIF(Jurnal!$C$6:$C$1648,'Neraca Saldo'!$B$7:$B$55,Jurnal!$I$6:$I$1648)</f>
        <v>0</v>
      </c>
      <c r="G47" s="19">
        <f t="shared" si="3"/>
        <v>3142573</v>
      </c>
      <c r="H47" s="14" t="s">
        <v>36</v>
      </c>
      <c r="I47" s="168">
        <v>2471402</v>
      </c>
      <c r="K47" s="2">
        <f t="shared" si="2"/>
        <v>-671171</v>
      </c>
    </row>
    <row r="48" spans="1:12" x14ac:dyDescent="0.2">
      <c r="A48" s="26" t="s">
        <v>88</v>
      </c>
      <c r="B48" s="4">
        <v>517</v>
      </c>
      <c r="C48" s="20" t="s">
        <v>88</v>
      </c>
      <c r="D48" s="20"/>
      <c r="E48" s="19">
        <f>SUMIF(Jurnal!$C$6:$C$1648,'Neraca Saldo'!$B$7:$B$55,Jurnal!$H$6:$H$1648)</f>
        <v>6090000</v>
      </c>
      <c r="F48" s="19">
        <f>SUMIF(Jurnal!$C$6:$C$1648,'Neraca Saldo'!$B$7:$B$55,Jurnal!$I$6:$I$1648)</f>
        <v>0</v>
      </c>
      <c r="G48" s="19">
        <f t="shared" si="3"/>
        <v>6090000</v>
      </c>
      <c r="H48" s="14" t="s">
        <v>36</v>
      </c>
      <c r="I48" s="168">
        <v>3501546</v>
      </c>
      <c r="K48" s="2">
        <f t="shared" si="2"/>
        <v>-2588454</v>
      </c>
    </row>
    <row r="49" spans="1:11" x14ac:dyDescent="0.2">
      <c r="A49" s="26" t="s">
        <v>89</v>
      </c>
      <c r="B49" s="4">
        <v>518</v>
      </c>
      <c r="C49" s="20" t="s">
        <v>89</v>
      </c>
      <c r="D49" s="20"/>
      <c r="E49" s="19">
        <f>SUMIF(Jurnal!$C$6:$C$1648,'Neraca Saldo'!$B$7:$B$55,Jurnal!$H$6:$H$1648)</f>
        <v>6387409</v>
      </c>
      <c r="F49" s="19">
        <f>SUMIF(Jurnal!$C$6:$C$1648,'Neraca Saldo'!$B$7:$B$55,Jurnal!$I$6:$I$1648)</f>
        <v>0</v>
      </c>
      <c r="G49" s="19">
        <f t="shared" si="3"/>
        <v>6387409</v>
      </c>
      <c r="H49" s="14" t="s">
        <v>36</v>
      </c>
      <c r="I49" s="168">
        <v>13793090</v>
      </c>
      <c r="K49" s="2">
        <f t="shared" si="2"/>
        <v>7405681</v>
      </c>
    </row>
    <row r="50" spans="1:11" x14ac:dyDescent="0.2">
      <c r="A50" s="26" t="s">
        <v>90</v>
      </c>
      <c r="B50" s="4">
        <v>519</v>
      </c>
      <c r="C50" s="20" t="s">
        <v>90</v>
      </c>
      <c r="D50" s="20"/>
      <c r="E50" s="19">
        <f>SUMIF(Jurnal!$C$6:$C$1648,'Neraca Saldo'!$B$7:$B$55,Jurnal!$H$6:$H$1648)</f>
        <v>0</v>
      </c>
      <c r="F50" s="19">
        <f>SUMIF(Jurnal!$C$6:$C$1648,'Neraca Saldo'!$B$7:$B$55,Jurnal!$I$6:$I$1648)</f>
        <v>0</v>
      </c>
      <c r="G50" s="19">
        <f t="shared" si="3"/>
        <v>0</v>
      </c>
      <c r="H50" s="14" t="s">
        <v>36</v>
      </c>
      <c r="I50" s="168">
        <v>0</v>
      </c>
      <c r="K50" s="2">
        <f t="shared" si="2"/>
        <v>0</v>
      </c>
    </row>
    <row r="51" spans="1:11" x14ac:dyDescent="0.2">
      <c r="A51" s="26" t="s">
        <v>91</v>
      </c>
      <c r="B51" s="4">
        <v>520</v>
      </c>
      <c r="C51" s="20" t="s">
        <v>91</v>
      </c>
      <c r="D51" s="20"/>
      <c r="E51" s="19">
        <f>SUMIF(Jurnal!$C$6:$C$1648,'Neraca Saldo'!$B$7:$B$55,Jurnal!$H$6:$H$1648)</f>
        <v>11101290</v>
      </c>
      <c r="F51" s="19">
        <f>SUMIF(Jurnal!$C$6:$C$1648,'Neraca Saldo'!$B$7:$B$55,Jurnal!$I$6:$I$1648)</f>
        <v>33000</v>
      </c>
      <c r="G51" s="19">
        <f t="shared" si="3"/>
        <v>11068290</v>
      </c>
      <c r="H51" s="14" t="s">
        <v>36</v>
      </c>
      <c r="I51" s="168">
        <v>8314823</v>
      </c>
      <c r="K51" s="2">
        <f t="shared" si="2"/>
        <v>-2753467</v>
      </c>
    </row>
    <row r="52" spans="1:11" x14ac:dyDescent="0.2">
      <c r="A52" s="26" t="s">
        <v>92</v>
      </c>
      <c r="B52" s="4">
        <v>521</v>
      </c>
      <c r="C52" s="20" t="s">
        <v>92</v>
      </c>
      <c r="D52" s="20"/>
      <c r="E52" s="19">
        <f>SUMIF(Jurnal!$C$6:$C$1648,'Neraca Saldo'!$B$7:$B$55,Jurnal!$H$6:$H$1648)</f>
        <v>189682</v>
      </c>
      <c r="F52" s="19">
        <f>SUMIF(Jurnal!$C$6:$C$1648,'Neraca Saldo'!$B$7:$B$55,Jurnal!$I$6:$I$1648)</f>
        <v>0</v>
      </c>
      <c r="G52" s="19">
        <f t="shared" si="3"/>
        <v>189682</v>
      </c>
      <c r="H52" s="14" t="s">
        <v>36</v>
      </c>
      <c r="I52" s="168">
        <v>381766</v>
      </c>
      <c r="K52" s="2">
        <f t="shared" si="2"/>
        <v>192084</v>
      </c>
    </row>
    <row r="53" spans="1:11" x14ac:dyDescent="0.2">
      <c r="A53" s="26" t="s">
        <v>610</v>
      </c>
      <c r="B53" s="4">
        <v>522</v>
      </c>
      <c r="C53" s="20" t="s">
        <v>610</v>
      </c>
      <c r="D53" s="20"/>
      <c r="E53" s="19">
        <f>SUMIF(Jurnal!$C$6:$C$1648,'Neraca Saldo'!$B$7:$B$55,Jurnal!$H$6:$H$1648)</f>
        <v>23598627.170034982</v>
      </c>
      <c r="F53" s="19">
        <f>SUMIF(Jurnal!$C$6:$C$1648,'Neraca Saldo'!$B$7:$B$55,Jurnal!$I$6:$I$1648)</f>
        <v>0</v>
      </c>
      <c r="G53" s="19">
        <f t="shared" si="3"/>
        <v>23598627.170034982</v>
      </c>
      <c r="H53" s="14" t="s">
        <v>36</v>
      </c>
      <c r="I53" s="168">
        <v>7266944.3900000006</v>
      </c>
      <c r="K53" s="2">
        <f t="shared" si="2"/>
        <v>-16331682.780034982</v>
      </c>
    </row>
    <row r="54" spans="1:11" x14ac:dyDescent="0.2">
      <c r="A54" s="26" t="s">
        <v>875</v>
      </c>
      <c r="B54" s="183">
        <v>523</v>
      </c>
      <c r="C54" s="20" t="s">
        <v>875</v>
      </c>
      <c r="D54" s="1"/>
      <c r="E54" s="19">
        <f>SUMIF(Jurnal!$C$6:$C$1648,'Neraca Saldo'!$B$7:$B$55,Jurnal!$H$6:$H$1648)</f>
        <v>38672142</v>
      </c>
      <c r="F54" s="19">
        <f>SUMIF(Jurnal!$C$6:$C$1648,'Neraca Saldo'!$B$7:$B$55,Jurnal!$I$6:$I$1648)</f>
        <v>0</v>
      </c>
      <c r="G54" s="19">
        <f t="shared" si="3"/>
        <v>38672142</v>
      </c>
      <c r="H54" s="14" t="s">
        <v>36</v>
      </c>
    </row>
    <row r="55" spans="1:11" x14ac:dyDescent="0.2">
      <c r="B55" s="1"/>
      <c r="C55" s="1"/>
      <c r="D55" s="1"/>
      <c r="E55" s="19"/>
      <c r="F55" s="19"/>
      <c r="G55" s="19"/>
      <c r="H55" s="1"/>
    </row>
    <row r="56" spans="1:11" x14ac:dyDescent="0.2">
      <c r="B56" s="9"/>
      <c r="C56" s="9"/>
      <c r="D56" s="9"/>
      <c r="E56" s="10">
        <f>SUM(E8:E55)</f>
        <v>16497970362.89699</v>
      </c>
      <c r="F56" s="10">
        <f>SUM(F8:F55)</f>
        <v>16688904710</v>
      </c>
      <c r="G56" s="10">
        <f>SUM(G8:G55)</f>
        <v>2992687626.6484323</v>
      </c>
      <c r="H56" s="9"/>
      <c r="I56" s="170"/>
    </row>
    <row r="58" spans="1:11" x14ac:dyDescent="0.2">
      <c r="E58" s="2">
        <f>+E56-F56</f>
        <v>-190934347.10301018</v>
      </c>
      <c r="G58" s="2">
        <f>SUM(G36:G40)</f>
        <v>1591810987</v>
      </c>
    </row>
    <row r="59" spans="1:11" x14ac:dyDescent="0.2">
      <c r="E59" s="2"/>
      <c r="G59" s="2">
        <f>SUM(G43:G54)</f>
        <v>326646925.170035</v>
      </c>
    </row>
    <row r="60" spans="1:11" x14ac:dyDescent="0.2">
      <c r="E60" s="2"/>
      <c r="G60" s="2">
        <f>G58-G59</f>
        <v>1265164061.8299651</v>
      </c>
    </row>
    <row r="61" spans="1:11" x14ac:dyDescent="0.2">
      <c r="E61" s="2"/>
    </row>
  </sheetData>
  <mergeCells count="4">
    <mergeCell ref="B1:H1"/>
    <mergeCell ref="B2:H2"/>
    <mergeCell ref="B3:H3"/>
    <mergeCell ref="B4:H4"/>
  </mergeCells>
  <phoneticPr fontId="8" type="noConversion"/>
  <printOptions horizontalCentered="1"/>
  <pageMargins left="0.25" right="0.2" top="0.25" bottom="0.25" header="0" footer="0"/>
  <pageSetup paperSize="9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E486-416B-4BC4-9268-4458FCCBC6E1}">
  <sheetPr codeName="Sheet10"/>
  <dimension ref="B2:Q95"/>
  <sheetViews>
    <sheetView topLeftCell="A60" zoomScale="85" zoomScaleNormal="85" workbookViewId="0">
      <selection activeCell="E60" sqref="E60"/>
    </sheetView>
  </sheetViews>
  <sheetFormatPr defaultColWidth="9.140625" defaultRowHeight="14.25" x14ac:dyDescent="0.2"/>
  <cols>
    <col min="1" max="1" width="1.28515625" style="57" customWidth="1"/>
    <col min="2" max="2" width="1.7109375" style="57" customWidth="1"/>
    <col min="3" max="3" width="40" style="57" customWidth="1"/>
    <col min="4" max="4" width="3.7109375" style="57" customWidth="1"/>
    <col min="5" max="5" width="22" style="57" customWidth="1"/>
    <col min="6" max="6" width="0.85546875" style="57" customWidth="1"/>
    <col min="7" max="7" width="13.28515625" style="57" customWidth="1"/>
    <col min="8" max="8" width="18" style="57" customWidth="1"/>
    <col min="9" max="9" width="21.85546875" style="57" customWidth="1"/>
    <col min="10" max="10" width="21.28515625" style="57" customWidth="1"/>
    <col min="11" max="11" width="15.140625" style="57" customWidth="1"/>
    <col min="12" max="12" width="18.85546875" style="57" bestFit="1" customWidth="1"/>
    <col min="13" max="13" width="6.7109375" style="57" customWidth="1"/>
    <col min="14" max="14" width="13.28515625" style="57" customWidth="1"/>
    <col min="15" max="15" width="0.85546875" style="57" customWidth="1"/>
    <col min="16" max="16" width="14" style="57" customWidth="1"/>
    <col min="17" max="17" width="10.28515625" style="57" customWidth="1"/>
    <col min="18" max="18" width="12.28515625" style="57" customWidth="1"/>
    <col min="19" max="16384" width="9.140625" style="57"/>
  </cols>
  <sheetData>
    <row r="2" spans="2:17" ht="25.5" customHeight="1" x14ac:dyDescent="0.25">
      <c r="B2" s="356" t="s">
        <v>59</v>
      </c>
      <c r="C2" s="356"/>
      <c r="D2" s="356"/>
      <c r="E2" s="356"/>
      <c r="F2" s="356"/>
      <c r="G2" s="356"/>
      <c r="H2" s="356"/>
      <c r="I2" s="356"/>
      <c r="J2" s="356"/>
      <c r="K2" s="58"/>
      <c r="L2" s="58"/>
      <c r="M2" s="58"/>
      <c r="N2" s="58"/>
    </row>
    <row r="3" spans="2:17" ht="25.5" customHeight="1" x14ac:dyDescent="0.25">
      <c r="B3" s="356" t="s">
        <v>76</v>
      </c>
      <c r="C3" s="356"/>
      <c r="D3" s="356"/>
      <c r="E3" s="356"/>
      <c r="F3" s="356"/>
      <c r="G3" s="356"/>
      <c r="H3" s="356"/>
      <c r="I3" s="356"/>
      <c r="J3" s="356"/>
      <c r="K3" s="58"/>
      <c r="L3" s="58"/>
      <c r="M3" s="58"/>
      <c r="N3" s="58"/>
    </row>
    <row r="4" spans="2:17" ht="27.75" customHeight="1" x14ac:dyDescent="0.2">
      <c r="B4" s="358" t="s">
        <v>18</v>
      </c>
      <c r="C4" s="358"/>
      <c r="D4" s="358"/>
      <c r="E4" s="358"/>
      <c r="F4" s="358"/>
      <c r="G4" s="358"/>
      <c r="H4" s="358"/>
      <c r="I4" s="358"/>
      <c r="J4" s="358"/>
      <c r="K4" s="59"/>
      <c r="L4" s="59"/>
      <c r="M4" s="59"/>
      <c r="N4" s="59"/>
      <c r="O4" s="59"/>
    </row>
    <row r="5" spans="2:17" ht="14.25" customHeight="1" x14ac:dyDescent="0.2">
      <c r="B5" s="359" t="s">
        <v>872</v>
      </c>
      <c r="C5" s="359"/>
      <c r="D5" s="359"/>
      <c r="E5" s="359"/>
      <c r="F5" s="359"/>
      <c r="G5" s="359"/>
      <c r="H5" s="359"/>
      <c r="I5" s="359"/>
      <c r="J5" s="359"/>
      <c r="M5" s="60"/>
      <c r="N5" s="60"/>
    </row>
    <row r="6" spans="2:17" ht="15" customHeight="1" x14ac:dyDescent="0.2">
      <c r="B6" s="61"/>
      <c r="C6" s="61"/>
      <c r="D6" s="61"/>
      <c r="E6" s="61"/>
      <c r="F6" s="61"/>
      <c r="G6" s="61"/>
      <c r="H6" s="61"/>
      <c r="I6" s="61"/>
      <c r="J6" s="61"/>
    </row>
    <row r="7" spans="2:17" ht="15" customHeight="1" x14ac:dyDescent="0.2">
      <c r="B7" s="363" t="s">
        <v>19</v>
      </c>
      <c r="C7" s="364"/>
      <c r="D7" s="365"/>
      <c r="E7" s="353">
        <v>2025</v>
      </c>
      <c r="F7" s="62"/>
      <c r="G7" s="363" t="s">
        <v>19</v>
      </c>
      <c r="H7" s="364"/>
      <c r="I7" s="365"/>
      <c r="J7" s="353">
        <v>2025</v>
      </c>
    </row>
    <row r="8" spans="2:17" ht="12" customHeight="1" x14ac:dyDescent="0.2">
      <c r="B8" s="366"/>
      <c r="C8" s="348"/>
      <c r="D8" s="367"/>
      <c r="E8" s="354"/>
      <c r="F8" s="62"/>
      <c r="G8" s="366"/>
      <c r="H8" s="348"/>
      <c r="I8" s="367"/>
      <c r="J8" s="354"/>
    </row>
    <row r="9" spans="2:17" ht="9" customHeight="1" x14ac:dyDescent="0.2">
      <c r="B9" s="368"/>
      <c r="C9" s="351"/>
      <c r="D9" s="369"/>
      <c r="E9" s="355"/>
      <c r="F9" s="62"/>
      <c r="G9" s="368"/>
      <c r="H9" s="351"/>
      <c r="I9" s="369"/>
      <c r="J9" s="355"/>
    </row>
    <row r="10" spans="2:17" ht="12" customHeight="1" x14ac:dyDescent="0.2">
      <c r="B10" s="63"/>
      <c r="E10" s="64"/>
      <c r="F10" s="62"/>
      <c r="G10" s="63"/>
      <c r="H10" s="65"/>
      <c r="I10" s="66"/>
      <c r="J10" s="67"/>
    </row>
    <row r="11" spans="2:17" ht="15" x14ac:dyDescent="0.25">
      <c r="B11" s="68" t="s">
        <v>20</v>
      </c>
      <c r="C11" s="69"/>
      <c r="D11" s="69"/>
      <c r="E11" s="70"/>
      <c r="F11" s="62"/>
      <c r="G11" s="68" t="s">
        <v>21</v>
      </c>
      <c r="H11" s="71"/>
      <c r="I11" s="72"/>
      <c r="J11" s="72"/>
    </row>
    <row r="12" spans="2:17" ht="3" customHeight="1" x14ac:dyDescent="0.2">
      <c r="B12" s="63"/>
      <c r="D12" s="73"/>
      <c r="E12" s="74"/>
      <c r="F12" s="62"/>
      <c r="G12" s="63"/>
      <c r="H12" s="75"/>
      <c r="I12" s="67"/>
      <c r="J12" s="67"/>
    </row>
    <row r="13" spans="2:17" x14ac:dyDescent="0.2">
      <c r="B13" s="76"/>
      <c r="C13" s="77" t="s">
        <v>22</v>
      </c>
      <c r="E13" s="78">
        <f>SUMIF('Neraca Saldo'!$A$8:$A$55,'Neraca '!C13,'Neraca Saldo'!$G$8:$G$55)</f>
        <v>30668650.848484039</v>
      </c>
      <c r="F13" s="62"/>
      <c r="G13" s="76"/>
      <c r="H13" s="77" t="s">
        <v>41</v>
      </c>
      <c r="I13" s="67"/>
      <c r="J13" s="79">
        <f>SUMIF('Neraca Saldo'!$A$8:$A$55,'Neraca '!H13,'Neraca Saldo'!$G$8:$G$55)</f>
        <v>-3294007563</v>
      </c>
      <c r="L13" s="80"/>
      <c r="N13" s="81"/>
    </row>
    <row r="14" spans="2:17" x14ac:dyDescent="0.2">
      <c r="B14" s="76"/>
      <c r="C14" s="77" t="s">
        <v>32</v>
      </c>
      <c r="E14" s="78">
        <f>SUMIF('Neraca Saldo'!$A$8:$A$55,'Neraca '!C14,'Neraca Saldo'!$G$8:$G$55)</f>
        <v>3013332563.5909081</v>
      </c>
      <c r="F14" s="62"/>
      <c r="G14" s="76"/>
      <c r="H14" s="77" t="s">
        <v>23</v>
      </c>
      <c r="I14" s="77"/>
      <c r="J14" s="78">
        <f>SUMIF('Neraca Saldo'!$A$8:$A$55,'Neraca '!H14,'Neraca Saldo'!$G$8:$G$55)</f>
        <v>0</v>
      </c>
      <c r="Q14" s="82"/>
    </row>
    <row r="15" spans="2:17" x14ac:dyDescent="0.2">
      <c r="B15" s="76"/>
      <c r="C15" s="77" t="s">
        <v>79</v>
      </c>
      <c r="E15" s="78">
        <f>SUMIF('Neraca Saldo'!$A$8:$A$55,'Neraca '!C15,'Neraca Saldo'!$G$8:$G$55)</f>
        <v>0</v>
      </c>
      <c r="F15" s="62"/>
      <c r="G15" s="76"/>
      <c r="H15" s="77" t="s">
        <v>66</v>
      </c>
      <c r="I15" s="77"/>
      <c r="J15" s="78">
        <f>SUMIF('Neraca Saldo'!$A$8:$A$55,'Neraca '!H15,'Neraca Saldo'!$G$8:$G$55)</f>
        <v>0</v>
      </c>
    </row>
    <row r="16" spans="2:17" x14ac:dyDescent="0.2">
      <c r="B16" s="76"/>
      <c r="C16" s="77" t="s">
        <v>104</v>
      </c>
      <c r="E16" s="78">
        <f>SUMIF('Neraca Saldo'!$A$8:$A$55,'Neraca '!C16,'Neraca Saldo'!$G$8:$G$55)</f>
        <v>244350188</v>
      </c>
      <c r="F16" s="62"/>
      <c r="G16" s="76"/>
      <c r="H16" s="77" t="s">
        <v>107</v>
      </c>
      <c r="I16" s="77"/>
      <c r="J16" s="78">
        <f>SUMIF('Neraca Saldo'!$A$8:$A$55,'Neraca '!H16,'Neraca Saldo'!$G$8:$G$55)</f>
        <v>0</v>
      </c>
    </row>
    <row r="17" spans="2:10" x14ac:dyDescent="0.2">
      <c r="B17" s="76"/>
      <c r="C17" s="77" t="s">
        <v>105</v>
      </c>
      <c r="E17" s="78">
        <f>SUMIF('Neraca Saldo'!$A$8:$A$55,'Neraca '!C17,'Neraca Saldo'!$G$8:$G$55)</f>
        <v>142744755.2730453</v>
      </c>
      <c r="F17" s="62"/>
      <c r="G17" s="76"/>
      <c r="H17" s="77" t="s">
        <v>116</v>
      </c>
      <c r="I17" s="77"/>
      <c r="J17" s="78">
        <f>SUMIF('Neraca Saldo'!$A$8:$A$55,'Neraca '!H17,'Neraca Saldo'!$G$8:$G$55)</f>
        <v>0</v>
      </c>
    </row>
    <row r="18" spans="2:10" x14ac:dyDescent="0.2">
      <c r="B18" s="76"/>
      <c r="C18" s="77" t="s">
        <v>510</v>
      </c>
      <c r="E18" s="78">
        <f>SUMIF('Neraca Saldo'!$A$8:$A$55,'Neraca '!C18,'Neraca Saldo'!$G$8:$G$55)</f>
        <v>65170235.207070827</v>
      </c>
      <c r="F18" s="62"/>
      <c r="G18" s="76"/>
      <c r="H18" s="77" t="s">
        <v>608</v>
      </c>
      <c r="I18" s="77"/>
      <c r="J18" s="78">
        <f>SUMIF('Neraca Saldo'!$A$8:$A$55,'Neraca '!H18,'Neraca Saldo'!$G$8:$G$55)</f>
        <v>-23597627.367933974</v>
      </c>
    </row>
    <row r="19" spans="2:10" x14ac:dyDescent="0.2">
      <c r="B19" s="76"/>
      <c r="C19" s="77" t="s">
        <v>115</v>
      </c>
      <c r="E19" s="78">
        <f>SUMIF('Neraca Saldo'!$A$8:$A$55,'Neraca '!C19,'Neraca Saldo'!$G$8:$G$55)</f>
        <v>0</v>
      </c>
      <c r="F19" s="62"/>
      <c r="G19" s="76"/>
      <c r="H19" s="77"/>
      <c r="I19" s="77"/>
      <c r="J19" s="78"/>
    </row>
    <row r="20" spans="2:10" x14ac:dyDescent="0.2">
      <c r="B20" s="76"/>
      <c r="C20" s="77" t="s">
        <v>106</v>
      </c>
      <c r="E20" s="78">
        <f>SUMIF('Neraca Saldo'!$A$8:$A$55,'Neraca '!C20,'Neraca Saldo'!$G$8:$G$55)</f>
        <v>19567477</v>
      </c>
      <c r="F20" s="62"/>
      <c r="G20" s="76"/>
      <c r="H20" s="77"/>
      <c r="I20" s="77"/>
      <c r="J20" s="78"/>
    </row>
    <row r="21" spans="2:10" x14ac:dyDescent="0.2">
      <c r="B21" s="76"/>
      <c r="C21" s="77"/>
      <c r="E21" s="78"/>
      <c r="F21" s="62"/>
      <c r="G21" s="76"/>
      <c r="H21" s="77"/>
      <c r="I21" s="77"/>
      <c r="J21" s="78"/>
    </row>
    <row r="22" spans="2:10" ht="18" customHeight="1" x14ac:dyDescent="0.2">
      <c r="B22" s="76"/>
      <c r="C22" s="83" t="s">
        <v>24</v>
      </c>
      <c r="D22" s="84"/>
      <c r="E22" s="85">
        <f>SUM(E13:E21)</f>
        <v>3515833869.9195085</v>
      </c>
      <c r="F22" s="62"/>
      <c r="G22" s="76"/>
      <c r="H22" s="83" t="s">
        <v>0</v>
      </c>
      <c r="I22" s="84"/>
      <c r="J22" s="85">
        <f>SUM(J13:J21)</f>
        <v>-3317605190.3679338</v>
      </c>
    </row>
    <row r="23" spans="2:10" ht="15.75" customHeight="1" x14ac:dyDescent="0.2">
      <c r="B23" s="76"/>
      <c r="C23" s="77"/>
      <c r="E23" s="86"/>
      <c r="F23" s="62"/>
      <c r="G23" s="76"/>
      <c r="H23" s="77"/>
      <c r="I23" s="87"/>
      <c r="J23" s="88"/>
    </row>
    <row r="24" spans="2:10" ht="15" x14ac:dyDescent="0.25">
      <c r="B24" s="68" t="s">
        <v>25</v>
      </c>
      <c r="C24" s="69"/>
      <c r="D24" s="69"/>
      <c r="E24" s="70"/>
      <c r="F24" s="62"/>
      <c r="G24" s="68" t="s">
        <v>26</v>
      </c>
      <c r="H24" s="69"/>
      <c r="I24" s="69"/>
      <c r="J24" s="70"/>
    </row>
    <row r="25" spans="2:10" ht="3" customHeight="1" x14ac:dyDescent="0.2">
      <c r="B25" s="76"/>
      <c r="C25" s="73"/>
      <c r="D25" s="73"/>
      <c r="E25" s="74"/>
      <c r="F25" s="62"/>
      <c r="G25" s="76"/>
      <c r="H25" s="69"/>
      <c r="I25" s="69"/>
      <c r="J25" s="70"/>
    </row>
    <row r="26" spans="2:10" x14ac:dyDescent="0.2">
      <c r="B26" s="76"/>
      <c r="C26" s="77" t="s">
        <v>27</v>
      </c>
      <c r="E26" s="78">
        <f>SUMIF('Neraca Saldo'!$A$8:$A$55,'Neraca '!C26,'Neraca Saldo'!$G$8:$G$55)</f>
        <v>0</v>
      </c>
      <c r="F26" s="62"/>
      <c r="G26" s="76"/>
      <c r="H26" s="77" t="s">
        <v>33</v>
      </c>
      <c r="J26" s="78">
        <f>SUMIF('Neraca Saldo'!$A$8:$A$55,'Neraca '!H26,'Neraca Saldo'!$G$8:$G$55)</f>
        <v>0</v>
      </c>
    </row>
    <row r="27" spans="2:10" x14ac:dyDescent="0.2">
      <c r="B27" s="76"/>
      <c r="C27" s="77" t="s">
        <v>28</v>
      </c>
      <c r="D27" s="77"/>
      <c r="E27" s="78">
        <f>SUMIF('Neraca Saldo'!$A$8:$A$55,'Neraca '!C27,'Neraca Saldo'!$G$8:$G$55)</f>
        <v>0</v>
      </c>
      <c r="F27" s="62"/>
      <c r="G27" s="76"/>
      <c r="H27" s="77" t="s">
        <v>542</v>
      </c>
      <c r="J27" s="78">
        <f>SUMIF('Neraca Saldo'!$A$8:$A$55,'Neraca '!H27,'Neraca Saldo'!$G$8:$G$55)</f>
        <v>-118793332.69712102</v>
      </c>
    </row>
    <row r="28" spans="2:10" ht="18" customHeight="1" x14ac:dyDescent="0.2">
      <c r="B28" s="76"/>
      <c r="C28" s="83" t="s">
        <v>24</v>
      </c>
      <c r="D28" s="84"/>
      <c r="E28" s="85">
        <f>SUM(E26:E27)</f>
        <v>0</v>
      </c>
      <c r="F28" s="62"/>
      <c r="G28" s="76"/>
      <c r="H28" s="89" t="s">
        <v>34</v>
      </c>
      <c r="I28" s="90"/>
      <c r="J28" s="78">
        <f>SUMIF('Neraca Saldo'!$A$8:$A$55,'Neraca '!H28,'Neraca Saldo'!$G$8:$G$55)</f>
        <v>111499000</v>
      </c>
    </row>
    <row r="29" spans="2:10" x14ac:dyDescent="0.2">
      <c r="B29" s="76"/>
      <c r="C29" s="77"/>
      <c r="E29" s="86"/>
      <c r="F29" s="62"/>
      <c r="G29" s="76"/>
      <c r="H29" s="91" t="s">
        <v>35</v>
      </c>
      <c r="I29" s="92"/>
      <c r="J29" s="93">
        <f>+'Neraca Saldo'!G33</f>
        <v>-190934347.10301042</v>
      </c>
    </row>
    <row r="30" spans="2:10" ht="15" x14ac:dyDescent="0.25">
      <c r="B30" s="68" t="s">
        <v>29</v>
      </c>
      <c r="D30" s="87"/>
      <c r="E30" s="88"/>
      <c r="F30" s="62"/>
      <c r="G30" s="76"/>
      <c r="H30" s="83" t="s">
        <v>24</v>
      </c>
      <c r="I30" s="84"/>
      <c r="J30" s="85">
        <f>+J26+J27+J28+J29</f>
        <v>-198228679.80013144</v>
      </c>
    </row>
    <row r="31" spans="2:10" ht="3" customHeight="1" x14ac:dyDescent="0.2">
      <c r="B31" s="76"/>
      <c r="D31" s="73"/>
      <c r="E31" s="74"/>
      <c r="F31" s="62"/>
      <c r="G31" s="76"/>
      <c r="H31" s="77"/>
      <c r="J31" s="86"/>
    </row>
    <row r="32" spans="2:10" x14ac:dyDescent="0.2">
      <c r="B32" s="76"/>
      <c r="C32" s="77" t="s">
        <v>30</v>
      </c>
      <c r="D32" s="84"/>
      <c r="E32" s="78">
        <f>SUMIF('Neraca Saldo'!$A$8:$A$55,'Neraca '!C32,'Neraca Saldo'!$G$8:$G$55)</f>
        <v>0</v>
      </c>
      <c r="F32" s="62"/>
      <c r="G32" s="76"/>
      <c r="H32" s="77"/>
      <c r="J32" s="86"/>
    </row>
    <row r="33" spans="2:12" x14ac:dyDescent="0.2">
      <c r="B33" s="94"/>
      <c r="C33" s="61"/>
      <c r="D33" s="95"/>
      <c r="E33" s="96"/>
      <c r="F33" s="97"/>
      <c r="G33" s="94"/>
      <c r="H33" s="61"/>
      <c r="I33" s="61"/>
      <c r="J33" s="98"/>
      <c r="L33" s="81">
        <f>E35-L35</f>
        <v>2976790616.9195089</v>
      </c>
    </row>
    <row r="34" spans="2:12" ht="9" customHeight="1" x14ac:dyDescent="0.2">
      <c r="B34" s="63"/>
      <c r="E34" s="86"/>
      <c r="F34" s="62"/>
      <c r="G34" s="76"/>
      <c r="J34" s="86"/>
    </row>
    <row r="35" spans="2:12" x14ac:dyDescent="0.2">
      <c r="B35" s="362" t="s">
        <v>31</v>
      </c>
      <c r="C35" s="361"/>
      <c r="D35" s="84"/>
      <c r="E35" s="85">
        <f>+E22+E28+E32</f>
        <v>3515833869.9195085</v>
      </c>
      <c r="F35" s="62"/>
      <c r="G35" s="362" t="s">
        <v>31</v>
      </c>
      <c r="H35" s="361"/>
      <c r="I35" s="84"/>
      <c r="J35" s="85">
        <f>+J22+J30</f>
        <v>-3515833870.1680651</v>
      </c>
      <c r="L35" s="80">
        <v>539043252.99999976</v>
      </c>
    </row>
    <row r="36" spans="2:12" ht="9" customHeight="1" x14ac:dyDescent="0.2">
      <c r="B36" s="99"/>
      <c r="C36" s="61"/>
      <c r="D36" s="61"/>
      <c r="E36" s="98"/>
      <c r="F36" s="97"/>
      <c r="G36" s="99"/>
      <c r="H36" s="61"/>
      <c r="I36" s="61"/>
      <c r="J36" s="98"/>
    </row>
    <row r="37" spans="2:12" x14ac:dyDescent="0.2">
      <c r="L37" s="100">
        <f>J35+E35</f>
        <v>-0.24855661392211914</v>
      </c>
    </row>
    <row r="38" spans="2:12" x14ac:dyDescent="0.2">
      <c r="C38" s="57" t="s">
        <v>708</v>
      </c>
    </row>
    <row r="39" spans="2:12" x14ac:dyDescent="0.2">
      <c r="C39" s="57" t="s">
        <v>68</v>
      </c>
      <c r="H39" s="57" t="s">
        <v>69</v>
      </c>
    </row>
    <row r="43" spans="2:12" ht="15" x14ac:dyDescent="0.25">
      <c r="C43" s="71" t="s">
        <v>110</v>
      </c>
      <c r="H43" s="71" t="s">
        <v>626</v>
      </c>
    </row>
    <row r="45" spans="2:12" ht="15" x14ac:dyDescent="0.25">
      <c r="C45" s="356" t="str">
        <f>+B2</f>
        <v>KOPERASI KARYAWAN</v>
      </c>
      <c r="D45" s="356"/>
      <c r="E45" s="356"/>
      <c r="J45" s="100"/>
      <c r="L45" s="100"/>
    </row>
    <row r="46" spans="2:12" ht="15" x14ac:dyDescent="0.25">
      <c r="C46" s="356" t="str">
        <f>+B3</f>
        <v>AEROSPACE</v>
      </c>
      <c r="D46" s="356"/>
      <c r="E46" s="356"/>
      <c r="J46" s="101"/>
      <c r="L46" s="100"/>
    </row>
    <row r="47" spans="2:12" ht="15" x14ac:dyDescent="0.25">
      <c r="C47" s="356" t="s">
        <v>43</v>
      </c>
      <c r="D47" s="356"/>
      <c r="E47" s="356"/>
      <c r="J47" s="101"/>
      <c r="L47" s="100"/>
    </row>
    <row r="48" spans="2:12" ht="15" x14ac:dyDescent="0.25">
      <c r="C48" s="357" t="str">
        <f>+B5</f>
        <v xml:space="preserve">     per   31  Desember  2025</v>
      </c>
      <c r="D48" s="357"/>
      <c r="E48" s="357"/>
      <c r="J48" s="101"/>
      <c r="L48" s="100"/>
    </row>
    <row r="49" spans="3:12" ht="15" thickBot="1" x14ac:dyDescent="0.25">
      <c r="J49" s="101"/>
      <c r="L49" s="100"/>
    </row>
    <row r="50" spans="3:12" ht="12.75" customHeight="1" x14ac:dyDescent="0.2">
      <c r="C50" s="344" t="s">
        <v>43</v>
      </c>
      <c r="D50" s="345"/>
      <c r="E50" s="346"/>
      <c r="I50" s="101"/>
      <c r="K50" s="100"/>
    </row>
    <row r="51" spans="3:12" ht="12.75" customHeight="1" x14ac:dyDescent="0.2">
      <c r="C51" s="347"/>
      <c r="D51" s="348"/>
      <c r="E51" s="349"/>
      <c r="I51" s="101"/>
      <c r="K51" s="100"/>
    </row>
    <row r="52" spans="3:12" ht="12.75" customHeight="1" x14ac:dyDescent="0.2">
      <c r="C52" s="350"/>
      <c r="D52" s="351"/>
      <c r="E52" s="352"/>
      <c r="I52" s="101"/>
      <c r="K52" s="100"/>
    </row>
    <row r="53" spans="3:12" x14ac:dyDescent="0.2">
      <c r="C53" s="102"/>
      <c r="E53" s="103"/>
      <c r="I53" s="101"/>
      <c r="K53" s="100"/>
    </row>
    <row r="54" spans="3:12" ht="15" x14ac:dyDescent="0.25">
      <c r="C54" s="104" t="s">
        <v>45</v>
      </c>
      <c r="D54" s="69"/>
      <c r="E54" s="105"/>
      <c r="I54" s="101"/>
      <c r="K54" s="100"/>
    </row>
    <row r="55" spans="3:12" x14ac:dyDescent="0.2">
      <c r="C55" s="102"/>
      <c r="E55" s="106"/>
      <c r="I55" s="101"/>
      <c r="K55" s="100"/>
    </row>
    <row r="56" spans="3:12" x14ac:dyDescent="0.2">
      <c r="C56" s="107" t="s">
        <v>82</v>
      </c>
      <c r="D56" s="77"/>
      <c r="E56" s="108">
        <f>SUMIF('Neraca Saldo'!$A$8:$A$55,'Neraca '!C56,'Neraca Saldo'!$G$8:$G$55)</f>
        <v>1227746947</v>
      </c>
      <c r="H56" s="100"/>
      <c r="I56" s="101"/>
      <c r="K56" s="100"/>
    </row>
    <row r="57" spans="3:12" x14ac:dyDescent="0.2">
      <c r="C57" s="109" t="s">
        <v>108</v>
      </c>
      <c r="D57" s="77"/>
      <c r="E57" s="110">
        <f>SUMIF('Neraca Saldo'!$A$8:$A$55,'Neraca '!C57,'Neraca Saldo'!$G$8:$G$55)</f>
        <v>1074229714.7269547</v>
      </c>
      <c r="I57" s="101"/>
      <c r="K57" s="100"/>
    </row>
    <row r="58" spans="3:12" ht="15" x14ac:dyDescent="0.25">
      <c r="C58" s="111" t="s">
        <v>109</v>
      </c>
      <c r="D58" s="77"/>
      <c r="E58" s="112">
        <f>E56-E57</f>
        <v>153517232.2730453</v>
      </c>
      <c r="G58" s="100"/>
      <c r="H58" s="134"/>
      <c r="I58" s="101"/>
      <c r="K58" s="100"/>
    </row>
    <row r="59" spans="3:12" x14ac:dyDescent="0.2">
      <c r="C59" s="107"/>
      <c r="D59" s="77"/>
      <c r="E59" s="108"/>
      <c r="I59" s="101"/>
      <c r="K59" s="100"/>
    </row>
    <row r="60" spans="3:12" x14ac:dyDescent="0.2">
      <c r="C60" s="107" t="s">
        <v>83</v>
      </c>
      <c r="D60" s="77"/>
      <c r="E60" s="108">
        <f>SUMIF('Neraca Saldo'!$A$8:$A$55,'Neraca '!C60,'Neraca Saldo'!$G$8:$G$55)</f>
        <v>213716844</v>
      </c>
      <c r="H60" s="100"/>
      <c r="I60" s="101"/>
      <c r="K60" s="100"/>
    </row>
    <row r="61" spans="3:12" x14ac:dyDescent="0.2">
      <c r="C61" s="107" t="s">
        <v>511</v>
      </c>
      <c r="D61" s="77"/>
      <c r="E61" s="108">
        <f>SUMIF('Neraca Saldo'!$A$8:$A$55,'Neraca '!C61,'Neraca Saldo'!$G$8:$G$55)</f>
        <v>148603306</v>
      </c>
      <c r="H61" s="134"/>
      <c r="I61" s="80"/>
      <c r="K61" s="100"/>
    </row>
    <row r="62" spans="3:12" x14ac:dyDescent="0.2">
      <c r="C62" s="113"/>
      <c r="D62" s="77"/>
      <c r="E62" s="103"/>
      <c r="I62" s="101"/>
      <c r="K62" s="100"/>
    </row>
    <row r="63" spans="3:12" ht="15" x14ac:dyDescent="0.25">
      <c r="C63" s="114" t="s">
        <v>44</v>
      </c>
      <c r="D63" s="73"/>
      <c r="E63" s="127">
        <f>E58+E60+E61</f>
        <v>515837382.2730453</v>
      </c>
      <c r="H63" s="100"/>
      <c r="I63" s="101"/>
      <c r="K63" s="100"/>
    </row>
    <row r="64" spans="3:12" x14ac:dyDescent="0.2">
      <c r="C64" s="113"/>
      <c r="D64" s="83"/>
      <c r="E64" s="115"/>
      <c r="I64" s="101"/>
      <c r="K64" s="100"/>
    </row>
    <row r="65" spans="3:11" ht="15" x14ac:dyDescent="0.25">
      <c r="C65" s="104" t="s">
        <v>46</v>
      </c>
      <c r="D65" s="77"/>
      <c r="E65" s="103"/>
      <c r="I65" s="101"/>
      <c r="K65" s="100"/>
    </row>
    <row r="66" spans="3:11" ht="15" x14ac:dyDescent="0.25">
      <c r="C66" s="104"/>
      <c r="D66" s="77"/>
      <c r="E66" s="103"/>
      <c r="I66" s="101"/>
      <c r="K66" s="100"/>
    </row>
    <row r="67" spans="3:11" x14ac:dyDescent="0.2">
      <c r="C67" s="102" t="s">
        <v>85</v>
      </c>
      <c r="D67" s="77"/>
      <c r="E67" s="108">
        <f>SUMIF('Neraca Saldo'!$A$8:$A$55,'Neraca '!C67,'Neraca Saldo'!$G$8:$G$55)</f>
        <v>5529757</v>
      </c>
      <c r="I67" s="101"/>
      <c r="K67" s="100"/>
    </row>
    <row r="68" spans="3:11" x14ac:dyDescent="0.2">
      <c r="C68" s="102" t="s">
        <v>55</v>
      </c>
      <c r="D68" s="77"/>
      <c r="E68" s="108">
        <f>SUMIF('Neraca Saldo'!$A$8:$A$55,'Neraca '!C68,'Neraca Saldo'!$G$8:$G$55)</f>
        <v>105032332</v>
      </c>
      <c r="G68" s="100"/>
      <c r="H68" s="100"/>
      <c r="I68" s="101"/>
      <c r="J68" s="133"/>
      <c r="K68" s="100"/>
    </row>
    <row r="69" spans="3:11" x14ac:dyDescent="0.2">
      <c r="C69" s="102" t="s">
        <v>47</v>
      </c>
      <c r="D69" s="77"/>
      <c r="E69" s="108">
        <f>SUMIF('Neraca Saldo'!$A$8:$A$55,'Neraca '!C69,'Neraca Saldo'!$G$8:$G$55)</f>
        <v>76113</v>
      </c>
      <c r="I69" s="101"/>
      <c r="K69" s="100"/>
    </row>
    <row r="70" spans="3:11" x14ac:dyDescent="0.2">
      <c r="C70" s="102" t="s">
        <v>86</v>
      </c>
      <c r="D70" s="77"/>
      <c r="E70" s="108">
        <f>SUMIF('Neraca Saldo'!$A$8:$A$55,'Neraca '!C70,'Neraca Saldo'!$G$8:$G$55)</f>
        <v>126860000</v>
      </c>
      <c r="I70" s="101"/>
      <c r="K70" s="100"/>
    </row>
    <row r="71" spans="3:11" x14ac:dyDescent="0.2">
      <c r="C71" s="102" t="s">
        <v>87</v>
      </c>
      <c r="D71" s="77"/>
      <c r="E71" s="108">
        <f>SUMIF('Neraca Saldo'!$A$8:$A$55,'Neraca '!C71,'Neraca Saldo'!$G$8:$G$55)</f>
        <v>3142573</v>
      </c>
      <c r="I71" s="101"/>
      <c r="K71" s="100"/>
    </row>
    <row r="72" spans="3:11" x14ac:dyDescent="0.2">
      <c r="C72" s="102" t="s">
        <v>88</v>
      </c>
      <c r="D72" s="77"/>
      <c r="E72" s="108">
        <f>SUMIF('Neraca Saldo'!$A$8:$A$55,'Neraca '!C72,'Neraca Saldo'!$G$8:$G$55)</f>
        <v>6090000</v>
      </c>
      <c r="I72" s="101"/>
      <c r="K72" s="100"/>
    </row>
    <row r="73" spans="3:11" x14ac:dyDescent="0.2">
      <c r="C73" s="102" t="s">
        <v>89</v>
      </c>
      <c r="D73" s="77"/>
      <c r="E73" s="108">
        <f>SUMIF('Neraca Saldo'!$A$8:$A$55,'Neraca '!C73,'Neraca Saldo'!$G$8:$G$55)</f>
        <v>6387409</v>
      </c>
      <c r="I73" s="101"/>
      <c r="K73" s="100"/>
    </row>
    <row r="74" spans="3:11" x14ac:dyDescent="0.2">
      <c r="C74" s="102" t="s">
        <v>90</v>
      </c>
      <c r="D74" s="77"/>
      <c r="E74" s="108">
        <f>SUMIF('Neraca Saldo'!$A$8:$A$55,'Neraca '!C74,'Neraca Saldo'!$G$8:$G$55)</f>
        <v>0</v>
      </c>
      <c r="H74" s="100"/>
      <c r="I74" s="128"/>
      <c r="K74" s="100"/>
    </row>
    <row r="75" spans="3:11" x14ac:dyDescent="0.2">
      <c r="C75" s="102" t="s">
        <v>91</v>
      </c>
      <c r="D75" s="77"/>
      <c r="E75" s="108">
        <f>SUMIF('Neraca Saldo'!$A$8:$A$55,'Neraca '!C75,'Neraca Saldo'!$G$8:$G$55)</f>
        <v>11068290</v>
      </c>
      <c r="I75" s="101"/>
      <c r="K75" s="100"/>
    </row>
    <row r="76" spans="3:11" x14ac:dyDescent="0.2">
      <c r="C76" s="102" t="s">
        <v>92</v>
      </c>
      <c r="D76" s="77"/>
      <c r="E76" s="108">
        <f>SUMIF('Neraca Saldo'!$A$8:$A$55,'Neraca '!C76,'Neraca Saldo'!$G$8:$G$55)</f>
        <v>189682</v>
      </c>
      <c r="I76" s="101"/>
      <c r="K76" s="100"/>
    </row>
    <row r="77" spans="3:11" x14ac:dyDescent="0.2">
      <c r="C77" s="102" t="s">
        <v>875</v>
      </c>
      <c r="D77" s="77"/>
      <c r="E77" s="108">
        <f>SUMIF('Neraca Saldo'!$A$8:$A$55,'Neraca '!C77,'Neraca Saldo'!$G$8:$G$55)</f>
        <v>38672142</v>
      </c>
      <c r="I77" s="101"/>
      <c r="K77" s="100"/>
    </row>
    <row r="78" spans="3:11" ht="12.75" customHeight="1" x14ac:dyDescent="0.2">
      <c r="C78" s="113" t="s">
        <v>93</v>
      </c>
      <c r="D78" s="73"/>
      <c r="E78" s="116">
        <f>SUM(E67:E77)</f>
        <v>303048298</v>
      </c>
      <c r="I78" s="101"/>
      <c r="K78" s="100"/>
    </row>
    <row r="79" spans="3:11" ht="12.75" customHeight="1" x14ac:dyDescent="0.2">
      <c r="C79" s="113"/>
      <c r="D79" s="73"/>
      <c r="E79" s="116"/>
      <c r="H79" s="57" t="s">
        <v>1225</v>
      </c>
      <c r="I79" s="101" t="s">
        <v>1226</v>
      </c>
      <c r="K79" s="100"/>
    </row>
    <row r="80" spans="3:11" x14ac:dyDescent="0.2">
      <c r="C80" s="107" t="s">
        <v>42</v>
      </c>
      <c r="D80" s="77"/>
      <c r="E80" s="108">
        <f>SUMIF('Neraca Saldo'!$A$8:$A$55,'Neraca '!C80,'Neraca Saldo'!$G$8:$G$55)</f>
        <v>1743890</v>
      </c>
      <c r="H80" s="100">
        <f>E82*50%*22%</f>
        <v>23598627.170034982</v>
      </c>
      <c r="I80" s="100">
        <f>E56*0.5%</f>
        <v>6138734.7350000003</v>
      </c>
      <c r="J80" s="100">
        <f>E60*0.5%</f>
        <v>1068584.22</v>
      </c>
      <c r="K80" s="100"/>
    </row>
    <row r="81" spans="3:12" ht="12.75" customHeight="1" x14ac:dyDescent="0.2">
      <c r="C81" s="113"/>
      <c r="D81" s="73"/>
      <c r="E81" s="117"/>
      <c r="I81" s="101"/>
      <c r="J81" s="100">
        <f>E61*0.5%</f>
        <v>743016.53</v>
      </c>
      <c r="K81" s="100"/>
    </row>
    <row r="82" spans="3:12" ht="21" customHeight="1" x14ac:dyDescent="0.25">
      <c r="C82" s="114" t="s">
        <v>609</v>
      </c>
      <c r="D82" s="73"/>
      <c r="E82" s="112">
        <f>E63-E78+E80</f>
        <v>214532974.2730453</v>
      </c>
      <c r="H82" s="118"/>
      <c r="I82" s="101"/>
      <c r="K82" s="100"/>
    </row>
    <row r="83" spans="3:12" ht="21" customHeight="1" x14ac:dyDescent="0.25">
      <c r="C83" s="107" t="s">
        <v>610</v>
      </c>
      <c r="D83" s="73"/>
      <c r="E83" s="108">
        <f>SUMIF('Neraca Saldo'!$A$8:$A$55,'Neraca '!C83,'Neraca Saldo'!$G$8:$G$55)</f>
        <v>23598627.170034982</v>
      </c>
      <c r="H83" s="118"/>
      <c r="I83" s="101"/>
      <c r="K83" s="100"/>
    </row>
    <row r="84" spans="3:12" x14ac:dyDescent="0.2">
      <c r="C84" s="113"/>
      <c r="D84" s="83"/>
      <c r="E84" s="119">
        <f>E82-E83</f>
        <v>190934347.10301033</v>
      </c>
      <c r="H84" s="100"/>
      <c r="I84" s="101"/>
      <c r="K84" s="100"/>
    </row>
    <row r="85" spans="3:12" x14ac:dyDescent="0.2">
      <c r="C85" s="113"/>
      <c r="D85" s="77"/>
      <c r="E85" s="103"/>
      <c r="I85" s="101"/>
      <c r="K85" s="100"/>
    </row>
    <row r="86" spans="3:12" ht="15" x14ac:dyDescent="0.25">
      <c r="C86" s="104"/>
      <c r="E86" s="120"/>
      <c r="H86" s="100"/>
      <c r="I86" s="101"/>
      <c r="K86" s="100"/>
    </row>
    <row r="87" spans="3:12" x14ac:dyDescent="0.2">
      <c r="C87" s="113"/>
      <c r="E87" s="117"/>
      <c r="I87" s="101"/>
      <c r="K87" s="100"/>
    </row>
    <row r="88" spans="3:12" x14ac:dyDescent="0.2">
      <c r="C88" s="113"/>
      <c r="D88" s="77"/>
      <c r="E88" s="115"/>
      <c r="I88" s="101"/>
      <c r="K88" s="100"/>
    </row>
    <row r="89" spans="3:12" x14ac:dyDescent="0.2">
      <c r="C89" s="121"/>
      <c r="D89" s="61"/>
      <c r="E89" s="122"/>
      <c r="I89" s="101"/>
      <c r="K89" s="100"/>
    </row>
    <row r="90" spans="3:12" x14ac:dyDescent="0.2">
      <c r="C90" s="102"/>
      <c r="E90" s="103"/>
      <c r="I90" s="101"/>
      <c r="K90" s="100"/>
    </row>
    <row r="91" spans="3:12" x14ac:dyDescent="0.2">
      <c r="C91" s="360"/>
      <c r="D91" s="361"/>
      <c r="E91" s="115"/>
      <c r="I91" s="101"/>
      <c r="K91" s="100"/>
    </row>
    <row r="92" spans="3:12" ht="15" thickBot="1" x14ac:dyDescent="0.25">
      <c r="C92" s="123"/>
      <c r="D92" s="124"/>
      <c r="E92" s="125"/>
      <c r="I92" s="101"/>
      <c r="K92" s="100"/>
    </row>
    <row r="93" spans="3:12" x14ac:dyDescent="0.2">
      <c r="J93" s="101"/>
      <c r="L93" s="100"/>
    </row>
    <row r="94" spans="3:12" x14ac:dyDescent="0.2">
      <c r="J94" s="101"/>
      <c r="L94" s="100"/>
    </row>
    <row r="95" spans="3:12" x14ac:dyDescent="0.2">
      <c r="J95" s="126"/>
    </row>
  </sheetData>
  <mergeCells count="16">
    <mergeCell ref="B2:J2"/>
    <mergeCell ref="B4:J4"/>
    <mergeCell ref="B5:J5"/>
    <mergeCell ref="B3:J3"/>
    <mergeCell ref="C91:D91"/>
    <mergeCell ref="B35:C35"/>
    <mergeCell ref="G35:H35"/>
    <mergeCell ref="B7:D9"/>
    <mergeCell ref="E7:E9"/>
    <mergeCell ref="G7:I9"/>
    <mergeCell ref="C50:E52"/>
    <mergeCell ref="J7:J9"/>
    <mergeCell ref="C45:E45"/>
    <mergeCell ref="C46:E46"/>
    <mergeCell ref="C47:E47"/>
    <mergeCell ref="C48:E48"/>
  </mergeCells>
  <phoneticPr fontId="8" type="noConversion"/>
  <printOptions horizontalCentered="1"/>
  <pageMargins left="0.25" right="0.25" top="0.25" bottom="1" header="0" footer="0"/>
  <pageSetup paperSize="5" scale="80" orientation="landscape" horizontalDpi="360" verticalDpi="36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7C17F-2D27-4291-803D-C99C84154270}">
  <dimension ref="A5:I443"/>
  <sheetViews>
    <sheetView workbookViewId="0">
      <selection activeCell="C21" sqref="C21"/>
    </sheetView>
  </sheetViews>
  <sheetFormatPr defaultRowHeight="12.75" x14ac:dyDescent="0.2"/>
  <cols>
    <col min="1" max="1" width="13" bestFit="1" customWidth="1"/>
    <col min="2" max="2" width="13.42578125" bestFit="1" customWidth="1"/>
    <col min="3" max="3" width="12.42578125" bestFit="1" customWidth="1"/>
    <col min="4" max="4" width="14" bestFit="1" customWidth="1"/>
    <col min="5" max="5" width="12.85546875" bestFit="1" customWidth="1"/>
    <col min="6" max="6" width="11.5703125" customWidth="1"/>
    <col min="7" max="7" width="13.28515625" customWidth="1"/>
    <col min="8" max="8" width="12.85546875" bestFit="1" customWidth="1"/>
    <col min="9" max="9" width="12.42578125" bestFit="1" customWidth="1"/>
  </cols>
  <sheetData>
    <row r="5" spans="1:8" x14ac:dyDescent="0.2">
      <c r="C5" s="200">
        <v>212</v>
      </c>
      <c r="D5" s="200"/>
    </row>
    <row r="6" spans="1:8" x14ac:dyDescent="0.2">
      <c r="A6" s="7" t="s">
        <v>59</v>
      </c>
      <c r="C6" s="200">
        <v>112</v>
      </c>
      <c r="D6" s="200"/>
    </row>
    <row r="7" spans="1:8" x14ac:dyDescent="0.2">
      <c r="A7" s="7" t="s">
        <v>76</v>
      </c>
    </row>
    <row r="8" spans="1:8" x14ac:dyDescent="0.2">
      <c r="A8" s="13" t="s">
        <v>70</v>
      </c>
    </row>
    <row r="9" spans="1:8" x14ac:dyDescent="0.2">
      <c r="A9" s="13" t="s">
        <v>709</v>
      </c>
    </row>
    <row r="11" spans="1:8" hidden="1" x14ac:dyDescent="0.2">
      <c r="A11" s="7" t="s">
        <v>62</v>
      </c>
    </row>
    <row r="12" spans="1:8" hidden="1" x14ac:dyDescent="0.2">
      <c r="A12" s="4" t="s">
        <v>67</v>
      </c>
      <c r="B12" s="4" t="s">
        <v>63</v>
      </c>
      <c r="C12" s="4" t="s">
        <v>64</v>
      </c>
      <c r="D12" s="4" t="s">
        <v>65</v>
      </c>
      <c r="E12" s="5" t="s">
        <v>60</v>
      </c>
      <c r="F12" s="4" t="s">
        <v>66</v>
      </c>
      <c r="G12" s="4"/>
      <c r="H12" s="4" t="s">
        <v>0</v>
      </c>
    </row>
    <row r="13" spans="1:8" hidden="1" x14ac:dyDescent="0.2">
      <c r="A13" s="15">
        <f>+'Neraca '!E82</f>
        <v>214532974.2730453</v>
      </c>
      <c r="B13" s="16">
        <v>0.25</v>
      </c>
      <c r="C13" s="16">
        <v>0.25</v>
      </c>
      <c r="D13" s="16">
        <v>0.25</v>
      </c>
      <c r="E13" s="210">
        <v>0.22500000000000001</v>
      </c>
      <c r="F13" s="17">
        <v>2.5000000000000001E-2</v>
      </c>
      <c r="G13" s="17"/>
      <c r="H13" s="16">
        <f>SUM(B13:F13)</f>
        <v>1</v>
      </c>
    </row>
    <row r="14" spans="1:8" hidden="1" x14ac:dyDescent="0.2">
      <c r="A14" s="14" t="s">
        <v>0</v>
      </c>
      <c r="B14" s="15">
        <f>+B13*A13</f>
        <v>53633243.568261325</v>
      </c>
      <c r="C14" s="15">
        <f>+C13*A13</f>
        <v>53633243.568261325</v>
      </c>
      <c r="D14" s="15">
        <f>+D13*A13</f>
        <v>53633243.568261325</v>
      </c>
      <c r="E14" s="211">
        <f>+E13*A13</f>
        <v>48269919.211435191</v>
      </c>
      <c r="F14" s="15">
        <f>+F13*A13</f>
        <v>5363324.3568261331</v>
      </c>
      <c r="G14" s="15"/>
      <c r="H14" s="15">
        <f>SUM(B14:F14)</f>
        <v>214532974.2730453</v>
      </c>
    </row>
    <row r="15" spans="1:8" hidden="1" x14ac:dyDescent="0.2"/>
    <row r="16" spans="1:8" x14ac:dyDescent="0.2">
      <c r="A16" s="5">
        <v>2023</v>
      </c>
      <c r="B16" s="1"/>
      <c r="C16" s="1"/>
      <c r="D16" s="1"/>
      <c r="E16" s="1"/>
      <c r="F16" s="1"/>
      <c r="G16" s="1"/>
      <c r="H16" s="1"/>
    </row>
    <row r="17" spans="1:9" ht="32.450000000000003" customHeight="1" x14ac:dyDescent="0.2">
      <c r="A17" s="135" t="s">
        <v>67</v>
      </c>
      <c r="B17" s="135" t="s">
        <v>63</v>
      </c>
      <c r="C17" s="135" t="s">
        <v>64</v>
      </c>
      <c r="D17" s="135" t="s">
        <v>65</v>
      </c>
      <c r="E17" s="212" t="s">
        <v>60</v>
      </c>
      <c r="F17" s="135" t="s">
        <v>113</v>
      </c>
      <c r="G17" s="135" t="s">
        <v>114</v>
      </c>
      <c r="H17" s="135" t="s">
        <v>0</v>
      </c>
    </row>
    <row r="18" spans="1:9" x14ac:dyDescent="0.2">
      <c r="A18" s="6">
        <f>'Neraca '!E84</f>
        <v>190934347.10301033</v>
      </c>
      <c r="B18" s="18">
        <v>0.2</v>
      </c>
      <c r="C18" s="18">
        <v>0.2</v>
      </c>
      <c r="D18" s="18">
        <v>0.3</v>
      </c>
      <c r="E18" s="213">
        <v>0.15</v>
      </c>
      <c r="F18" s="18">
        <v>0.1</v>
      </c>
      <c r="G18" s="18">
        <v>0.05</v>
      </c>
      <c r="H18" s="18">
        <f>SUM(B18:G18)</f>
        <v>1</v>
      </c>
    </row>
    <row r="19" spans="1:9" x14ac:dyDescent="0.2">
      <c r="A19" s="6" t="s">
        <v>0</v>
      </c>
      <c r="B19" s="6">
        <f t="shared" ref="B19:G19" si="0">$A$18*B18</f>
        <v>38186869.420602068</v>
      </c>
      <c r="C19" s="27">
        <f t="shared" si="0"/>
        <v>38186869.420602068</v>
      </c>
      <c r="D19" s="27">
        <f t="shared" si="0"/>
        <v>57280304.130903095</v>
      </c>
      <c r="E19" s="211">
        <f t="shared" si="0"/>
        <v>28640152.065451548</v>
      </c>
      <c r="F19" s="6">
        <f t="shared" si="0"/>
        <v>19093434.710301034</v>
      </c>
      <c r="G19" s="6">
        <f t="shared" si="0"/>
        <v>9546717.3551505171</v>
      </c>
      <c r="H19" s="28">
        <f>SUM(B19:G19)</f>
        <v>190934347.10301036</v>
      </c>
      <c r="I19" s="29"/>
    </row>
    <row r="20" spans="1:9" x14ac:dyDescent="0.2">
      <c r="C20" s="2">
        <v>584000</v>
      </c>
    </row>
    <row r="21" spans="1:9" x14ac:dyDescent="0.2">
      <c r="B21" s="6"/>
      <c r="C21" s="2">
        <f>C19-C20</f>
        <v>37602869.420602068</v>
      </c>
    </row>
    <row r="22" spans="1:9" hidden="1" x14ac:dyDescent="0.2">
      <c r="A22" s="5" t="s">
        <v>62</v>
      </c>
      <c r="B22" s="1"/>
      <c r="C22" s="1"/>
      <c r="D22" s="1"/>
      <c r="E22" s="1"/>
      <c r="F22" s="1"/>
      <c r="G22" s="1"/>
      <c r="H22" s="1"/>
    </row>
    <row r="23" spans="1:9" hidden="1" x14ac:dyDescent="0.2">
      <c r="A23" s="4" t="s">
        <v>67</v>
      </c>
      <c r="B23" s="4" t="s">
        <v>63</v>
      </c>
      <c r="C23" s="4" t="s">
        <v>64</v>
      </c>
      <c r="D23" s="4" t="s">
        <v>65</v>
      </c>
      <c r="E23" s="5" t="s">
        <v>60</v>
      </c>
      <c r="F23" s="4" t="s">
        <v>66</v>
      </c>
      <c r="G23" s="4"/>
      <c r="H23" s="4" t="s">
        <v>0</v>
      </c>
    </row>
    <row r="24" spans="1:9" hidden="1" x14ac:dyDescent="0.2">
      <c r="A24" s="15">
        <v>1503457</v>
      </c>
      <c r="B24" s="18">
        <v>0.25</v>
      </c>
      <c r="C24" s="18">
        <v>0.25</v>
      </c>
      <c r="D24" s="18">
        <v>0.25</v>
      </c>
      <c r="E24" s="210">
        <v>0.22500000000000001</v>
      </c>
      <c r="F24" s="17">
        <v>2.5000000000000001E-2</v>
      </c>
      <c r="G24" s="17"/>
      <c r="H24" s="18">
        <v>1</v>
      </c>
    </row>
    <row r="25" spans="1:9" hidden="1" x14ac:dyDescent="0.2">
      <c r="A25" s="6" t="s">
        <v>0</v>
      </c>
      <c r="B25" s="15">
        <f>+B24*A24</f>
        <v>375864.25</v>
      </c>
      <c r="C25" s="15">
        <f>+C24*A24</f>
        <v>375864.25</v>
      </c>
      <c r="D25" s="15">
        <f>+D24*A24</f>
        <v>375864.25</v>
      </c>
      <c r="E25" s="211">
        <f>+E24*A24</f>
        <v>338277.82500000001</v>
      </c>
      <c r="F25" s="15">
        <f>+F24*A24</f>
        <v>37586.425000000003</v>
      </c>
      <c r="G25" s="15"/>
      <c r="H25" s="15">
        <f>SUM(B25:F25)</f>
        <v>1503457</v>
      </c>
    </row>
    <row r="26" spans="1:9" x14ac:dyDescent="0.2">
      <c r="C26" s="2"/>
    </row>
    <row r="27" spans="1:9" x14ac:dyDescent="0.2">
      <c r="A27" s="7" t="s">
        <v>509</v>
      </c>
    </row>
    <row r="28" spans="1:9" x14ac:dyDescent="0.2">
      <c r="A28" s="7">
        <v>2020</v>
      </c>
    </row>
    <row r="29" spans="1:9" x14ac:dyDescent="0.2">
      <c r="A29" s="4" t="s">
        <v>72</v>
      </c>
      <c r="B29" s="4" t="s">
        <v>124</v>
      </c>
      <c r="C29" s="4" t="s">
        <v>508</v>
      </c>
      <c r="D29" s="4" t="s">
        <v>117</v>
      </c>
    </row>
    <row r="30" spans="1:9" x14ac:dyDescent="0.2">
      <c r="A30" s="22" t="s">
        <v>73</v>
      </c>
      <c r="B30" s="15"/>
      <c r="C30" s="45">
        <f>100%/9</f>
        <v>0.1111111111111111</v>
      </c>
      <c r="D30" s="15">
        <f t="shared" ref="D30:D38" si="1">$E$19*C30</f>
        <v>3182239.1183835049</v>
      </c>
      <c r="E30" s="214"/>
    </row>
    <row r="31" spans="1:9" x14ac:dyDescent="0.2">
      <c r="A31" s="22" t="s">
        <v>74</v>
      </c>
      <c r="B31" s="15"/>
      <c r="C31" s="45">
        <f t="shared" ref="C31:C38" si="2">100%/9</f>
        <v>0.1111111111111111</v>
      </c>
      <c r="D31" s="15">
        <f t="shared" si="1"/>
        <v>3182239.1183835049</v>
      </c>
      <c r="E31" s="2"/>
    </row>
    <row r="32" spans="1:9" x14ac:dyDescent="0.2">
      <c r="A32" s="22" t="s">
        <v>75</v>
      </c>
      <c r="B32" s="15"/>
      <c r="C32" s="45">
        <f t="shared" si="2"/>
        <v>0.1111111111111111</v>
      </c>
      <c r="D32" s="15">
        <f t="shared" si="1"/>
        <v>3182239.1183835049</v>
      </c>
    </row>
    <row r="33" spans="1:4" x14ac:dyDescent="0.2">
      <c r="A33" s="22" t="s">
        <v>36</v>
      </c>
      <c r="B33" s="15"/>
      <c r="C33" s="45">
        <f t="shared" si="2"/>
        <v>0.1111111111111111</v>
      </c>
      <c r="D33" s="15">
        <f t="shared" si="1"/>
        <v>3182239.1183835049</v>
      </c>
    </row>
    <row r="34" spans="1:4" x14ac:dyDescent="0.2">
      <c r="A34" s="22" t="s">
        <v>521</v>
      </c>
      <c r="B34" s="15"/>
      <c r="C34" s="45">
        <f t="shared" si="2"/>
        <v>0.1111111111111111</v>
      </c>
      <c r="D34" s="15">
        <f t="shared" si="1"/>
        <v>3182239.1183835049</v>
      </c>
    </row>
    <row r="35" spans="1:4" x14ac:dyDescent="0.2">
      <c r="A35" s="22" t="s">
        <v>522</v>
      </c>
      <c r="B35" s="15"/>
      <c r="C35" s="45">
        <f t="shared" si="2"/>
        <v>0.1111111111111111</v>
      </c>
      <c r="D35" s="15">
        <f t="shared" si="1"/>
        <v>3182239.1183835049</v>
      </c>
    </row>
    <row r="36" spans="1:4" x14ac:dyDescent="0.2">
      <c r="A36" s="22" t="s">
        <v>523</v>
      </c>
      <c r="B36" s="15"/>
      <c r="C36" s="45">
        <f t="shared" si="2"/>
        <v>0.1111111111111111</v>
      </c>
      <c r="D36" s="15">
        <f t="shared" si="1"/>
        <v>3182239.1183835049</v>
      </c>
    </row>
    <row r="37" spans="1:4" x14ac:dyDescent="0.2">
      <c r="A37" s="22" t="s">
        <v>543</v>
      </c>
      <c r="B37" s="15"/>
      <c r="C37" s="45">
        <f t="shared" si="2"/>
        <v>0.1111111111111111</v>
      </c>
      <c r="D37" s="15">
        <f t="shared" si="1"/>
        <v>3182239.1183835049</v>
      </c>
    </row>
    <row r="38" spans="1:4" x14ac:dyDescent="0.2">
      <c r="A38" s="22" t="s">
        <v>627</v>
      </c>
      <c r="B38" s="15"/>
      <c r="C38" s="45">
        <f t="shared" si="2"/>
        <v>0.1111111111111111</v>
      </c>
      <c r="D38" s="15">
        <f t="shared" si="1"/>
        <v>3182239.1183835049</v>
      </c>
    </row>
    <row r="39" spans="1:4" x14ac:dyDescent="0.2">
      <c r="A39" s="14" t="s">
        <v>0</v>
      </c>
      <c r="B39" s="15">
        <f>SUM(B30:B38)</f>
        <v>0</v>
      </c>
      <c r="C39" s="46">
        <f>SUM(C30:C38)</f>
        <v>1.0000000000000002</v>
      </c>
      <c r="D39" s="15">
        <f>SUM(D30:D38)</f>
        <v>28640152.065451544</v>
      </c>
    </row>
    <row r="41" spans="1:4" x14ac:dyDescent="0.2">
      <c r="D41" s="2"/>
    </row>
    <row r="290" spans="2:9" x14ac:dyDescent="0.2">
      <c r="B290" s="200"/>
      <c r="C290" s="200"/>
      <c r="D290" s="200"/>
      <c r="E290" s="200"/>
      <c r="F290" s="200"/>
      <c r="G290" s="200"/>
      <c r="H290" s="188">
        <v>200000</v>
      </c>
      <c r="I290" s="200"/>
    </row>
    <row r="291" spans="2:9" x14ac:dyDescent="0.2">
      <c r="B291" s="200"/>
      <c r="C291" s="200"/>
      <c r="D291" s="200"/>
      <c r="E291" s="194" t="s">
        <v>962</v>
      </c>
      <c r="F291" s="200"/>
      <c r="G291" s="200"/>
      <c r="H291" s="200"/>
      <c r="I291" s="200"/>
    </row>
    <row r="292" spans="2:9" x14ac:dyDescent="0.2">
      <c r="B292" s="201">
        <v>45723</v>
      </c>
      <c r="C292" s="200">
        <v>515</v>
      </c>
      <c r="D292" s="200"/>
      <c r="E292" s="193" t="s">
        <v>963</v>
      </c>
      <c r="F292" s="200" t="s">
        <v>77</v>
      </c>
      <c r="G292" s="200"/>
      <c r="H292" s="186">
        <v>11600000</v>
      </c>
      <c r="I292" s="200"/>
    </row>
    <row r="293" spans="2:9" x14ac:dyDescent="0.2">
      <c r="B293" s="201">
        <v>45723</v>
      </c>
      <c r="C293" s="200">
        <v>111</v>
      </c>
      <c r="D293" s="200"/>
      <c r="E293" s="193" t="s">
        <v>963</v>
      </c>
      <c r="F293" s="200" t="s">
        <v>77</v>
      </c>
      <c r="G293" s="200"/>
      <c r="H293" s="200"/>
      <c r="I293" s="200"/>
    </row>
    <row r="294" spans="2:9" ht="51" x14ac:dyDescent="0.2">
      <c r="B294" s="207">
        <v>45723</v>
      </c>
      <c r="C294" s="208"/>
      <c r="D294" s="208"/>
      <c r="E294" s="192" t="s">
        <v>927</v>
      </c>
      <c r="F294" s="208" t="s">
        <v>77</v>
      </c>
      <c r="G294" s="208"/>
      <c r="H294" s="208">
        <v>1200000</v>
      </c>
      <c r="I294" s="208"/>
    </row>
    <row r="295" spans="2:9" ht="51" x14ac:dyDescent="0.2">
      <c r="B295" s="207">
        <v>45723</v>
      </c>
      <c r="C295" s="208"/>
      <c r="D295" s="208"/>
      <c r="E295" s="192" t="s">
        <v>927</v>
      </c>
      <c r="F295" s="208" t="s">
        <v>77</v>
      </c>
      <c r="G295" s="208"/>
      <c r="H295" s="208"/>
      <c r="I295" s="208"/>
    </row>
    <row r="296" spans="2:9" ht="38.25" x14ac:dyDescent="0.2">
      <c r="B296" s="207">
        <v>45723</v>
      </c>
      <c r="C296" s="208">
        <v>111</v>
      </c>
      <c r="D296" s="208"/>
      <c r="E296" s="192" t="s">
        <v>964</v>
      </c>
      <c r="F296" s="208" t="s">
        <v>77</v>
      </c>
      <c r="G296" s="208"/>
      <c r="H296" s="184">
        <v>1000000</v>
      </c>
      <c r="I296" s="208"/>
    </row>
    <row r="297" spans="2:9" ht="38.25" x14ac:dyDescent="0.2">
      <c r="B297" s="207">
        <v>45723</v>
      </c>
      <c r="C297" s="208">
        <v>212</v>
      </c>
      <c r="D297" s="208"/>
      <c r="E297" s="192" t="s">
        <v>964</v>
      </c>
      <c r="F297" s="208" t="s">
        <v>77</v>
      </c>
      <c r="G297" s="208"/>
      <c r="H297" s="208"/>
      <c r="I297" s="208"/>
    </row>
    <row r="298" spans="2:9" ht="51" x14ac:dyDescent="0.2">
      <c r="B298" s="207">
        <v>45723</v>
      </c>
      <c r="C298" s="208">
        <v>111</v>
      </c>
      <c r="D298" s="208"/>
      <c r="E298" s="192" t="s">
        <v>965</v>
      </c>
      <c r="F298" s="208" t="s">
        <v>77</v>
      </c>
      <c r="G298" s="208"/>
      <c r="H298" s="184">
        <v>1200000</v>
      </c>
      <c r="I298" s="208"/>
    </row>
    <row r="299" spans="2:9" ht="51" x14ac:dyDescent="0.2">
      <c r="B299" s="207">
        <v>45723</v>
      </c>
      <c r="C299" s="208">
        <v>212</v>
      </c>
      <c r="D299" s="208"/>
      <c r="E299" s="192" t="s">
        <v>965</v>
      </c>
      <c r="F299" s="208" t="s">
        <v>77</v>
      </c>
      <c r="G299" s="208"/>
      <c r="H299" s="208"/>
      <c r="I299" s="208"/>
    </row>
    <row r="300" spans="2:9" x14ac:dyDescent="0.2">
      <c r="B300" s="201">
        <v>45729</v>
      </c>
      <c r="C300" s="200">
        <v>212</v>
      </c>
      <c r="D300" s="200"/>
      <c r="E300" s="194" t="s">
        <v>966</v>
      </c>
      <c r="F300" s="200" t="s">
        <v>838</v>
      </c>
      <c r="G300" s="200"/>
      <c r="H300" s="188">
        <v>5000000</v>
      </c>
      <c r="I300" s="200"/>
    </row>
    <row r="301" spans="2:9" x14ac:dyDescent="0.2">
      <c r="B301" s="201">
        <v>45729</v>
      </c>
      <c r="C301" s="200">
        <v>112</v>
      </c>
      <c r="D301" s="200"/>
      <c r="E301" s="194" t="s">
        <v>966</v>
      </c>
      <c r="F301" s="200" t="s">
        <v>838</v>
      </c>
      <c r="G301" s="200"/>
      <c r="H301" s="200"/>
      <c r="I301" s="200"/>
    </row>
    <row r="302" spans="2:9" x14ac:dyDescent="0.2">
      <c r="B302" s="201">
        <v>45730</v>
      </c>
      <c r="C302" s="200">
        <v>513</v>
      </c>
      <c r="D302" s="200"/>
      <c r="E302" s="194" t="s">
        <v>967</v>
      </c>
      <c r="F302" s="200" t="s">
        <v>838</v>
      </c>
      <c r="G302" s="200"/>
      <c r="H302" s="188">
        <v>12000000</v>
      </c>
      <c r="I302" s="200"/>
    </row>
    <row r="303" spans="2:9" x14ac:dyDescent="0.2">
      <c r="B303" s="201">
        <v>45730</v>
      </c>
      <c r="C303" s="200">
        <v>112</v>
      </c>
      <c r="D303" s="200"/>
      <c r="E303" s="194" t="s">
        <v>967</v>
      </c>
      <c r="F303" s="200" t="s">
        <v>838</v>
      </c>
      <c r="G303" s="200"/>
      <c r="H303" s="200"/>
      <c r="I303" s="200"/>
    </row>
    <row r="304" spans="2:9" x14ac:dyDescent="0.2">
      <c r="B304" s="201">
        <v>45730</v>
      </c>
      <c r="C304" s="200"/>
      <c r="D304" s="200"/>
      <c r="E304" s="200"/>
      <c r="F304" s="200"/>
      <c r="G304" s="200"/>
      <c r="H304" s="186">
        <v>11085243</v>
      </c>
      <c r="I304" s="200"/>
    </row>
    <row r="305" spans="2:9" x14ac:dyDescent="0.2">
      <c r="B305" s="201">
        <v>45730</v>
      </c>
      <c r="C305" s="200"/>
      <c r="D305" s="200"/>
      <c r="E305" s="200"/>
      <c r="F305" s="200"/>
      <c r="G305" s="200"/>
      <c r="H305" s="200"/>
      <c r="I305" s="200"/>
    </row>
    <row r="306" spans="2:9" x14ac:dyDescent="0.2">
      <c r="B306" s="207">
        <v>45730</v>
      </c>
      <c r="C306" s="208"/>
      <c r="D306" s="208"/>
      <c r="E306" s="208"/>
      <c r="F306" s="208"/>
      <c r="G306" s="208"/>
      <c r="H306" s="187">
        <v>11085243</v>
      </c>
      <c r="I306" s="208"/>
    </row>
    <row r="307" spans="2:9" x14ac:dyDescent="0.2">
      <c r="B307" s="207">
        <v>45730</v>
      </c>
      <c r="C307" s="208"/>
      <c r="D307" s="208"/>
      <c r="E307" s="208"/>
      <c r="F307" s="208"/>
      <c r="G307" s="208"/>
      <c r="H307" s="208"/>
      <c r="I307" s="208"/>
    </row>
    <row r="308" spans="2:9" x14ac:dyDescent="0.2">
      <c r="B308" s="201">
        <v>45730</v>
      </c>
      <c r="C308" s="200">
        <v>513</v>
      </c>
      <c r="D308" s="200"/>
      <c r="E308" s="194" t="s">
        <v>968</v>
      </c>
      <c r="F308" s="200" t="s">
        <v>838</v>
      </c>
      <c r="G308" s="200"/>
      <c r="H308" s="188">
        <v>5537500</v>
      </c>
      <c r="I308" s="200"/>
    </row>
    <row r="309" spans="2:9" x14ac:dyDescent="0.2">
      <c r="B309" s="201">
        <v>45730</v>
      </c>
      <c r="C309" s="200">
        <v>112</v>
      </c>
      <c r="D309" s="200"/>
      <c r="E309" s="194" t="s">
        <v>968</v>
      </c>
      <c r="F309" s="200" t="s">
        <v>838</v>
      </c>
      <c r="G309" s="200"/>
      <c r="H309" s="200"/>
      <c r="I309" s="200"/>
    </row>
    <row r="310" spans="2:9" x14ac:dyDescent="0.2">
      <c r="B310" s="201">
        <v>45730</v>
      </c>
      <c r="C310" s="200">
        <v>521</v>
      </c>
      <c r="D310" s="200"/>
      <c r="E310" s="194" t="s">
        <v>969</v>
      </c>
      <c r="F310" s="200" t="s">
        <v>838</v>
      </c>
      <c r="G310" s="200"/>
      <c r="H310" s="188">
        <v>2500</v>
      </c>
      <c r="I310" s="200"/>
    </row>
    <row r="311" spans="2:9" x14ac:dyDescent="0.2">
      <c r="B311" s="201">
        <v>45730</v>
      </c>
      <c r="C311" s="200">
        <v>112</v>
      </c>
      <c r="D311" s="200"/>
      <c r="E311" s="194" t="s">
        <v>969</v>
      </c>
      <c r="F311" s="200" t="s">
        <v>838</v>
      </c>
      <c r="G311" s="200"/>
      <c r="H311" s="200"/>
      <c r="I311" s="200"/>
    </row>
    <row r="312" spans="2:9" x14ac:dyDescent="0.2">
      <c r="B312" s="201">
        <v>45730</v>
      </c>
      <c r="C312" s="200">
        <v>517</v>
      </c>
      <c r="D312" s="200"/>
      <c r="E312" s="194" t="s">
        <v>970</v>
      </c>
      <c r="F312" s="200" t="s">
        <v>838</v>
      </c>
      <c r="G312" s="200"/>
      <c r="H312" s="188">
        <v>300000</v>
      </c>
      <c r="I312" s="200"/>
    </row>
    <row r="313" spans="2:9" x14ac:dyDescent="0.2">
      <c r="B313" s="201">
        <v>45730</v>
      </c>
      <c r="C313" s="200">
        <v>112</v>
      </c>
      <c r="D313" s="200"/>
      <c r="E313" s="194" t="s">
        <v>970</v>
      </c>
      <c r="F313" s="200" t="s">
        <v>838</v>
      </c>
      <c r="G313" s="200"/>
      <c r="H313" s="200"/>
      <c r="I313" s="200"/>
    </row>
    <row r="314" spans="2:9" x14ac:dyDescent="0.2">
      <c r="B314" s="201">
        <v>45733</v>
      </c>
      <c r="C314" s="200">
        <v>212</v>
      </c>
      <c r="D314" s="200"/>
      <c r="E314" s="194" t="s">
        <v>971</v>
      </c>
      <c r="F314" s="200" t="s">
        <v>838</v>
      </c>
      <c r="G314" s="200"/>
      <c r="H314" s="188">
        <v>100000</v>
      </c>
      <c r="I314" s="200"/>
    </row>
    <row r="315" spans="2:9" x14ac:dyDescent="0.2">
      <c r="B315" s="201">
        <v>45733</v>
      </c>
      <c r="C315" s="200">
        <v>112</v>
      </c>
      <c r="D315" s="200"/>
      <c r="E315" s="194" t="s">
        <v>971</v>
      </c>
      <c r="F315" s="200" t="s">
        <v>838</v>
      </c>
      <c r="G315" s="200"/>
      <c r="H315" s="200"/>
      <c r="I315" s="200"/>
    </row>
    <row r="316" spans="2:9" x14ac:dyDescent="0.2">
      <c r="B316" s="201">
        <v>45733</v>
      </c>
      <c r="C316" s="200">
        <v>221</v>
      </c>
      <c r="D316" s="200"/>
      <c r="E316" s="194" t="s">
        <v>972</v>
      </c>
      <c r="F316" s="200" t="s">
        <v>838</v>
      </c>
      <c r="G316" s="200"/>
      <c r="H316" s="188">
        <v>1000000</v>
      </c>
      <c r="I316" s="200"/>
    </row>
    <row r="317" spans="2:9" x14ac:dyDescent="0.2">
      <c r="B317" s="201">
        <v>45733</v>
      </c>
      <c r="C317" s="200">
        <v>112</v>
      </c>
      <c r="D317" s="200"/>
      <c r="E317" s="194" t="s">
        <v>972</v>
      </c>
      <c r="F317" s="200" t="s">
        <v>838</v>
      </c>
      <c r="G317" s="200"/>
      <c r="H317" s="200"/>
      <c r="I317" s="200"/>
    </row>
    <row r="318" spans="2:9" ht="51" x14ac:dyDescent="0.2">
      <c r="B318" s="207">
        <v>45733</v>
      </c>
      <c r="C318" s="208">
        <v>111</v>
      </c>
      <c r="D318" s="208"/>
      <c r="E318" s="202" t="s">
        <v>927</v>
      </c>
      <c r="F318" s="208" t="s">
        <v>77</v>
      </c>
      <c r="G318" s="208"/>
      <c r="H318" s="184">
        <v>15000000</v>
      </c>
      <c r="I318" s="208"/>
    </row>
    <row r="319" spans="2:9" ht="51" x14ac:dyDescent="0.2">
      <c r="B319" s="207">
        <v>45733</v>
      </c>
      <c r="C319" s="208">
        <v>212</v>
      </c>
      <c r="D319" s="208"/>
      <c r="E319" s="202" t="s">
        <v>927</v>
      </c>
      <c r="F319" s="208" t="s">
        <v>77</v>
      </c>
      <c r="G319" s="208"/>
      <c r="H319" s="208"/>
      <c r="I319" s="208"/>
    </row>
    <row r="320" spans="2:9" ht="38.25" x14ac:dyDescent="0.2">
      <c r="B320" s="207">
        <v>45733</v>
      </c>
      <c r="C320" s="208">
        <v>111</v>
      </c>
      <c r="D320" s="208"/>
      <c r="E320" s="202" t="s">
        <v>940</v>
      </c>
      <c r="F320" s="208" t="s">
        <v>77</v>
      </c>
      <c r="G320" s="208"/>
      <c r="H320" s="184">
        <v>4000000</v>
      </c>
      <c r="I320" s="208"/>
    </row>
    <row r="321" spans="2:9" ht="38.25" x14ac:dyDescent="0.2">
      <c r="B321" s="207">
        <v>45733</v>
      </c>
      <c r="C321" s="208">
        <v>212</v>
      </c>
      <c r="D321" s="208"/>
      <c r="E321" s="202" t="s">
        <v>940</v>
      </c>
      <c r="F321" s="208" t="s">
        <v>77</v>
      </c>
      <c r="G321" s="208"/>
      <c r="H321" s="208"/>
      <c r="I321" s="208"/>
    </row>
    <row r="322" spans="2:9" x14ac:dyDescent="0.2">
      <c r="B322" s="201">
        <v>45734</v>
      </c>
      <c r="C322" s="200">
        <v>513</v>
      </c>
      <c r="D322" s="200"/>
      <c r="E322" s="194" t="s">
        <v>973</v>
      </c>
      <c r="F322" s="200" t="s">
        <v>838</v>
      </c>
      <c r="G322" s="200"/>
      <c r="H322" s="188">
        <v>300000</v>
      </c>
      <c r="I322" s="200"/>
    </row>
    <row r="323" spans="2:9" x14ac:dyDescent="0.2">
      <c r="B323" s="201">
        <v>45734</v>
      </c>
      <c r="C323" s="200">
        <v>112</v>
      </c>
      <c r="D323" s="200"/>
      <c r="E323" s="194" t="s">
        <v>973</v>
      </c>
      <c r="F323" s="200" t="s">
        <v>838</v>
      </c>
      <c r="G323" s="200"/>
      <c r="H323" s="200"/>
      <c r="I323" s="200"/>
    </row>
    <row r="324" spans="2:9" x14ac:dyDescent="0.2">
      <c r="B324" s="201">
        <v>45734</v>
      </c>
      <c r="C324" s="200">
        <v>517</v>
      </c>
      <c r="D324" s="200"/>
      <c r="E324" s="194" t="s">
        <v>974</v>
      </c>
      <c r="F324" s="200" t="s">
        <v>838</v>
      </c>
      <c r="G324" s="200"/>
      <c r="H324" s="188">
        <v>500000</v>
      </c>
      <c r="I324" s="200"/>
    </row>
    <row r="325" spans="2:9" x14ac:dyDescent="0.2">
      <c r="B325" s="201">
        <v>45734</v>
      </c>
      <c r="C325" s="200">
        <v>112</v>
      </c>
      <c r="D325" s="200"/>
      <c r="E325" s="194" t="s">
        <v>974</v>
      </c>
      <c r="F325" s="200" t="s">
        <v>838</v>
      </c>
      <c r="G325" s="200"/>
      <c r="H325" s="200"/>
      <c r="I325" s="200"/>
    </row>
    <row r="326" spans="2:9" x14ac:dyDescent="0.2">
      <c r="B326" s="201">
        <v>45740</v>
      </c>
      <c r="C326" s="200"/>
      <c r="D326" s="200"/>
      <c r="E326" s="200"/>
      <c r="F326" s="200"/>
      <c r="G326" s="200"/>
      <c r="H326" s="196">
        <v>30000000</v>
      </c>
      <c r="I326" s="200"/>
    </row>
    <row r="327" spans="2:9" x14ac:dyDescent="0.2">
      <c r="B327" s="201">
        <v>45740</v>
      </c>
      <c r="C327" s="200"/>
      <c r="D327" s="200"/>
      <c r="E327" s="200"/>
      <c r="F327" s="200"/>
      <c r="G327" s="200"/>
      <c r="H327" s="200"/>
      <c r="I327" s="200"/>
    </row>
    <row r="328" spans="2:9" x14ac:dyDescent="0.2">
      <c r="B328" s="207">
        <v>45740</v>
      </c>
      <c r="C328" s="208"/>
      <c r="D328" s="208"/>
      <c r="E328" s="208"/>
      <c r="F328" s="208"/>
      <c r="G328" s="208"/>
      <c r="H328" s="191">
        <v>30000000</v>
      </c>
      <c r="I328" s="208"/>
    </row>
    <row r="329" spans="2:9" x14ac:dyDescent="0.2">
      <c r="B329" s="207">
        <v>45740</v>
      </c>
      <c r="C329" s="208"/>
      <c r="D329" s="208"/>
      <c r="E329" s="208"/>
      <c r="F329" s="208"/>
      <c r="G329" s="208"/>
      <c r="H329" s="208"/>
      <c r="I329" s="208"/>
    </row>
    <row r="330" spans="2:9" x14ac:dyDescent="0.2">
      <c r="B330" s="201">
        <v>45740</v>
      </c>
      <c r="C330" s="200">
        <v>515</v>
      </c>
      <c r="D330" s="200"/>
      <c r="E330" s="194" t="s">
        <v>975</v>
      </c>
      <c r="F330" s="200"/>
      <c r="G330" s="200"/>
      <c r="H330" s="188">
        <v>4080000</v>
      </c>
      <c r="I330" s="200"/>
    </row>
    <row r="331" spans="2:9" x14ac:dyDescent="0.2">
      <c r="B331" s="201">
        <v>45740</v>
      </c>
      <c r="C331" s="200">
        <v>112</v>
      </c>
      <c r="D331" s="200"/>
      <c r="E331" s="194" t="s">
        <v>975</v>
      </c>
      <c r="F331" s="200"/>
      <c r="G331" s="200"/>
      <c r="H331" s="200"/>
      <c r="I331" s="200"/>
    </row>
    <row r="332" spans="2:9" x14ac:dyDescent="0.2">
      <c r="B332" s="201">
        <v>45740</v>
      </c>
      <c r="C332" s="200">
        <v>515</v>
      </c>
      <c r="D332" s="200"/>
      <c r="E332" s="194" t="s">
        <v>976</v>
      </c>
      <c r="F332" s="200"/>
      <c r="G332" s="200"/>
      <c r="H332" s="188">
        <v>3780000</v>
      </c>
      <c r="I332" s="200"/>
    </row>
    <row r="333" spans="2:9" x14ac:dyDescent="0.2">
      <c r="B333" s="201">
        <v>45740</v>
      </c>
      <c r="C333" s="200">
        <v>112</v>
      </c>
      <c r="D333" s="200"/>
      <c r="E333" s="194" t="s">
        <v>976</v>
      </c>
      <c r="F333" s="200"/>
      <c r="G333" s="200"/>
      <c r="H333" s="200"/>
      <c r="I333" s="200"/>
    </row>
    <row r="334" spans="2:9" ht="38.25" x14ac:dyDescent="0.2">
      <c r="B334" s="207">
        <v>45740</v>
      </c>
      <c r="C334" s="208"/>
      <c r="D334" s="208"/>
      <c r="E334" s="202" t="s">
        <v>979</v>
      </c>
      <c r="F334" s="208" t="s">
        <v>77</v>
      </c>
      <c r="G334" s="208"/>
      <c r="H334" s="184">
        <v>4909750</v>
      </c>
      <c r="I334" s="208"/>
    </row>
    <row r="335" spans="2:9" ht="38.25" x14ac:dyDescent="0.2">
      <c r="B335" s="207">
        <v>45740</v>
      </c>
      <c r="C335" s="208"/>
      <c r="D335" s="208"/>
      <c r="E335" s="202" t="s">
        <v>979</v>
      </c>
      <c r="F335" s="208" t="s">
        <v>77</v>
      </c>
      <c r="G335" s="208"/>
      <c r="H335" s="208"/>
      <c r="I335" s="208"/>
    </row>
    <row r="336" spans="2:9" x14ac:dyDescent="0.2">
      <c r="B336" s="207">
        <v>45740</v>
      </c>
      <c r="C336" s="208"/>
      <c r="D336" s="208"/>
      <c r="E336" s="203" t="s">
        <v>980</v>
      </c>
      <c r="F336" s="208" t="s">
        <v>77</v>
      </c>
      <c r="G336" s="208"/>
      <c r="H336" s="184">
        <v>1200000</v>
      </c>
      <c r="I336" s="208"/>
    </row>
    <row r="337" spans="2:9" x14ac:dyDescent="0.2">
      <c r="B337" s="207">
        <v>45740</v>
      </c>
      <c r="C337" s="208"/>
      <c r="D337" s="208"/>
      <c r="E337" s="203" t="s">
        <v>980</v>
      </c>
      <c r="F337" s="208" t="s">
        <v>77</v>
      </c>
      <c r="G337" s="208"/>
      <c r="H337" s="208"/>
      <c r="I337" s="208"/>
    </row>
    <row r="338" spans="2:9" x14ac:dyDescent="0.2">
      <c r="B338" s="207">
        <v>45740</v>
      </c>
      <c r="C338" s="208"/>
      <c r="D338" s="208"/>
      <c r="E338" s="203" t="s">
        <v>981</v>
      </c>
      <c r="F338" s="208" t="s">
        <v>77</v>
      </c>
      <c r="G338" s="208"/>
      <c r="H338" s="184">
        <v>61600000</v>
      </c>
      <c r="I338" s="208"/>
    </row>
    <row r="339" spans="2:9" x14ac:dyDescent="0.2">
      <c r="B339" s="207">
        <v>45740</v>
      </c>
      <c r="C339" s="208"/>
      <c r="D339" s="208"/>
      <c r="E339" s="203" t="s">
        <v>981</v>
      </c>
      <c r="F339" s="208" t="s">
        <v>77</v>
      </c>
      <c r="G339" s="208"/>
      <c r="H339" s="208"/>
      <c r="I339" s="208"/>
    </row>
    <row r="340" spans="2:9" x14ac:dyDescent="0.2">
      <c r="B340" s="207">
        <v>45740</v>
      </c>
      <c r="C340" s="208"/>
      <c r="D340" s="208"/>
      <c r="E340" s="203" t="s">
        <v>982</v>
      </c>
      <c r="F340" s="208" t="s">
        <v>77</v>
      </c>
      <c r="G340" s="208"/>
      <c r="H340" s="184">
        <v>30187000</v>
      </c>
      <c r="I340" s="208"/>
    </row>
    <row r="341" spans="2:9" x14ac:dyDescent="0.2">
      <c r="B341" s="207">
        <v>45740</v>
      </c>
      <c r="C341" s="208"/>
      <c r="D341" s="208"/>
      <c r="E341" s="203" t="s">
        <v>982</v>
      </c>
      <c r="F341" s="208" t="s">
        <v>77</v>
      </c>
      <c r="G341" s="208"/>
      <c r="H341" s="208"/>
      <c r="I341" s="208"/>
    </row>
    <row r="342" spans="2:9" x14ac:dyDescent="0.2">
      <c r="B342" s="207">
        <v>45740</v>
      </c>
      <c r="C342" s="208"/>
      <c r="D342" s="208"/>
      <c r="E342" s="203" t="s">
        <v>983</v>
      </c>
      <c r="F342" s="208" t="s">
        <v>77</v>
      </c>
      <c r="G342" s="208"/>
      <c r="H342" s="184">
        <v>5740000</v>
      </c>
      <c r="I342" s="208"/>
    </row>
    <row r="343" spans="2:9" x14ac:dyDescent="0.2">
      <c r="B343" s="207">
        <v>45740</v>
      </c>
      <c r="C343" s="208"/>
      <c r="D343" s="208"/>
      <c r="E343" s="203" t="s">
        <v>983</v>
      </c>
      <c r="F343" s="208" t="s">
        <v>77</v>
      </c>
      <c r="G343" s="208"/>
      <c r="H343" s="208"/>
      <c r="I343" s="208"/>
    </row>
    <row r="344" spans="2:9" x14ac:dyDescent="0.2">
      <c r="B344" s="207">
        <v>45740</v>
      </c>
      <c r="C344" s="208"/>
      <c r="D344" s="208"/>
      <c r="E344" s="203" t="s">
        <v>984</v>
      </c>
      <c r="F344" s="208" t="s">
        <v>77</v>
      </c>
      <c r="G344" s="208"/>
      <c r="H344" s="184">
        <v>61837779</v>
      </c>
      <c r="I344" s="208"/>
    </row>
    <row r="345" spans="2:9" x14ac:dyDescent="0.2">
      <c r="B345" s="207">
        <v>45740</v>
      </c>
      <c r="C345" s="208"/>
      <c r="D345" s="208"/>
      <c r="E345" s="203" t="s">
        <v>984</v>
      </c>
      <c r="F345" s="208" t="s">
        <v>77</v>
      </c>
      <c r="G345" s="208"/>
      <c r="H345" s="208"/>
      <c r="I345" s="208"/>
    </row>
    <row r="346" spans="2:9" x14ac:dyDescent="0.2">
      <c r="B346" s="207">
        <v>45740</v>
      </c>
      <c r="C346" s="208"/>
      <c r="D346" s="208"/>
      <c r="E346" s="203" t="s">
        <v>985</v>
      </c>
      <c r="F346" s="208" t="s">
        <v>77</v>
      </c>
      <c r="G346" s="208"/>
      <c r="H346" s="184">
        <v>142476167</v>
      </c>
      <c r="I346" s="208"/>
    </row>
    <row r="347" spans="2:9" x14ac:dyDescent="0.2">
      <c r="B347" s="207">
        <v>45740</v>
      </c>
      <c r="C347" s="208"/>
      <c r="D347" s="208"/>
      <c r="E347" s="203" t="s">
        <v>985</v>
      </c>
      <c r="F347" s="208" t="s">
        <v>77</v>
      </c>
      <c r="G347" s="208"/>
      <c r="H347" s="208"/>
      <c r="I347" s="208"/>
    </row>
    <row r="348" spans="2:9" ht="38.25" x14ac:dyDescent="0.2">
      <c r="B348" s="201">
        <v>45740</v>
      </c>
      <c r="C348" s="200"/>
      <c r="D348" s="200"/>
      <c r="E348" s="197" t="s">
        <v>979</v>
      </c>
      <c r="F348" s="200" t="s">
        <v>77</v>
      </c>
      <c r="G348" s="200"/>
      <c r="H348" s="185">
        <v>4909750</v>
      </c>
      <c r="I348" s="200"/>
    </row>
    <row r="349" spans="2:9" ht="38.25" x14ac:dyDescent="0.2">
      <c r="B349" s="201">
        <v>45740</v>
      </c>
      <c r="C349" s="200"/>
      <c r="D349" s="200"/>
      <c r="E349" s="197" t="s">
        <v>979</v>
      </c>
      <c r="F349" s="200" t="s">
        <v>77</v>
      </c>
      <c r="G349" s="200"/>
      <c r="H349" s="200"/>
      <c r="I349" s="200"/>
    </row>
    <row r="350" spans="2:9" x14ac:dyDescent="0.2">
      <c r="B350" s="201">
        <v>45740</v>
      </c>
      <c r="C350" s="200"/>
      <c r="D350" s="200"/>
      <c r="E350" s="204" t="s">
        <v>982</v>
      </c>
      <c r="F350" s="200" t="s">
        <v>77</v>
      </c>
      <c r="G350" s="200"/>
      <c r="H350" s="185">
        <v>30187000</v>
      </c>
      <c r="I350" s="200"/>
    </row>
    <row r="351" spans="2:9" x14ac:dyDescent="0.2">
      <c r="B351" s="201">
        <v>45740</v>
      </c>
      <c r="C351" s="200"/>
      <c r="D351" s="200"/>
      <c r="E351" s="204" t="s">
        <v>982</v>
      </c>
      <c r="F351" s="200" t="s">
        <v>77</v>
      </c>
      <c r="G351" s="200"/>
      <c r="H351" s="200"/>
      <c r="I351" s="200"/>
    </row>
    <row r="352" spans="2:9" x14ac:dyDescent="0.2">
      <c r="B352" s="201">
        <v>45740</v>
      </c>
      <c r="C352" s="200"/>
      <c r="D352" s="200"/>
      <c r="E352" s="204" t="s">
        <v>983</v>
      </c>
      <c r="F352" s="200" t="s">
        <v>77</v>
      </c>
      <c r="G352" s="200"/>
      <c r="H352" s="185">
        <v>5740000</v>
      </c>
      <c r="I352" s="200"/>
    </row>
    <row r="353" spans="2:9" x14ac:dyDescent="0.2">
      <c r="B353" s="201">
        <v>45740</v>
      </c>
      <c r="C353" s="200"/>
      <c r="D353" s="200"/>
      <c r="E353" s="204" t="s">
        <v>983</v>
      </c>
      <c r="F353" s="200" t="s">
        <v>77</v>
      </c>
      <c r="G353" s="200"/>
      <c r="H353" s="200"/>
      <c r="I353" s="200"/>
    </row>
    <row r="354" spans="2:9" x14ac:dyDescent="0.2">
      <c r="B354" s="201">
        <v>45740</v>
      </c>
      <c r="C354" s="200"/>
      <c r="D354" s="200"/>
      <c r="E354" s="204" t="s">
        <v>984</v>
      </c>
      <c r="F354" s="200" t="s">
        <v>77</v>
      </c>
      <c r="G354" s="200"/>
      <c r="H354" s="185">
        <v>61837779</v>
      </c>
      <c r="I354" s="200"/>
    </row>
    <row r="355" spans="2:9" x14ac:dyDescent="0.2">
      <c r="B355" s="201">
        <v>45740</v>
      </c>
      <c r="C355" s="200"/>
      <c r="D355" s="200"/>
      <c r="E355" s="204" t="s">
        <v>984</v>
      </c>
      <c r="F355" s="200" t="s">
        <v>77</v>
      </c>
      <c r="G355" s="200"/>
      <c r="H355" s="200"/>
      <c r="I355" s="200"/>
    </row>
    <row r="356" spans="2:9" x14ac:dyDescent="0.2">
      <c r="B356" s="201">
        <v>45740</v>
      </c>
      <c r="C356" s="200"/>
      <c r="D356" s="200"/>
      <c r="E356" s="204" t="s">
        <v>985</v>
      </c>
      <c r="F356" s="200" t="s">
        <v>77</v>
      </c>
      <c r="G356" s="200"/>
      <c r="H356" s="185">
        <v>142476167</v>
      </c>
      <c r="I356" s="200"/>
    </row>
    <row r="357" spans="2:9" x14ac:dyDescent="0.2">
      <c r="B357" s="201">
        <v>45740</v>
      </c>
      <c r="C357" s="200"/>
      <c r="D357" s="200"/>
      <c r="E357" s="204" t="s">
        <v>985</v>
      </c>
      <c r="F357" s="200" t="s">
        <v>77</v>
      </c>
      <c r="G357" s="200"/>
      <c r="H357" s="200"/>
      <c r="I357" s="200"/>
    </row>
    <row r="358" spans="2:9" ht="38.25" x14ac:dyDescent="0.2">
      <c r="B358" s="201">
        <v>45740</v>
      </c>
      <c r="C358" s="200"/>
      <c r="D358" s="200"/>
      <c r="E358" s="197" t="s">
        <v>836</v>
      </c>
      <c r="F358" s="200" t="s">
        <v>77</v>
      </c>
      <c r="G358" s="200"/>
      <c r="H358" s="186">
        <v>75000000</v>
      </c>
      <c r="I358" s="200"/>
    </row>
    <row r="359" spans="2:9" ht="38.25" x14ac:dyDescent="0.2">
      <c r="B359" s="201">
        <v>45740</v>
      </c>
      <c r="C359" s="200"/>
      <c r="D359" s="200"/>
      <c r="E359" s="197" t="s">
        <v>836</v>
      </c>
      <c r="F359" s="200" t="s">
        <v>77</v>
      </c>
      <c r="G359" s="200"/>
      <c r="H359" s="200"/>
      <c r="I359" s="200"/>
    </row>
    <row r="360" spans="2:9" ht="25.5" x14ac:dyDescent="0.2">
      <c r="B360" s="201">
        <v>45740</v>
      </c>
      <c r="C360" s="200"/>
      <c r="D360" s="200"/>
      <c r="E360" s="197" t="s">
        <v>947</v>
      </c>
      <c r="F360" s="200" t="s">
        <v>77</v>
      </c>
      <c r="G360" s="200"/>
      <c r="H360" s="186">
        <v>50000000</v>
      </c>
      <c r="I360" s="200"/>
    </row>
    <row r="361" spans="2:9" ht="25.5" x14ac:dyDescent="0.2">
      <c r="B361" s="201">
        <v>45740</v>
      </c>
      <c r="C361" s="200"/>
      <c r="D361" s="200"/>
      <c r="E361" s="197" t="s">
        <v>947</v>
      </c>
      <c r="F361" s="200" t="s">
        <v>77</v>
      </c>
      <c r="G361" s="200"/>
      <c r="H361" s="200"/>
      <c r="I361" s="200"/>
    </row>
    <row r="362" spans="2:9" x14ac:dyDescent="0.2">
      <c r="B362" s="201">
        <v>45742</v>
      </c>
      <c r="C362" s="200">
        <v>513</v>
      </c>
      <c r="D362" s="200"/>
      <c r="E362" s="194" t="s">
        <v>977</v>
      </c>
      <c r="F362" s="200"/>
      <c r="G362" s="200"/>
      <c r="H362" s="188">
        <v>1584000</v>
      </c>
      <c r="I362" s="200"/>
    </row>
    <row r="363" spans="2:9" x14ac:dyDescent="0.2">
      <c r="B363" s="201">
        <v>45742</v>
      </c>
      <c r="C363" s="200">
        <v>112</v>
      </c>
      <c r="D363" s="200"/>
      <c r="E363" s="194" t="s">
        <v>977</v>
      </c>
      <c r="F363" s="200"/>
      <c r="G363" s="200"/>
      <c r="H363" s="200"/>
      <c r="I363" s="200"/>
    </row>
    <row r="364" spans="2:9" x14ac:dyDescent="0.2">
      <c r="B364" s="207">
        <v>45747</v>
      </c>
      <c r="C364" s="208"/>
      <c r="D364" s="208"/>
      <c r="E364" s="202" t="s">
        <v>57</v>
      </c>
      <c r="F364" s="208" t="s">
        <v>77</v>
      </c>
      <c r="G364" s="208"/>
      <c r="H364" s="190">
        <v>71310</v>
      </c>
      <c r="I364" s="208"/>
    </row>
    <row r="365" spans="2:9" x14ac:dyDescent="0.2">
      <c r="B365" s="207">
        <v>45747</v>
      </c>
      <c r="C365" s="208"/>
      <c r="D365" s="208"/>
      <c r="E365" s="202" t="s">
        <v>57</v>
      </c>
      <c r="F365" s="208" t="s">
        <v>77</v>
      </c>
      <c r="G365" s="208"/>
      <c r="H365" s="208"/>
      <c r="I365" s="208"/>
    </row>
    <row r="366" spans="2:9" x14ac:dyDescent="0.2">
      <c r="B366" s="201">
        <v>45747</v>
      </c>
      <c r="C366" s="200"/>
      <c r="D366" s="200"/>
      <c r="E366" s="197" t="s">
        <v>94</v>
      </c>
      <c r="F366" s="200" t="s">
        <v>77</v>
      </c>
      <c r="G366" s="200"/>
      <c r="H366" s="186">
        <v>14262</v>
      </c>
      <c r="I366" s="200"/>
    </row>
    <row r="367" spans="2:9" x14ac:dyDescent="0.2">
      <c r="B367" s="201">
        <v>45747</v>
      </c>
      <c r="C367" s="200"/>
      <c r="D367" s="200"/>
      <c r="E367" s="197" t="s">
        <v>94</v>
      </c>
      <c r="F367" s="200" t="s">
        <v>77</v>
      </c>
      <c r="G367" s="200"/>
      <c r="H367" s="200"/>
      <c r="I367" s="200"/>
    </row>
    <row r="368" spans="2:9" ht="25.5" x14ac:dyDescent="0.2">
      <c r="B368" s="201">
        <v>45747</v>
      </c>
      <c r="C368" s="200"/>
      <c r="D368" s="200"/>
      <c r="E368" s="197" t="s">
        <v>95</v>
      </c>
      <c r="F368" s="200" t="s">
        <v>77</v>
      </c>
      <c r="G368" s="200"/>
      <c r="H368" s="186">
        <v>10000</v>
      </c>
      <c r="I368" s="200"/>
    </row>
    <row r="369" spans="2:9" ht="25.5" x14ac:dyDescent="0.2">
      <c r="B369" s="201">
        <v>45747</v>
      </c>
      <c r="C369" s="200"/>
      <c r="D369" s="200"/>
      <c r="E369" s="197" t="s">
        <v>95</v>
      </c>
      <c r="F369" s="200" t="s">
        <v>77</v>
      </c>
      <c r="G369" s="200"/>
      <c r="H369" s="200"/>
      <c r="I369" s="200"/>
    </row>
    <row r="370" spans="2:9" x14ac:dyDescent="0.2">
      <c r="B370" s="201">
        <v>45757</v>
      </c>
      <c r="C370" s="200">
        <v>515</v>
      </c>
      <c r="D370" s="200"/>
      <c r="E370" s="194" t="s">
        <v>978</v>
      </c>
      <c r="F370" s="200"/>
      <c r="G370" s="200"/>
      <c r="H370" s="188">
        <v>5500000</v>
      </c>
      <c r="I370" s="200"/>
    </row>
    <row r="371" spans="2:9" x14ac:dyDescent="0.2">
      <c r="B371" s="201">
        <v>45757</v>
      </c>
      <c r="C371" s="200">
        <v>112</v>
      </c>
      <c r="D371" s="200"/>
      <c r="E371" s="194" t="s">
        <v>978</v>
      </c>
      <c r="F371" s="200"/>
      <c r="G371" s="200"/>
      <c r="H371" s="200"/>
      <c r="I371" s="200"/>
    </row>
    <row r="372" spans="2:9" x14ac:dyDescent="0.2">
      <c r="B372" s="207"/>
      <c r="E372" s="215"/>
      <c r="H372" s="199">
        <v>2518</v>
      </c>
    </row>
    <row r="373" spans="2:9" x14ac:dyDescent="0.2">
      <c r="B373" s="207"/>
      <c r="E373" s="215"/>
    </row>
    <row r="374" spans="2:9" x14ac:dyDescent="0.2">
      <c r="B374" s="207"/>
      <c r="E374" s="215"/>
      <c r="H374" s="199">
        <v>2519</v>
      </c>
    </row>
    <row r="375" spans="2:9" x14ac:dyDescent="0.2">
      <c r="B375" s="207"/>
      <c r="E375" s="215"/>
    </row>
    <row r="376" spans="2:9" x14ac:dyDescent="0.2">
      <c r="B376" s="207"/>
      <c r="E376" s="215"/>
      <c r="H376" s="199">
        <v>2520</v>
      </c>
    </row>
    <row r="377" spans="2:9" x14ac:dyDescent="0.2">
      <c r="B377" s="207"/>
      <c r="E377" s="215"/>
    </row>
    <row r="378" spans="2:9" x14ac:dyDescent="0.2">
      <c r="B378" s="207"/>
      <c r="E378" s="215"/>
      <c r="H378" s="199">
        <v>2521</v>
      </c>
    </row>
    <row r="379" spans="2:9" x14ac:dyDescent="0.2">
      <c r="B379" s="207"/>
      <c r="E379" s="215"/>
    </row>
    <row r="380" spans="2:9" x14ac:dyDescent="0.2">
      <c r="B380" s="207"/>
      <c r="E380" s="215"/>
      <c r="H380" s="199">
        <v>2522</v>
      </c>
    </row>
    <row r="381" spans="2:9" x14ac:dyDescent="0.2">
      <c r="B381" s="207"/>
      <c r="E381" s="215"/>
    </row>
    <row r="382" spans="2:9" x14ac:dyDescent="0.2">
      <c r="B382" s="207"/>
      <c r="E382" s="215"/>
      <c r="H382" s="199">
        <v>2523</v>
      </c>
    </row>
    <row r="383" spans="2:9" x14ac:dyDescent="0.2">
      <c r="B383" s="207"/>
      <c r="E383" s="215"/>
    </row>
    <row r="384" spans="2:9" x14ac:dyDescent="0.2">
      <c r="B384" s="207"/>
      <c r="E384" s="215"/>
      <c r="H384" s="199">
        <v>2524</v>
      </c>
    </row>
    <row r="385" spans="2:8" x14ac:dyDescent="0.2">
      <c r="B385" s="207"/>
      <c r="E385" s="215"/>
    </row>
    <row r="386" spans="2:8" x14ac:dyDescent="0.2">
      <c r="B386" s="207"/>
      <c r="E386" s="215"/>
      <c r="H386" s="199">
        <v>2525</v>
      </c>
    </row>
    <row r="387" spans="2:8" x14ac:dyDescent="0.2">
      <c r="B387" s="207"/>
      <c r="E387" s="215"/>
    </row>
    <row r="388" spans="2:8" x14ac:dyDescent="0.2">
      <c r="B388" s="207"/>
      <c r="E388" s="215"/>
      <c r="H388" s="199">
        <v>2526</v>
      </c>
    </row>
    <row r="389" spans="2:8" x14ac:dyDescent="0.2">
      <c r="B389" s="207"/>
      <c r="E389" s="215"/>
    </row>
    <row r="390" spans="2:8" x14ac:dyDescent="0.2">
      <c r="B390" s="207"/>
      <c r="E390" s="215"/>
      <c r="H390" s="199">
        <v>2527</v>
      </c>
    </row>
    <row r="391" spans="2:8" x14ac:dyDescent="0.2">
      <c r="B391" s="207"/>
      <c r="E391" s="215"/>
    </row>
    <row r="392" spans="2:8" x14ac:dyDescent="0.2">
      <c r="B392" s="207"/>
      <c r="E392" s="215"/>
      <c r="H392" s="199">
        <v>2528</v>
      </c>
    </row>
    <row r="393" spans="2:8" x14ac:dyDescent="0.2">
      <c r="B393" s="207"/>
      <c r="E393" s="215"/>
    </row>
    <row r="394" spans="2:8" x14ac:dyDescent="0.2">
      <c r="B394" s="207"/>
      <c r="E394" s="215"/>
      <c r="H394" s="199">
        <v>2529</v>
      </c>
    </row>
    <row r="395" spans="2:8" x14ac:dyDescent="0.2">
      <c r="B395" s="207"/>
      <c r="E395" s="215"/>
    </row>
    <row r="396" spans="2:8" x14ac:dyDescent="0.2">
      <c r="B396" s="207"/>
      <c r="E396" s="215"/>
      <c r="H396" s="199">
        <v>2530</v>
      </c>
    </row>
    <row r="397" spans="2:8" x14ac:dyDescent="0.2">
      <c r="B397" s="207"/>
      <c r="E397" s="215"/>
    </row>
    <row r="398" spans="2:8" x14ac:dyDescent="0.2">
      <c r="B398" s="207"/>
      <c r="E398" s="215"/>
      <c r="H398" s="199">
        <v>2531</v>
      </c>
    </row>
    <row r="399" spans="2:8" x14ac:dyDescent="0.2">
      <c r="B399" s="207"/>
      <c r="E399" s="215"/>
    </row>
    <row r="400" spans="2:8" x14ac:dyDescent="0.2">
      <c r="B400" s="207"/>
      <c r="E400" s="215"/>
      <c r="H400" s="199">
        <v>2532</v>
      </c>
    </row>
    <row r="401" spans="2:8" x14ac:dyDescent="0.2">
      <c r="B401" s="207"/>
      <c r="E401" s="215"/>
    </row>
    <row r="402" spans="2:8" x14ac:dyDescent="0.2">
      <c r="B402" s="207"/>
      <c r="E402" s="215"/>
      <c r="H402" s="199">
        <v>2533</v>
      </c>
    </row>
    <row r="403" spans="2:8" x14ac:dyDescent="0.2">
      <c r="B403" s="207"/>
      <c r="E403" s="215"/>
    </row>
    <row r="404" spans="2:8" x14ac:dyDescent="0.2">
      <c r="B404" s="207"/>
      <c r="E404" s="215"/>
      <c r="H404" s="199">
        <v>2534</v>
      </c>
    </row>
    <row r="405" spans="2:8" x14ac:dyDescent="0.2">
      <c r="B405" s="207"/>
      <c r="E405" s="215"/>
    </row>
    <row r="406" spans="2:8" x14ac:dyDescent="0.2">
      <c r="B406" s="207"/>
      <c r="E406" s="215"/>
      <c r="H406" s="199">
        <v>2535</v>
      </c>
    </row>
    <row r="407" spans="2:8" x14ac:dyDescent="0.2">
      <c r="B407" s="207"/>
      <c r="E407" s="215"/>
    </row>
    <row r="408" spans="2:8" x14ac:dyDescent="0.2">
      <c r="B408" s="207"/>
      <c r="E408" s="215"/>
      <c r="H408" s="199">
        <v>2536</v>
      </c>
    </row>
    <row r="409" spans="2:8" x14ac:dyDescent="0.2">
      <c r="B409" s="207"/>
      <c r="E409" s="215"/>
    </row>
    <row r="410" spans="2:8" x14ac:dyDescent="0.2">
      <c r="B410" s="207"/>
      <c r="E410" s="215"/>
      <c r="H410" s="199">
        <v>2537</v>
      </c>
    </row>
    <row r="411" spans="2:8" x14ac:dyDescent="0.2">
      <c r="B411" s="207"/>
      <c r="E411" s="215"/>
    </row>
    <row r="412" spans="2:8" x14ac:dyDescent="0.2">
      <c r="B412" s="207"/>
      <c r="E412" s="215"/>
      <c r="H412" s="199">
        <v>2538</v>
      </c>
    </row>
    <row r="413" spans="2:8" x14ac:dyDescent="0.2">
      <c r="B413" s="207"/>
      <c r="E413" s="215"/>
    </row>
    <row r="414" spans="2:8" x14ac:dyDescent="0.2">
      <c r="B414" s="207"/>
      <c r="E414" s="215"/>
      <c r="H414" s="199">
        <v>2539</v>
      </c>
    </row>
    <row r="415" spans="2:8" x14ac:dyDescent="0.2">
      <c r="B415" s="207"/>
      <c r="E415" s="215"/>
    </row>
    <row r="416" spans="2:8" x14ac:dyDescent="0.2">
      <c r="B416" s="207"/>
      <c r="E416" s="215"/>
      <c r="H416" s="199">
        <v>2540</v>
      </c>
    </row>
    <row r="417" spans="2:8" x14ac:dyDescent="0.2">
      <c r="B417" s="207"/>
      <c r="E417" s="215"/>
    </row>
    <row r="418" spans="2:8" x14ac:dyDescent="0.2">
      <c r="B418" s="207"/>
      <c r="E418" s="215"/>
      <c r="H418" s="199">
        <v>2541</v>
      </c>
    </row>
    <row r="419" spans="2:8" x14ac:dyDescent="0.2">
      <c r="B419" s="207"/>
      <c r="E419" s="215"/>
    </row>
    <row r="420" spans="2:8" x14ac:dyDescent="0.2">
      <c r="B420" s="207"/>
      <c r="E420" s="215"/>
      <c r="H420" s="199">
        <v>2542</v>
      </c>
    </row>
    <row r="421" spans="2:8" x14ac:dyDescent="0.2">
      <c r="B421" s="207"/>
      <c r="E421" s="215"/>
    </row>
    <row r="422" spans="2:8" x14ac:dyDescent="0.2">
      <c r="B422" s="207"/>
      <c r="E422" s="215"/>
      <c r="H422" s="199">
        <v>2543</v>
      </c>
    </row>
    <row r="423" spans="2:8" x14ac:dyDescent="0.2">
      <c r="B423" s="207"/>
      <c r="E423" s="215"/>
    </row>
    <row r="424" spans="2:8" x14ac:dyDescent="0.2">
      <c r="B424" s="207"/>
      <c r="E424" s="215"/>
      <c r="H424" s="199">
        <v>2544</v>
      </c>
    </row>
    <row r="425" spans="2:8" x14ac:dyDescent="0.2">
      <c r="B425" s="207"/>
      <c r="E425" s="215"/>
    </row>
    <row r="426" spans="2:8" x14ac:dyDescent="0.2">
      <c r="B426" s="207"/>
      <c r="E426" s="215"/>
      <c r="H426" s="199">
        <v>2545</v>
      </c>
    </row>
    <row r="427" spans="2:8" x14ac:dyDescent="0.2">
      <c r="B427" s="207"/>
      <c r="E427" s="215"/>
    </row>
    <row r="428" spans="2:8" x14ac:dyDescent="0.2">
      <c r="B428" s="207"/>
      <c r="E428" s="215"/>
      <c r="H428" s="199">
        <v>2546</v>
      </c>
    </row>
    <row r="429" spans="2:8" x14ac:dyDescent="0.2">
      <c r="B429" s="207"/>
      <c r="E429" s="215"/>
    </row>
    <row r="430" spans="2:8" x14ac:dyDescent="0.2">
      <c r="B430" s="207"/>
      <c r="E430" s="215"/>
      <c r="H430" s="199">
        <v>2547</v>
      </c>
    </row>
    <row r="431" spans="2:8" x14ac:dyDescent="0.2">
      <c r="B431" s="207"/>
      <c r="E431" s="215"/>
    </row>
    <row r="432" spans="2:8" x14ac:dyDescent="0.2">
      <c r="B432" s="207"/>
      <c r="E432" s="215"/>
      <c r="H432" s="199">
        <v>2548</v>
      </c>
    </row>
    <row r="433" spans="2:8" x14ac:dyDescent="0.2">
      <c r="B433" s="207"/>
      <c r="E433" s="215"/>
    </row>
    <row r="434" spans="2:8" x14ac:dyDescent="0.2">
      <c r="B434" s="207"/>
      <c r="E434" s="215"/>
      <c r="H434" s="199">
        <v>2549</v>
      </c>
    </row>
    <row r="435" spans="2:8" x14ac:dyDescent="0.2">
      <c r="B435" s="207"/>
      <c r="E435" s="215"/>
    </row>
    <row r="436" spans="2:8" x14ac:dyDescent="0.2">
      <c r="B436" s="207"/>
      <c r="E436" s="215"/>
      <c r="H436" s="199">
        <v>2550</v>
      </c>
    </row>
    <row r="437" spans="2:8" x14ac:dyDescent="0.2">
      <c r="B437" s="207"/>
      <c r="E437" s="215"/>
    </row>
    <row r="438" spans="2:8" x14ac:dyDescent="0.2">
      <c r="B438" s="207"/>
      <c r="E438" s="215"/>
      <c r="H438" s="199">
        <v>2551</v>
      </c>
    </row>
    <row r="439" spans="2:8" x14ac:dyDescent="0.2">
      <c r="B439" s="207"/>
      <c r="E439" s="215"/>
    </row>
    <row r="440" spans="2:8" x14ac:dyDescent="0.2">
      <c r="B440" s="207"/>
      <c r="E440" s="215"/>
      <c r="H440" s="199">
        <v>2552</v>
      </c>
    </row>
    <row r="441" spans="2:8" x14ac:dyDescent="0.2">
      <c r="B441" s="207"/>
      <c r="E441" s="215"/>
    </row>
    <row r="442" spans="2:8" x14ac:dyDescent="0.2">
      <c r="B442" s="207"/>
      <c r="E442" s="215"/>
      <c r="H442" s="199">
        <v>2553</v>
      </c>
    </row>
    <row r="443" spans="2:8" x14ac:dyDescent="0.2">
      <c r="B443" s="207"/>
      <c r="E443" s="215"/>
    </row>
  </sheetData>
  <printOptions horizontalCentered="1"/>
  <pageMargins left="0.7" right="0.7" top="0.75" bottom="0.75" header="0.3" footer="0.3"/>
  <pageSetup paperSize="9" scale="12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0B786-25AA-42DF-AFF3-61D43BEB7994}">
  <dimension ref="A1:P350"/>
  <sheetViews>
    <sheetView topLeftCell="D303" zoomScaleNormal="100" workbookViewId="0">
      <selection activeCell="L317" sqref="L317"/>
    </sheetView>
  </sheetViews>
  <sheetFormatPr defaultRowHeight="12.75" x14ac:dyDescent="0.2"/>
  <cols>
    <col min="1" max="1" width="4" bestFit="1" customWidth="1"/>
    <col min="2" max="2" width="11.7109375" customWidth="1"/>
    <col min="4" max="4" width="29.42578125" customWidth="1"/>
    <col min="5" max="6" width="18.7109375" style="3" customWidth="1"/>
    <col min="7" max="7" width="13.28515625" customWidth="1"/>
    <col min="8" max="10" width="17.85546875" customWidth="1"/>
    <col min="11" max="11" width="13.28515625" customWidth="1"/>
    <col min="12" max="14" width="17.85546875" customWidth="1"/>
    <col min="15" max="15" width="8.85546875" customWidth="1"/>
    <col min="16" max="16" width="14.140625" style="320" bestFit="1" customWidth="1"/>
  </cols>
  <sheetData>
    <row r="1" spans="1:16" ht="15" customHeight="1" x14ac:dyDescent="0.2">
      <c r="A1" s="376" t="s">
        <v>122</v>
      </c>
      <c r="B1" s="377" t="s">
        <v>123</v>
      </c>
      <c r="C1" s="377" t="s">
        <v>124</v>
      </c>
      <c r="D1" s="378" t="s">
        <v>125</v>
      </c>
      <c r="E1" s="379" t="s">
        <v>96</v>
      </c>
      <c r="F1" s="379" t="s">
        <v>1385</v>
      </c>
      <c r="G1" s="380" t="s">
        <v>503</v>
      </c>
      <c r="H1" s="370" t="s">
        <v>504</v>
      </c>
      <c r="I1" s="370" t="s">
        <v>505</v>
      </c>
      <c r="J1" s="370" t="s">
        <v>611</v>
      </c>
      <c r="K1" s="370" t="s">
        <v>692</v>
      </c>
      <c r="L1" s="370" t="s">
        <v>506</v>
      </c>
      <c r="M1" s="370" t="s">
        <v>1388</v>
      </c>
      <c r="N1" s="370" t="s">
        <v>507</v>
      </c>
      <c r="O1" s="370" t="s">
        <v>1386</v>
      </c>
      <c r="P1" s="373" t="s">
        <v>1387</v>
      </c>
    </row>
    <row r="2" spans="1:16" ht="12.75" customHeight="1" x14ac:dyDescent="0.2">
      <c r="A2" s="376"/>
      <c r="B2" s="377"/>
      <c r="C2" s="377"/>
      <c r="D2" s="378"/>
      <c r="E2" s="379"/>
      <c r="F2" s="379"/>
      <c r="G2" s="380"/>
      <c r="H2" s="371"/>
      <c r="I2" s="371"/>
      <c r="J2" s="371"/>
      <c r="K2" s="371"/>
      <c r="L2" s="371"/>
      <c r="M2" s="371"/>
      <c r="N2" s="371"/>
      <c r="O2" s="371"/>
      <c r="P2" s="374"/>
    </row>
    <row r="3" spans="1:16" ht="13.15" customHeight="1" x14ac:dyDescent="0.2">
      <c r="A3" s="376"/>
      <c r="B3" s="377"/>
      <c r="C3" s="377"/>
      <c r="D3" s="378"/>
      <c r="E3" s="379"/>
      <c r="F3" s="379"/>
      <c r="G3" s="380"/>
      <c r="H3" s="41">
        <f>SHU!C21</f>
        <v>37602869.420602068</v>
      </c>
      <c r="I3" s="372"/>
      <c r="J3" s="372"/>
      <c r="K3" s="372"/>
      <c r="L3" s="41">
        <f>SHU!D19</f>
        <v>57280304.130903095</v>
      </c>
      <c r="M3" s="324">
        <f>SHU!C20</f>
        <v>584000</v>
      </c>
      <c r="N3" s="372"/>
      <c r="O3" s="372"/>
      <c r="P3" s="375"/>
    </row>
    <row r="4" spans="1:16" x14ac:dyDescent="0.2">
      <c r="A4" s="1">
        <v>1</v>
      </c>
      <c r="B4" s="1" t="s">
        <v>126</v>
      </c>
      <c r="C4" s="1">
        <v>34000095</v>
      </c>
      <c r="D4" s="1" t="s">
        <v>127</v>
      </c>
      <c r="E4" s="314">
        <v>11750000</v>
      </c>
      <c r="F4" s="314">
        <v>0</v>
      </c>
      <c r="G4" s="42">
        <f t="shared" ref="G4:G67" si="0">(E4+F4)/$E$346</f>
        <v>3.9549639004358879E-3</v>
      </c>
      <c r="H4" s="43">
        <f t="shared" ref="H4:H67" si="1">G4*$H$3</f>
        <v>148717.99111128572</v>
      </c>
      <c r="I4" s="43">
        <v>0</v>
      </c>
      <c r="J4" s="43">
        <v>2486000</v>
      </c>
      <c r="K4" s="42">
        <f t="shared" ref="K4:K67" si="2">(I4+J4)/($I$345+$J$345)</f>
        <v>6.8706192624195242E-3</v>
      </c>
      <c r="L4" s="43">
        <f t="shared" ref="L4:L67" si="3">K4*$L$3</f>
        <v>393551.16091903142</v>
      </c>
      <c r="M4" s="43">
        <v>8000</v>
      </c>
      <c r="N4" s="44">
        <f>H4+L4+M4</f>
        <v>550269.15203031711</v>
      </c>
      <c r="O4" s="321">
        <f>P4-N4</f>
        <v>730.8479696828872</v>
      </c>
      <c r="P4" s="322">
        <f>ROUNDUP(N4,-3)</f>
        <v>551000</v>
      </c>
    </row>
    <row r="5" spans="1:16" x14ac:dyDescent="0.2">
      <c r="A5" s="1">
        <v>2</v>
      </c>
      <c r="B5" s="1" t="s">
        <v>128</v>
      </c>
      <c r="C5" s="1">
        <v>34000484</v>
      </c>
      <c r="D5" s="1" t="s">
        <v>129</v>
      </c>
      <c r="E5" s="314">
        <v>11950000</v>
      </c>
      <c r="F5" s="314">
        <v>100000</v>
      </c>
      <c r="G5" s="42">
        <f t="shared" si="0"/>
        <v>4.0559417021491439E-3</v>
      </c>
      <c r="H5" s="43">
        <f t="shared" si="1"/>
        <v>152515.04620348875</v>
      </c>
      <c r="I5" s="43">
        <v>1410000</v>
      </c>
      <c r="J5" s="43">
        <v>3379552.5</v>
      </c>
      <c r="K5" s="42">
        <f t="shared" si="2"/>
        <v>1.3237003887719062E-2</v>
      </c>
      <c r="L5" s="43">
        <f t="shared" si="3"/>
        <v>758219.60847049451</v>
      </c>
      <c r="M5" s="43">
        <v>0</v>
      </c>
      <c r="N5" s="44">
        <f t="shared" ref="N5:N68" si="4">H5+L5+M5</f>
        <v>910734.65467398323</v>
      </c>
      <c r="O5" s="321">
        <f t="shared" ref="O5:O68" si="5">P5-N5</f>
        <v>265.34532601677347</v>
      </c>
      <c r="P5" s="322">
        <f t="shared" ref="P5:P68" si="6">ROUNDUP(N5,-3)</f>
        <v>911000</v>
      </c>
    </row>
    <row r="6" spans="1:16" x14ac:dyDescent="0.2">
      <c r="A6" s="1">
        <v>3</v>
      </c>
      <c r="B6" s="1" t="s">
        <v>130</v>
      </c>
      <c r="C6" s="1">
        <v>34000653</v>
      </c>
      <c r="D6" s="1" t="s">
        <v>131</v>
      </c>
      <c r="E6" s="314">
        <v>12450000</v>
      </c>
      <c r="F6" s="314">
        <v>0</v>
      </c>
      <c r="G6" s="42">
        <f t="shared" si="0"/>
        <v>4.1905787711001528E-3</v>
      </c>
      <c r="H6" s="43">
        <f t="shared" si="1"/>
        <v>157577.78632642614</v>
      </c>
      <c r="I6" s="43">
        <v>1920000</v>
      </c>
      <c r="J6" s="43">
        <v>1489500</v>
      </c>
      <c r="K6" s="42">
        <f t="shared" si="2"/>
        <v>9.4229188959048145E-3</v>
      </c>
      <c r="L6" s="43">
        <f t="shared" si="3"/>
        <v>539747.66015826142</v>
      </c>
      <c r="M6" s="43">
        <v>0</v>
      </c>
      <c r="N6" s="44">
        <f t="shared" si="4"/>
        <v>697325.44648468751</v>
      </c>
      <c r="O6" s="321">
        <f t="shared" si="5"/>
        <v>674.55351531249471</v>
      </c>
      <c r="P6" s="322">
        <f t="shared" si="6"/>
        <v>698000</v>
      </c>
    </row>
    <row r="7" spans="1:16" x14ac:dyDescent="0.2">
      <c r="A7" s="1">
        <v>4</v>
      </c>
      <c r="B7" s="1" t="s">
        <v>132</v>
      </c>
      <c r="C7" s="1">
        <v>34000257</v>
      </c>
      <c r="D7" s="1" t="s">
        <v>133</v>
      </c>
      <c r="E7" s="314">
        <v>12450000</v>
      </c>
      <c r="F7" s="314">
        <v>100000</v>
      </c>
      <c r="G7" s="42">
        <f t="shared" si="0"/>
        <v>4.2242380383379057E-3</v>
      </c>
      <c r="H7" s="43">
        <f t="shared" si="1"/>
        <v>158843.47135716051</v>
      </c>
      <c r="I7" s="43">
        <v>0</v>
      </c>
      <c r="J7" s="43">
        <v>0</v>
      </c>
      <c r="K7" s="42">
        <f t="shared" si="2"/>
        <v>0</v>
      </c>
      <c r="L7" s="43">
        <f t="shared" si="3"/>
        <v>0</v>
      </c>
      <c r="M7" s="43">
        <v>8000</v>
      </c>
      <c r="N7" s="44">
        <f t="shared" si="4"/>
        <v>166843.47135716051</v>
      </c>
      <c r="O7" s="321">
        <f t="shared" si="5"/>
        <v>156.5286428394902</v>
      </c>
      <c r="P7" s="322">
        <f t="shared" si="6"/>
        <v>167000</v>
      </c>
    </row>
    <row r="8" spans="1:16" x14ac:dyDescent="0.2">
      <c r="A8" s="1">
        <v>5</v>
      </c>
      <c r="B8" s="1" t="s">
        <v>134</v>
      </c>
      <c r="C8" s="1">
        <v>34000570</v>
      </c>
      <c r="D8" s="1" t="s">
        <v>135</v>
      </c>
      <c r="E8" s="314">
        <v>12450000</v>
      </c>
      <c r="F8" s="314">
        <v>0</v>
      </c>
      <c r="G8" s="42">
        <f t="shared" si="0"/>
        <v>4.1905787711001528E-3</v>
      </c>
      <c r="H8" s="43">
        <f t="shared" si="1"/>
        <v>157577.78632642614</v>
      </c>
      <c r="I8" s="43">
        <v>1116000</v>
      </c>
      <c r="J8" s="43">
        <v>0</v>
      </c>
      <c r="K8" s="42">
        <f t="shared" si="2"/>
        <v>3.0843166117699877E-3</v>
      </c>
      <c r="L8" s="43">
        <f t="shared" si="3"/>
        <v>176670.59355818146</v>
      </c>
      <c r="M8" s="43">
        <v>0</v>
      </c>
      <c r="N8" s="44">
        <f t="shared" si="4"/>
        <v>334248.37988460762</v>
      </c>
      <c r="O8" s="321">
        <f t="shared" si="5"/>
        <v>751.62011539237574</v>
      </c>
      <c r="P8" s="322">
        <f t="shared" si="6"/>
        <v>335000</v>
      </c>
    </row>
    <row r="9" spans="1:16" x14ac:dyDescent="0.2">
      <c r="A9" s="1">
        <v>6</v>
      </c>
      <c r="B9" s="1" t="s">
        <v>136</v>
      </c>
      <c r="C9" s="1">
        <v>34000215</v>
      </c>
      <c r="D9" s="1" t="s">
        <v>137</v>
      </c>
      <c r="E9" s="314">
        <v>12450000</v>
      </c>
      <c r="F9" s="314">
        <v>21600000</v>
      </c>
      <c r="G9" s="42">
        <f t="shared" si="0"/>
        <v>1.1460980494454636E-2</v>
      </c>
      <c r="H9" s="43">
        <f t="shared" si="1"/>
        <v>430965.75296504499</v>
      </c>
      <c r="I9" s="43">
        <v>0</v>
      </c>
      <c r="J9" s="43">
        <v>1700000.0000000002</v>
      </c>
      <c r="K9" s="42">
        <f t="shared" si="2"/>
        <v>4.698331756280448E-3</v>
      </c>
      <c r="L9" s="43">
        <f t="shared" si="3"/>
        <v>269121.87190762413</v>
      </c>
      <c r="M9" s="43">
        <v>8000</v>
      </c>
      <c r="N9" s="44">
        <f t="shared" si="4"/>
        <v>708087.62487266911</v>
      </c>
      <c r="O9" s="321">
        <f t="shared" si="5"/>
        <v>912.37512733088806</v>
      </c>
      <c r="P9" s="322">
        <f t="shared" si="6"/>
        <v>709000</v>
      </c>
    </row>
    <row r="10" spans="1:16" x14ac:dyDescent="0.2">
      <c r="A10" s="1">
        <v>7</v>
      </c>
      <c r="B10" s="1" t="s">
        <v>138</v>
      </c>
      <c r="C10" s="1">
        <v>34000203</v>
      </c>
      <c r="D10" s="1" t="s">
        <v>140</v>
      </c>
      <c r="E10" s="314">
        <v>12350000</v>
      </c>
      <c r="F10" s="314">
        <v>100000</v>
      </c>
      <c r="G10" s="42">
        <f t="shared" si="0"/>
        <v>4.1905787711001528E-3</v>
      </c>
      <c r="H10" s="43">
        <f t="shared" si="1"/>
        <v>157577.78632642614</v>
      </c>
      <c r="I10" s="43">
        <v>1035000</v>
      </c>
      <c r="J10" s="314">
        <v>1841125</v>
      </c>
      <c r="K10" s="42">
        <f t="shared" si="2"/>
        <v>7.9488173073718246E-3</v>
      </c>
      <c r="L10" s="43">
        <f t="shared" si="3"/>
        <v>455310.67284724436</v>
      </c>
      <c r="M10" s="43">
        <v>0</v>
      </c>
      <c r="N10" s="44">
        <f t="shared" si="4"/>
        <v>612888.4591736705</v>
      </c>
      <c r="O10" s="321">
        <f t="shared" si="5"/>
        <v>111.54082632949576</v>
      </c>
      <c r="P10" s="322">
        <f t="shared" si="6"/>
        <v>613000</v>
      </c>
    </row>
    <row r="11" spans="1:16" x14ac:dyDescent="0.2">
      <c r="A11" s="1">
        <v>8</v>
      </c>
      <c r="B11" s="1" t="s">
        <v>141</v>
      </c>
      <c r="C11" s="1">
        <v>34000171</v>
      </c>
      <c r="D11" s="1" t="s">
        <v>142</v>
      </c>
      <c r="E11" s="314">
        <v>12450000</v>
      </c>
      <c r="F11" s="314">
        <v>0</v>
      </c>
      <c r="G11" s="42">
        <f t="shared" si="0"/>
        <v>4.1905787711001528E-3</v>
      </c>
      <c r="H11" s="43">
        <f t="shared" si="1"/>
        <v>157577.78632642614</v>
      </c>
      <c r="I11" s="43">
        <v>0</v>
      </c>
      <c r="J11" s="43">
        <v>0</v>
      </c>
      <c r="K11" s="42">
        <f t="shared" si="2"/>
        <v>0</v>
      </c>
      <c r="L11" s="43">
        <f t="shared" si="3"/>
        <v>0</v>
      </c>
      <c r="M11" s="43">
        <v>0</v>
      </c>
      <c r="N11" s="44">
        <f t="shared" si="4"/>
        <v>157577.78632642614</v>
      </c>
      <c r="O11" s="321">
        <f t="shared" si="5"/>
        <v>422.21367357386043</v>
      </c>
      <c r="P11" s="322">
        <f t="shared" si="6"/>
        <v>158000</v>
      </c>
    </row>
    <row r="12" spans="1:16" x14ac:dyDescent="0.2">
      <c r="A12" s="1">
        <v>9</v>
      </c>
      <c r="B12" s="1" t="s">
        <v>143</v>
      </c>
      <c r="C12" s="1">
        <v>34000511</v>
      </c>
      <c r="D12" s="1" t="s">
        <v>145</v>
      </c>
      <c r="E12" s="314">
        <v>12150000</v>
      </c>
      <c r="F12" s="314">
        <v>0</v>
      </c>
      <c r="G12" s="42">
        <f t="shared" si="0"/>
        <v>4.0896009693868968E-3</v>
      </c>
      <c r="H12" s="43">
        <f t="shared" si="1"/>
        <v>153780.73123422312</v>
      </c>
      <c r="I12" s="43">
        <v>0</v>
      </c>
      <c r="J12" s="43">
        <v>0</v>
      </c>
      <c r="K12" s="42">
        <f t="shared" si="2"/>
        <v>0</v>
      </c>
      <c r="L12" s="43">
        <f t="shared" si="3"/>
        <v>0</v>
      </c>
      <c r="M12" s="43">
        <v>0</v>
      </c>
      <c r="N12" s="44">
        <f t="shared" si="4"/>
        <v>153780.73123422312</v>
      </c>
      <c r="O12" s="321">
        <f t="shared" si="5"/>
        <v>219.26876577688381</v>
      </c>
      <c r="P12" s="322">
        <f t="shared" si="6"/>
        <v>154000</v>
      </c>
    </row>
    <row r="13" spans="1:16" x14ac:dyDescent="0.2">
      <c r="A13" s="1">
        <v>10</v>
      </c>
      <c r="B13" s="1" t="s">
        <v>146</v>
      </c>
      <c r="C13" s="1">
        <v>34000004</v>
      </c>
      <c r="D13" s="1" t="s">
        <v>147</v>
      </c>
      <c r="E13" s="314">
        <v>12450000</v>
      </c>
      <c r="F13" s="314">
        <v>0</v>
      </c>
      <c r="G13" s="42">
        <f t="shared" si="0"/>
        <v>4.1905787711001528E-3</v>
      </c>
      <c r="H13" s="43">
        <f t="shared" si="1"/>
        <v>157577.78632642614</v>
      </c>
      <c r="I13" s="43">
        <v>1200000</v>
      </c>
      <c r="J13" s="43">
        <v>2855250</v>
      </c>
      <c r="K13" s="42">
        <f t="shared" si="2"/>
        <v>1.1207594032150756E-2</v>
      </c>
      <c r="L13" s="43">
        <f t="shared" si="3"/>
        <v>641974.39473728975</v>
      </c>
      <c r="M13" s="43">
        <v>8000</v>
      </c>
      <c r="N13" s="44">
        <f t="shared" si="4"/>
        <v>807552.18106371583</v>
      </c>
      <c r="O13" s="321">
        <f t="shared" si="5"/>
        <v>447.81893628416583</v>
      </c>
      <c r="P13" s="322">
        <f t="shared" si="6"/>
        <v>808000</v>
      </c>
    </row>
    <row r="14" spans="1:16" x14ac:dyDescent="0.2">
      <c r="A14" s="1">
        <v>11</v>
      </c>
      <c r="B14" s="1" t="s">
        <v>148</v>
      </c>
      <c r="C14" s="1">
        <v>34000623</v>
      </c>
      <c r="D14" s="1" t="s">
        <v>149</v>
      </c>
      <c r="E14" s="314">
        <v>12450000</v>
      </c>
      <c r="F14" s="314">
        <v>0</v>
      </c>
      <c r="G14" s="42">
        <f t="shared" si="0"/>
        <v>4.1905787711001528E-3</v>
      </c>
      <c r="H14" s="43">
        <f t="shared" si="1"/>
        <v>157577.78632642614</v>
      </c>
      <c r="I14" s="43">
        <v>0</v>
      </c>
      <c r="J14" s="43">
        <v>0</v>
      </c>
      <c r="K14" s="42">
        <f t="shared" si="2"/>
        <v>0</v>
      </c>
      <c r="L14" s="43">
        <f t="shared" si="3"/>
        <v>0</v>
      </c>
      <c r="M14" s="43">
        <v>0</v>
      </c>
      <c r="N14" s="44">
        <f t="shared" si="4"/>
        <v>157577.78632642614</v>
      </c>
      <c r="O14" s="321">
        <f t="shared" si="5"/>
        <v>422.21367357386043</v>
      </c>
      <c r="P14" s="322">
        <f t="shared" si="6"/>
        <v>158000</v>
      </c>
    </row>
    <row r="15" spans="1:16" x14ac:dyDescent="0.2">
      <c r="A15" s="1">
        <v>12</v>
      </c>
      <c r="B15" s="1" t="s">
        <v>150</v>
      </c>
      <c r="C15" s="1">
        <v>34000656</v>
      </c>
      <c r="D15" s="1" t="s">
        <v>151</v>
      </c>
      <c r="E15" s="314">
        <v>12450000</v>
      </c>
      <c r="F15" s="314">
        <v>0</v>
      </c>
      <c r="G15" s="42">
        <f t="shared" si="0"/>
        <v>4.1905787711001528E-3</v>
      </c>
      <c r="H15" s="43">
        <f t="shared" si="1"/>
        <v>157577.78632642614</v>
      </c>
      <c r="I15" s="43">
        <v>0</v>
      </c>
      <c r="J15" s="43">
        <v>0</v>
      </c>
      <c r="K15" s="42">
        <f t="shared" si="2"/>
        <v>0</v>
      </c>
      <c r="L15" s="43">
        <f t="shared" si="3"/>
        <v>0</v>
      </c>
      <c r="M15" s="43">
        <v>8000</v>
      </c>
      <c r="N15" s="44">
        <f t="shared" si="4"/>
        <v>165577.78632642614</v>
      </c>
      <c r="O15" s="321">
        <f t="shared" si="5"/>
        <v>422.21367357386043</v>
      </c>
      <c r="P15" s="322">
        <f t="shared" si="6"/>
        <v>166000</v>
      </c>
    </row>
    <row r="16" spans="1:16" x14ac:dyDescent="0.2">
      <c r="A16" s="1">
        <v>13</v>
      </c>
      <c r="B16" s="1" t="s">
        <v>152</v>
      </c>
      <c r="C16" s="1">
        <v>34000130</v>
      </c>
      <c r="D16" s="1" t="s">
        <v>153</v>
      </c>
      <c r="E16" s="314">
        <v>12450000</v>
      </c>
      <c r="F16" s="314">
        <v>0</v>
      </c>
      <c r="G16" s="42">
        <f t="shared" si="0"/>
        <v>4.1905787711001528E-3</v>
      </c>
      <c r="H16" s="43">
        <f t="shared" si="1"/>
        <v>157577.78632642614</v>
      </c>
      <c r="I16" s="43">
        <v>0</v>
      </c>
      <c r="J16" s="43">
        <v>0</v>
      </c>
      <c r="K16" s="42">
        <f t="shared" si="2"/>
        <v>0</v>
      </c>
      <c r="L16" s="43">
        <f t="shared" si="3"/>
        <v>0</v>
      </c>
      <c r="M16" s="43">
        <v>0</v>
      </c>
      <c r="N16" s="44">
        <f t="shared" si="4"/>
        <v>157577.78632642614</v>
      </c>
      <c r="O16" s="321">
        <f t="shared" si="5"/>
        <v>422.21367357386043</v>
      </c>
      <c r="P16" s="322">
        <f t="shared" si="6"/>
        <v>158000</v>
      </c>
    </row>
    <row r="17" spans="1:16" x14ac:dyDescent="0.2">
      <c r="A17" s="1">
        <v>14</v>
      </c>
      <c r="B17" s="1" t="s">
        <v>154</v>
      </c>
      <c r="C17" s="1">
        <v>34000692</v>
      </c>
      <c r="D17" s="1" t="s">
        <v>155</v>
      </c>
      <c r="E17" s="314">
        <v>12350000</v>
      </c>
      <c r="F17" s="314">
        <v>150000</v>
      </c>
      <c r="G17" s="42">
        <f t="shared" si="0"/>
        <v>4.2074084047190293E-3</v>
      </c>
      <c r="H17" s="43">
        <f t="shared" si="1"/>
        <v>158210.62884179331</v>
      </c>
      <c r="I17" s="43">
        <v>2210000.0000000005</v>
      </c>
      <c r="J17" s="43">
        <v>780000</v>
      </c>
      <c r="K17" s="42">
        <f t="shared" si="2"/>
        <v>8.2635364419285529E-3</v>
      </c>
      <c r="L17" s="43">
        <f t="shared" si="3"/>
        <v>473337.88059046835</v>
      </c>
      <c r="M17" s="43">
        <v>8000</v>
      </c>
      <c r="N17" s="44">
        <f t="shared" si="4"/>
        <v>639548.50943226169</v>
      </c>
      <c r="O17" s="321">
        <f t="shared" si="5"/>
        <v>451.49056773830671</v>
      </c>
      <c r="P17" s="322">
        <f t="shared" si="6"/>
        <v>640000</v>
      </c>
    </row>
    <row r="18" spans="1:16" x14ac:dyDescent="0.2">
      <c r="A18" s="1">
        <v>15</v>
      </c>
      <c r="B18" s="1" t="s">
        <v>156</v>
      </c>
      <c r="C18" s="1">
        <v>34000514</v>
      </c>
      <c r="D18" s="1" t="s">
        <v>694</v>
      </c>
      <c r="E18" s="314">
        <v>12350000</v>
      </c>
      <c r="F18" s="314">
        <v>0</v>
      </c>
      <c r="G18" s="42">
        <f t="shared" si="0"/>
        <v>4.1569195038624008E-3</v>
      </c>
      <c r="H18" s="43">
        <f t="shared" si="1"/>
        <v>156312.1012956918</v>
      </c>
      <c r="I18" s="43">
        <v>1530000</v>
      </c>
      <c r="J18" s="43">
        <v>2762500</v>
      </c>
      <c r="K18" s="42">
        <f t="shared" si="2"/>
        <v>1.1863287684608129E-2</v>
      </c>
      <c r="L18" s="43">
        <f t="shared" si="3"/>
        <v>679532.72656675079</v>
      </c>
      <c r="M18" s="43">
        <v>0</v>
      </c>
      <c r="N18" s="44">
        <f t="shared" si="4"/>
        <v>835844.82786244259</v>
      </c>
      <c r="O18" s="321">
        <f t="shared" si="5"/>
        <v>155.1721375574125</v>
      </c>
      <c r="P18" s="322">
        <f t="shared" si="6"/>
        <v>836000</v>
      </c>
    </row>
    <row r="19" spans="1:16" x14ac:dyDescent="0.2">
      <c r="A19" s="1">
        <v>16</v>
      </c>
      <c r="B19" s="1" t="s">
        <v>157</v>
      </c>
      <c r="C19" s="1">
        <v>34000392</v>
      </c>
      <c r="D19" s="1" t="s">
        <v>158</v>
      </c>
      <c r="E19" s="314">
        <v>12350000</v>
      </c>
      <c r="F19" s="314">
        <v>0</v>
      </c>
      <c r="G19" s="42">
        <f t="shared" si="0"/>
        <v>4.1569195038624008E-3</v>
      </c>
      <c r="H19" s="43">
        <f t="shared" si="1"/>
        <v>156312.1012956918</v>
      </c>
      <c r="I19" s="43">
        <v>0</v>
      </c>
      <c r="J19" s="43">
        <v>0</v>
      </c>
      <c r="K19" s="42">
        <f t="shared" si="2"/>
        <v>0</v>
      </c>
      <c r="L19" s="43">
        <f t="shared" si="3"/>
        <v>0</v>
      </c>
      <c r="M19" s="43">
        <v>0</v>
      </c>
      <c r="N19" s="44">
        <f t="shared" si="4"/>
        <v>156312.1012956918</v>
      </c>
      <c r="O19" s="321">
        <f t="shared" si="5"/>
        <v>687.89870430820156</v>
      </c>
      <c r="P19" s="322">
        <f t="shared" si="6"/>
        <v>157000</v>
      </c>
    </row>
    <row r="20" spans="1:16" x14ac:dyDescent="0.2">
      <c r="A20" s="1">
        <v>17</v>
      </c>
      <c r="B20" s="1" t="s">
        <v>159</v>
      </c>
      <c r="C20" s="1">
        <v>34000510</v>
      </c>
      <c r="D20" s="1" t="s">
        <v>160</v>
      </c>
      <c r="E20" s="314">
        <v>12350000</v>
      </c>
      <c r="F20" s="314">
        <v>0</v>
      </c>
      <c r="G20" s="42">
        <f t="shared" si="0"/>
        <v>4.1569195038624008E-3</v>
      </c>
      <c r="H20" s="43">
        <f t="shared" si="1"/>
        <v>156312.1012956918</v>
      </c>
      <c r="I20" s="43">
        <v>888000</v>
      </c>
      <c r="J20" s="43">
        <v>0</v>
      </c>
      <c r="K20" s="42">
        <f t="shared" si="2"/>
        <v>2.4541874115159043E-3</v>
      </c>
      <c r="L20" s="43">
        <f t="shared" si="3"/>
        <v>140576.60132586482</v>
      </c>
      <c r="M20" s="43">
        <v>8000</v>
      </c>
      <c r="N20" s="44">
        <f t="shared" si="4"/>
        <v>304888.70262155659</v>
      </c>
      <c r="O20" s="321">
        <f t="shared" si="5"/>
        <v>111.29737844341435</v>
      </c>
      <c r="P20" s="322">
        <f t="shared" si="6"/>
        <v>305000</v>
      </c>
    </row>
    <row r="21" spans="1:16" x14ac:dyDescent="0.2">
      <c r="A21" s="1">
        <v>18</v>
      </c>
      <c r="B21" s="1" t="s">
        <v>161</v>
      </c>
      <c r="C21" s="1">
        <v>34000469</v>
      </c>
      <c r="D21" s="1" t="s">
        <v>162</v>
      </c>
      <c r="E21" s="314">
        <v>11650000</v>
      </c>
      <c r="F21" s="314">
        <v>0</v>
      </c>
      <c r="G21" s="42">
        <f t="shared" si="0"/>
        <v>3.921304633198135E-3</v>
      </c>
      <c r="H21" s="43">
        <f t="shared" si="1"/>
        <v>147452.30608055135</v>
      </c>
      <c r="I21" s="43">
        <v>1050000</v>
      </c>
      <c r="J21" s="43">
        <v>0</v>
      </c>
      <c r="K21" s="42">
        <f t="shared" si="2"/>
        <v>2.9019107906438058E-3</v>
      </c>
      <c r="L21" s="43">
        <f t="shared" si="3"/>
        <v>166222.33264882665</v>
      </c>
      <c r="M21" s="43">
        <v>0</v>
      </c>
      <c r="N21" s="44">
        <f t="shared" si="4"/>
        <v>313674.638729378</v>
      </c>
      <c r="O21" s="321">
        <f t="shared" si="5"/>
        <v>325.36127062200103</v>
      </c>
      <c r="P21" s="322">
        <f t="shared" si="6"/>
        <v>314000</v>
      </c>
    </row>
    <row r="22" spans="1:16" x14ac:dyDescent="0.2">
      <c r="A22" s="1">
        <v>19</v>
      </c>
      <c r="B22" s="1" t="s">
        <v>163</v>
      </c>
      <c r="C22" s="1">
        <v>34000158</v>
      </c>
      <c r="D22" s="1" t="s">
        <v>164</v>
      </c>
      <c r="E22" s="314">
        <v>12350000</v>
      </c>
      <c r="F22" s="314">
        <v>0</v>
      </c>
      <c r="G22" s="42">
        <f t="shared" si="0"/>
        <v>4.1569195038624008E-3</v>
      </c>
      <c r="H22" s="43">
        <f t="shared" si="1"/>
        <v>156312.1012956918</v>
      </c>
      <c r="I22" s="43">
        <v>0</v>
      </c>
      <c r="J22" s="43">
        <v>0</v>
      </c>
      <c r="K22" s="42">
        <f t="shared" si="2"/>
        <v>0</v>
      </c>
      <c r="L22" s="43">
        <f t="shared" si="3"/>
        <v>0</v>
      </c>
      <c r="M22" s="43">
        <v>0</v>
      </c>
      <c r="N22" s="44">
        <f t="shared" si="4"/>
        <v>156312.1012956918</v>
      </c>
      <c r="O22" s="321">
        <f t="shared" si="5"/>
        <v>687.89870430820156</v>
      </c>
      <c r="P22" s="322">
        <f t="shared" si="6"/>
        <v>157000</v>
      </c>
    </row>
    <row r="23" spans="1:16" x14ac:dyDescent="0.2">
      <c r="A23" s="1">
        <v>20</v>
      </c>
      <c r="B23" s="1" t="s">
        <v>165</v>
      </c>
      <c r="C23" s="1">
        <v>34000346</v>
      </c>
      <c r="D23" s="1" t="s">
        <v>166</v>
      </c>
      <c r="E23" s="314">
        <v>12250000</v>
      </c>
      <c r="F23" s="314">
        <v>0</v>
      </c>
      <c r="G23" s="42">
        <f t="shared" si="0"/>
        <v>4.1232602366246488E-3</v>
      </c>
      <c r="H23" s="43">
        <f t="shared" si="1"/>
        <v>155046.41626495746</v>
      </c>
      <c r="I23" s="43">
        <v>1145833.3333333333</v>
      </c>
      <c r="J23" s="43">
        <v>0</v>
      </c>
      <c r="K23" s="42">
        <f t="shared" si="2"/>
        <v>3.1667677278851051E-3</v>
      </c>
      <c r="L23" s="43">
        <f t="shared" si="3"/>
        <v>181393.41856518781</v>
      </c>
      <c r="M23" s="43">
        <v>0</v>
      </c>
      <c r="N23" s="44">
        <f t="shared" si="4"/>
        <v>336439.83483014524</v>
      </c>
      <c r="O23" s="321">
        <f t="shared" si="5"/>
        <v>560.16516985476483</v>
      </c>
      <c r="P23" s="322">
        <f t="shared" si="6"/>
        <v>337000</v>
      </c>
    </row>
    <row r="24" spans="1:16" x14ac:dyDescent="0.2">
      <c r="A24" s="1">
        <v>21</v>
      </c>
      <c r="B24" s="1" t="s">
        <v>167</v>
      </c>
      <c r="C24" s="1">
        <v>34000320</v>
      </c>
      <c r="D24" s="1" t="s">
        <v>168</v>
      </c>
      <c r="E24" s="314">
        <v>12350000</v>
      </c>
      <c r="F24" s="314">
        <v>0</v>
      </c>
      <c r="G24" s="42">
        <f t="shared" si="0"/>
        <v>4.1569195038624008E-3</v>
      </c>
      <c r="H24" s="43">
        <f t="shared" si="1"/>
        <v>156312.1012956918</v>
      </c>
      <c r="I24" s="43">
        <v>1350000</v>
      </c>
      <c r="J24" s="43">
        <v>2416666.666666667</v>
      </c>
      <c r="K24" s="42">
        <f t="shared" si="2"/>
        <v>1.0410029185484129E-2</v>
      </c>
      <c r="L24" s="43">
        <f t="shared" si="3"/>
        <v>596289.63775610831</v>
      </c>
      <c r="M24" s="43">
        <v>0</v>
      </c>
      <c r="N24" s="44">
        <f t="shared" si="4"/>
        <v>752601.7390518001</v>
      </c>
      <c r="O24" s="321">
        <f t="shared" si="5"/>
        <v>398.26094819989521</v>
      </c>
      <c r="P24" s="322">
        <f t="shared" si="6"/>
        <v>753000</v>
      </c>
    </row>
    <row r="25" spans="1:16" x14ac:dyDescent="0.2">
      <c r="A25" s="1">
        <v>22</v>
      </c>
      <c r="B25" s="1" t="s">
        <v>171</v>
      </c>
      <c r="C25" s="1">
        <v>34000625</v>
      </c>
      <c r="D25" s="1" t="s">
        <v>172</v>
      </c>
      <c r="E25" s="314">
        <v>12350000</v>
      </c>
      <c r="F25" s="314">
        <v>0</v>
      </c>
      <c r="G25" s="42">
        <f t="shared" si="0"/>
        <v>4.1569195038624008E-3</v>
      </c>
      <c r="H25" s="43">
        <f t="shared" si="1"/>
        <v>156312.1012956918</v>
      </c>
      <c r="I25" s="43">
        <v>1050000</v>
      </c>
      <c r="J25" s="43">
        <v>0</v>
      </c>
      <c r="K25" s="42">
        <f t="shared" si="2"/>
        <v>2.9019107906438058E-3</v>
      </c>
      <c r="L25" s="43">
        <f t="shared" si="3"/>
        <v>166222.33264882665</v>
      </c>
      <c r="M25" s="43">
        <v>0</v>
      </c>
      <c r="N25" s="44">
        <f t="shared" si="4"/>
        <v>322534.43394451845</v>
      </c>
      <c r="O25" s="321">
        <f t="shared" si="5"/>
        <v>465.56605548155494</v>
      </c>
      <c r="P25" s="322">
        <f t="shared" si="6"/>
        <v>323000</v>
      </c>
    </row>
    <row r="26" spans="1:16" x14ac:dyDescent="0.2">
      <c r="A26" s="1">
        <v>23</v>
      </c>
      <c r="B26" s="1" t="s">
        <v>175</v>
      </c>
      <c r="C26" s="1">
        <v>34000313</v>
      </c>
      <c r="D26" s="1" t="s">
        <v>176</v>
      </c>
      <c r="E26" s="314">
        <v>12350000</v>
      </c>
      <c r="F26" s="314">
        <v>0</v>
      </c>
      <c r="G26" s="42">
        <f t="shared" si="0"/>
        <v>4.1569195038624008E-3</v>
      </c>
      <c r="H26" s="43">
        <f t="shared" si="1"/>
        <v>156312.1012956918</v>
      </c>
      <c r="I26" s="43">
        <v>2267500</v>
      </c>
      <c r="J26" s="43">
        <v>1072500</v>
      </c>
      <c r="K26" s="42">
        <f t="shared" si="2"/>
        <v>9.2308400388098205E-3</v>
      </c>
      <c r="L26" s="43">
        <f t="shared" si="3"/>
        <v>528745.32480674388</v>
      </c>
      <c r="M26" s="43">
        <v>0</v>
      </c>
      <c r="N26" s="44">
        <f t="shared" si="4"/>
        <v>685057.42610243568</v>
      </c>
      <c r="O26" s="321">
        <f t="shared" si="5"/>
        <v>942.57389756431803</v>
      </c>
      <c r="P26" s="322">
        <f t="shared" si="6"/>
        <v>686000</v>
      </c>
    </row>
    <row r="27" spans="1:16" x14ac:dyDescent="0.2">
      <c r="A27" s="1">
        <v>24</v>
      </c>
      <c r="B27" s="1" t="s">
        <v>177</v>
      </c>
      <c r="C27" s="1">
        <v>34000405</v>
      </c>
      <c r="D27" s="1" t="s">
        <v>178</v>
      </c>
      <c r="E27" s="314">
        <v>12350000</v>
      </c>
      <c r="F27" s="314">
        <v>0</v>
      </c>
      <c r="G27" s="42">
        <f t="shared" si="0"/>
        <v>4.1569195038624008E-3</v>
      </c>
      <c r="H27" s="43">
        <f t="shared" si="1"/>
        <v>156312.1012956918</v>
      </c>
      <c r="I27" s="43">
        <v>112000</v>
      </c>
      <c r="J27" s="43">
        <v>1937583.3333333337</v>
      </c>
      <c r="K27" s="42">
        <f t="shared" si="2"/>
        <v>5.6644838012606677E-3</v>
      </c>
      <c r="L27" s="43">
        <f t="shared" si="3"/>
        <v>324463.3548807851</v>
      </c>
      <c r="M27" s="43">
        <v>0</v>
      </c>
      <c r="N27" s="44">
        <f t="shared" si="4"/>
        <v>480775.4561764769</v>
      </c>
      <c r="O27" s="321">
        <f t="shared" si="5"/>
        <v>224.54382352309767</v>
      </c>
      <c r="P27" s="322">
        <f t="shared" si="6"/>
        <v>481000</v>
      </c>
    </row>
    <row r="28" spans="1:16" x14ac:dyDescent="0.2">
      <c r="A28" s="1">
        <v>25</v>
      </c>
      <c r="B28" s="1" t="s">
        <v>179</v>
      </c>
      <c r="C28" s="1">
        <v>34000042</v>
      </c>
      <c r="D28" s="1" t="s">
        <v>180</v>
      </c>
      <c r="E28" s="314">
        <v>12350000</v>
      </c>
      <c r="F28" s="314">
        <v>0</v>
      </c>
      <c r="G28" s="42">
        <f t="shared" si="0"/>
        <v>4.1569195038624008E-3</v>
      </c>
      <c r="H28" s="43">
        <f t="shared" si="1"/>
        <v>156312.1012956918</v>
      </c>
      <c r="I28" s="43">
        <v>0</v>
      </c>
      <c r="J28" s="43">
        <v>0</v>
      </c>
      <c r="K28" s="42">
        <f t="shared" si="2"/>
        <v>0</v>
      </c>
      <c r="L28" s="43">
        <f t="shared" si="3"/>
        <v>0</v>
      </c>
      <c r="M28" s="43">
        <v>0</v>
      </c>
      <c r="N28" s="44">
        <f t="shared" si="4"/>
        <v>156312.1012956918</v>
      </c>
      <c r="O28" s="321">
        <f t="shared" si="5"/>
        <v>687.89870430820156</v>
      </c>
      <c r="P28" s="322">
        <f t="shared" si="6"/>
        <v>157000</v>
      </c>
    </row>
    <row r="29" spans="1:16" x14ac:dyDescent="0.2">
      <c r="A29" s="1">
        <v>26</v>
      </c>
      <c r="B29" s="1" t="s">
        <v>181</v>
      </c>
      <c r="C29" s="1">
        <v>34000148</v>
      </c>
      <c r="D29" s="1" t="s">
        <v>182</v>
      </c>
      <c r="E29" s="314">
        <v>12350000</v>
      </c>
      <c r="F29" s="314">
        <v>0</v>
      </c>
      <c r="G29" s="42">
        <f t="shared" si="0"/>
        <v>4.1569195038624008E-3</v>
      </c>
      <c r="H29" s="43">
        <f t="shared" si="1"/>
        <v>156312.1012956918</v>
      </c>
      <c r="I29" s="43">
        <v>416666.66666666669</v>
      </c>
      <c r="J29" s="43">
        <v>2772916.6666666674</v>
      </c>
      <c r="K29" s="42">
        <f t="shared" si="2"/>
        <v>8.8151298025310864E-3</v>
      </c>
      <c r="L29" s="43">
        <f t="shared" si="3"/>
        <v>504933.31604236836</v>
      </c>
      <c r="M29" s="43">
        <v>8000</v>
      </c>
      <c r="N29" s="44">
        <f t="shared" si="4"/>
        <v>669245.41733806022</v>
      </c>
      <c r="O29" s="321">
        <f t="shared" si="5"/>
        <v>754.58266193978488</v>
      </c>
      <c r="P29" s="322">
        <f t="shared" si="6"/>
        <v>670000</v>
      </c>
    </row>
    <row r="30" spans="1:16" x14ac:dyDescent="0.2">
      <c r="A30" s="1">
        <v>27</v>
      </c>
      <c r="B30" s="1" t="s">
        <v>183</v>
      </c>
      <c r="C30" s="1">
        <v>34000370</v>
      </c>
      <c r="D30" s="1" t="s">
        <v>184</v>
      </c>
      <c r="E30" s="314">
        <v>12350000</v>
      </c>
      <c r="F30" s="314">
        <v>0</v>
      </c>
      <c r="G30" s="42">
        <f t="shared" si="0"/>
        <v>4.1569195038624008E-3</v>
      </c>
      <c r="H30" s="43">
        <f t="shared" si="1"/>
        <v>156312.1012956918</v>
      </c>
      <c r="I30" s="43">
        <v>1455000</v>
      </c>
      <c r="J30" s="43">
        <v>0</v>
      </c>
      <c r="K30" s="42">
        <f t="shared" si="2"/>
        <v>4.0212192384635592E-3</v>
      </c>
      <c r="L30" s="43">
        <f t="shared" si="3"/>
        <v>230336.66095623121</v>
      </c>
      <c r="M30" s="43">
        <v>0</v>
      </c>
      <c r="N30" s="44">
        <f t="shared" si="4"/>
        <v>386648.76225192298</v>
      </c>
      <c r="O30" s="321">
        <f t="shared" si="5"/>
        <v>351.23774807702284</v>
      </c>
      <c r="P30" s="322">
        <f t="shared" si="6"/>
        <v>387000</v>
      </c>
    </row>
    <row r="31" spans="1:16" x14ac:dyDescent="0.2">
      <c r="A31" s="1">
        <v>28</v>
      </c>
      <c r="B31" s="1" t="s">
        <v>185</v>
      </c>
      <c r="C31" s="1">
        <v>34000517</v>
      </c>
      <c r="D31" s="1" t="s">
        <v>186</v>
      </c>
      <c r="E31" s="314">
        <v>12350000</v>
      </c>
      <c r="F31" s="314">
        <v>0</v>
      </c>
      <c r="G31" s="42">
        <f t="shared" si="0"/>
        <v>4.1569195038624008E-3</v>
      </c>
      <c r="H31" s="43">
        <f t="shared" si="1"/>
        <v>156312.1012956918</v>
      </c>
      <c r="I31" s="43">
        <v>612500</v>
      </c>
      <c r="J31" s="43">
        <v>0</v>
      </c>
      <c r="K31" s="42">
        <f t="shared" si="2"/>
        <v>1.69278129454222E-3</v>
      </c>
      <c r="L31" s="43">
        <f t="shared" si="3"/>
        <v>96963.02737848222</v>
      </c>
      <c r="M31" s="43">
        <v>0</v>
      </c>
      <c r="N31" s="44">
        <f t="shared" si="4"/>
        <v>253275.12867417402</v>
      </c>
      <c r="O31" s="321">
        <f t="shared" si="5"/>
        <v>724.87132582598133</v>
      </c>
      <c r="P31" s="322">
        <f t="shared" si="6"/>
        <v>254000</v>
      </c>
    </row>
    <row r="32" spans="1:16" x14ac:dyDescent="0.2">
      <c r="A32" s="1">
        <v>29</v>
      </c>
      <c r="B32" s="1" t="s">
        <v>187</v>
      </c>
      <c r="C32" s="1">
        <v>34000270</v>
      </c>
      <c r="D32" s="1" t="s">
        <v>188</v>
      </c>
      <c r="E32" s="314">
        <v>12350000</v>
      </c>
      <c r="F32" s="314">
        <v>0</v>
      </c>
      <c r="G32" s="42">
        <f t="shared" si="0"/>
        <v>4.1569195038624008E-3</v>
      </c>
      <c r="H32" s="43">
        <f t="shared" si="1"/>
        <v>156312.1012956918</v>
      </c>
      <c r="I32" s="43">
        <v>1620000</v>
      </c>
      <c r="J32" s="43">
        <v>0</v>
      </c>
      <c r="K32" s="42">
        <f t="shared" si="2"/>
        <v>4.4772337912790143E-3</v>
      </c>
      <c r="L32" s="43">
        <f t="shared" si="3"/>
        <v>256457.31322961824</v>
      </c>
      <c r="M32" s="43">
        <v>0</v>
      </c>
      <c r="N32" s="44">
        <f t="shared" si="4"/>
        <v>412769.41452531004</v>
      </c>
      <c r="O32" s="321">
        <f t="shared" si="5"/>
        <v>230.58547468995675</v>
      </c>
      <c r="P32" s="322">
        <f t="shared" si="6"/>
        <v>413000</v>
      </c>
    </row>
    <row r="33" spans="1:16" x14ac:dyDescent="0.2">
      <c r="A33" s="1">
        <v>30</v>
      </c>
      <c r="B33" s="1" t="s">
        <v>189</v>
      </c>
      <c r="C33" s="1">
        <v>34000691</v>
      </c>
      <c r="D33" s="1" t="s">
        <v>190</v>
      </c>
      <c r="E33" s="314">
        <v>12350000</v>
      </c>
      <c r="F33" s="314">
        <v>0</v>
      </c>
      <c r="G33" s="42">
        <f t="shared" si="0"/>
        <v>4.1569195038624008E-3</v>
      </c>
      <c r="H33" s="43">
        <f t="shared" si="1"/>
        <v>156312.1012956918</v>
      </c>
      <c r="I33" s="43">
        <v>350000</v>
      </c>
      <c r="J33" s="43">
        <v>2152500</v>
      </c>
      <c r="K33" s="42">
        <f t="shared" si="2"/>
        <v>6.9162207177010703E-3</v>
      </c>
      <c r="L33" s="43">
        <f t="shared" si="3"/>
        <v>396163.22614637017</v>
      </c>
      <c r="M33" s="43">
        <v>0</v>
      </c>
      <c r="N33" s="44">
        <f t="shared" si="4"/>
        <v>552475.32744206197</v>
      </c>
      <c r="O33" s="321">
        <f t="shared" si="5"/>
        <v>524.67255793802906</v>
      </c>
      <c r="P33" s="322">
        <f t="shared" si="6"/>
        <v>553000</v>
      </c>
    </row>
    <row r="34" spans="1:16" x14ac:dyDescent="0.2">
      <c r="A34" s="1">
        <v>31</v>
      </c>
      <c r="B34" s="1" t="s">
        <v>191</v>
      </c>
      <c r="C34" s="1">
        <v>34000173</v>
      </c>
      <c r="D34" s="1" t="s">
        <v>192</v>
      </c>
      <c r="E34" s="314">
        <v>12350000</v>
      </c>
      <c r="F34" s="314">
        <v>0</v>
      </c>
      <c r="G34" s="42">
        <f t="shared" si="0"/>
        <v>4.1569195038624008E-3</v>
      </c>
      <c r="H34" s="43">
        <f t="shared" si="1"/>
        <v>156312.1012956918</v>
      </c>
      <c r="I34" s="43">
        <v>1620000</v>
      </c>
      <c r="J34" s="43">
        <v>0</v>
      </c>
      <c r="K34" s="42">
        <f t="shared" si="2"/>
        <v>4.4772337912790143E-3</v>
      </c>
      <c r="L34" s="43">
        <f t="shared" si="3"/>
        <v>256457.31322961824</v>
      </c>
      <c r="M34" s="43">
        <v>0</v>
      </c>
      <c r="N34" s="44">
        <f t="shared" si="4"/>
        <v>412769.41452531004</v>
      </c>
      <c r="O34" s="321">
        <f t="shared" si="5"/>
        <v>230.58547468995675</v>
      </c>
      <c r="P34" s="322">
        <f t="shared" si="6"/>
        <v>413000</v>
      </c>
    </row>
    <row r="35" spans="1:16" x14ac:dyDescent="0.2">
      <c r="A35" s="1">
        <v>32</v>
      </c>
      <c r="B35" s="1" t="s">
        <v>193</v>
      </c>
      <c r="C35" s="1">
        <v>34000060</v>
      </c>
      <c r="D35" s="1" t="s">
        <v>194</v>
      </c>
      <c r="E35" s="314">
        <v>12350000</v>
      </c>
      <c r="F35" s="314">
        <v>0</v>
      </c>
      <c r="G35" s="42">
        <f t="shared" si="0"/>
        <v>4.1569195038624008E-3</v>
      </c>
      <c r="H35" s="43">
        <f t="shared" si="1"/>
        <v>156312.1012956918</v>
      </c>
      <c r="I35" s="43">
        <v>2247500</v>
      </c>
      <c r="J35" s="43">
        <v>0</v>
      </c>
      <c r="K35" s="42">
        <f t="shared" si="2"/>
        <v>6.2114709542590027E-3</v>
      </c>
      <c r="L35" s="43">
        <f t="shared" si="3"/>
        <v>355794.94536022656</v>
      </c>
      <c r="M35" s="43">
        <v>0</v>
      </c>
      <c r="N35" s="44">
        <f t="shared" si="4"/>
        <v>512107.04665591836</v>
      </c>
      <c r="O35" s="321">
        <f t="shared" si="5"/>
        <v>892.9533440816449</v>
      </c>
      <c r="P35" s="322">
        <f t="shared" si="6"/>
        <v>513000</v>
      </c>
    </row>
    <row r="36" spans="1:16" x14ac:dyDescent="0.2">
      <c r="A36" s="1">
        <v>33</v>
      </c>
      <c r="B36" s="1" t="s">
        <v>195</v>
      </c>
      <c r="C36" s="1">
        <v>34000283</v>
      </c>
      <c r="D36" s="1" t="s">
        <v>196</v>
      </c>
      <c r="E36" s="314">
        <v>12350000</v>
      </c>
      <c r="F36" s="314">
        <v>0</v>
      </c>
      <c r="G36" s="42">
        <f t="shared" si="0"/>
        <v>4.1569195038624008E-3</v>
      </c>
      <c r="H36" s="43">
        <f t="shared" si="1"/>
        <v>156312.1012956918</v>
      </c>
      <c r="I36" s="43">
        <v>1050000</v>
      </c>
      <c r="J36" s="43">
        <v>0</v>
      </c>
      <c r="K36" s="42">
        <f t="shared" si="2"/>
        <v>2.9019107906438058E-3</v>
      </c>
      <c r="L36" s="43">
        <f t="shared" si="3"/>
        <v>166222.33264882665</v>
      </c>
      <c r="M36" s="43">
        <v>0</v>
      </c>
      <c r="N36" s="44">
        <f t="shared" si="4"/>
        <v>322534.43394451845</v>
      </c>
      <c r="O36" s="321">
        <f t="shared" si="5"/>
        <v>465.56605548155494</v>
      </c>
      <c r="P36" s="322">
        <f t="shared" si="6"/>
        <v>323000</v>
      </c>
    </row>
    <row r="37" spans="1:16" x14ac:dyDescent="0.2">
      <c r="A37" s="1">
        <v>34</v>
      </c>
      <c r="B37" s="1" t="s">
        <v>197</v>
      </c>
      <c r="C37" s="1">
        <v>34000502</v>
      </c>
      <c r="D37" s="1" t="s">
        <v>198</v>
      </c>
      <c r="E37" s="314">
        <v>12350000</v>
      </c>
      <c r="F37" s="314">
        <v>0</v>
      </c>
      <c r="G37" s="42">
        <f t="shared" si="0"/>
        <v>4.1569195038624008E-3</v>
      </c>
      <c r="H37" s="43">
        <f t="shared" si="1"/>
        <v>156312.1012956918</v>
      </c>
      <c r="I37" s="43">
        <v>1050000</v>
      </c>
      <c r="J37" s="43">
        <v>0</v>
      </c>
      <c r="K37" s="42">
        <f t="shared" si="2"/>
        <v>2.9019107906438058E-3</v>
      </c>
      <c r="L37" s="43">
        <f t="shared" si="3"/>
        <v>166222.33264882665</v>
      </c>
      <c r="M37" s="43">
        <v>0</v>
      </c>
      <c r="N37" s="44">
        <f t="shared" si="4"/>
        <v>322534.43394451845</v>
      </c>
      <c r="O37" s="321">
        <f t="shared" si="5"/>
        <v>465.56605548155494</v>
      </c>
      <c r="P37" s="322">
        <f t="shared" si="6"/>
        <v>323000</v>
      </c>
    </row>
    <row r="38" spans="1:16" x14ac:dyDescent="0.2">
      <c r="A38" s="1">
        <v>35</v>
      </c>
      <c r="B38" s="1" t="s">
        <v>199</v>
      </c>
      <c r="C38" s="1">
        <v>34000142</v>
      </c>
      <c r="D38" s="1" t="s">
        <v>182</v>
      </c>
      <c r="E38" s="314">
        <v>12350000</v>
      </c>
      <c r="F38" s="314">
        <v>0</v>
      </c>
      <c r="G38" s="42">
        <f t="shared" si="0"/>
        <v>4.1569195038624008E-3</v>
      </c>
      <c r="H38" s="43">
        <f t="shared" si="1"/>
        <v>156312.1012956918</v>
      </c>
      <c r="I38" s="43">
        <v>1050000</v>
      </c>
      <c r="J38" s="43">
        <v>0</v>
      </c>
      <c r="K38" s="42">
        <f t="shared" si="2"/>
        <v>2.9019107906438058E-3</v>
      </c>
      <c r="L38" s="43">
        <f t="shared" si="3"/>
        <v>166222.33264882665</v>
      </c>
      <c r="M38" s="43">
        <v>0</v>
      </c>
      <c r="N38" s="44">
        <f t="shared" si="4"/>
        <v>322534.43394451845</v>
      </c>
      <c r="O38" s="321">
        <f t="shared" si="5"/>
        <v>465.56605548155494</v>
      </c>
      <c r="P38" s="322">
        <f t="shared" si="6"/>
        <v>323000</v>
      </c>
    </row>
    <row r="39" spans="1:16" x14ac:dyDescent="0.2">
      <c r="A39" s="1">
        <v>36</v>
      </c>
      <c r="B39" s="1" t="s">
        <v>201</v>
      </c>
      <c r="C39" s="1">
        <v>34000097</v>
      </c>
      <c r="D39" s="1" t="s">
        <v>202</v>
      </c>
      <c r="E39" s="314">
        <v>12250000</v>
      </c>
      <c r="F39" s="314">
        <v>0</v>
      </c>
      <c r="G39" s="42">
        <f t="shared" si="0"/>
        <v>4.1232602366246488E-3</v>
      </c>
      <c r="H39" s="43">
        <f t="shared" si="1"/>
        <v>155046.41626495746</v>
      </c>
      <c r="I39" s="43">
        <v>0</v>
      </c>
      <c r="J39" s="43">
        <v>0</v>
      </c>
      <c r="K39" s="42">
        <f t="shared" si="2"/>
        <v>0</v>
      </c>
      <c r="L39" s="43">
        <f t="shared" si="3"/>
        <v>0</v>
      </c>
      <c r="M39" s="43">
        <v>0</v>
      </c>
      <c r="N39" s="44">
        <f t="shared" si="4"/>
        <v>155046.41626495746</v>
      </c>
      <c r="O39" s="321">
        <f t="shared" si="5"/>
        <v>953.58373504254268</v>
      </c>
      <c r="P39" s="322">
        <f t="shared" si="6"/>
        <v>156000</v>
      </c>
    </row>
    <row r="40" spans="1:16" x14ac:dyDescent="0.2">
      <c r="A40" s="1">
        <v>37</v>
      </c>
      <c r="B40" s="1" t="s">
        <v>203</v>
      </c>
      <c r="C40" s="1">
        <v>34000491</v>
      </c>
      <c r="D40" s="1" t="s">
        <v>204</v>
      </c>
      <c r="E40" s="314">
        <v>12150000</v>
      </c>
      <c r="F40" s="314">
        <v>0</v>
      </c>
      <c r="G40" s="42">
        <f t="shared" si="0"/>
        <v>4.0896009693868968E-3</v>
      </c>
      <c r="H40" s="43">
        <f t="shared" si="1"/>
        <v>153780.73123422312</v>
      </c>
      <c r="I40" s="43">
        <v>0</v>
      </c>
      <c r="J40" s="43">
        <v>0</v>
      </c>
      <c r="K40" s="42">
        <f t="shared" si="2"/>
        <v>0</v>
      </c>
      <c r="L40" s="43">
        <f t="shared" si="3"/>
        <v>0</v>
      </c>
      <c r="M40" s="43">
        <v>0</v>
      </c>
      <c r="N40" s="44">
        <f t="shared" si="4"/>
        <v>153780.73123422312</v>
      </c>
      <c r="O40" s="321">
        <f t="shared" si="5"/>
        <v>219.26876577688381</v>
      </c>
      <c r="P40" s="322">
        <f t="shared" si="6"/>
        <v>154000</v>
      </c>
    </row>
    <row r="41" spans="1:16" x14ac:dyDescent="0.2">
      <c r="A41" s="1">
        <v>38</v>
      </c>
      <c r="B41" s="1" t="s">
        <v>205</v>
      </c>
      <c r="C41" s="1">
        <v>34000526</v>
      </c>
      <c r="D41" s="1" t="s">
        <v>206</v>
      </c>
      <c r="E41" s="314">
        <v>12050000</v>
      </c>
      <c r="F41" s="314">
        <v>0</v>
      </c>
      <c r="G41" s="42">
        <f t="shared" si="0"/>
        <v>4.0559417021491439E-3</v>
      </c>
      <c r="H41" s="43">
        <f t="shared" si="1"/>
        <v>152515.04620348875</v>
      </c>
      <c r="I41" s="43">
        <v>240000</v>
      </c>
      <c r="J41" s="43">
        <v>0</v>
      </c>
      <c r="K41" s="42">
        <f t="shared" si="2"/>
        <v>6.6329389500429845E-4</v>
      </c>
      <c r="L41" s="43">
        <f t="shared" si="3"/>
        <v>37993.676034017517</v>
      </c>
      <c r="M41" s="43">
        <v>0</v>
      </c>
      <c r="N41" s="44">
        <f t="shared" si="4"/>
        <v>190508.72223750627</v>
      </c>
      <c r="O41" s="321">
        <f t="shared" si="5"/>
        <v>491.27776249372982</v>
      </c>
      <c r="P41" s="322">
        <f t="shared" si="6"/>
        <v>191000</v>
      </c>
    </row>
    <row r="42" spans="1:16" x14ac:dyDescent="0.2">
      <c r="A42" s="1">
        <v>39</v>
      </c>
      <c r="B42" s="1" t="s">
        <v>207</v>
      </c>
      <c r="C42" s="1">
        <v>34000769</v>
      </c>
      <c r="D42" s="1" t="s">
        <v>208</v>
      </c>
      <c r="E42" s="314">
        <v>12350000</v>
      </c>
      <c r="F42" s="314">
        <v>0</v>
      </c>
      <c r="G42" s="42">
        <f t="shared" si="0"/>
        <v>4.1569195038624008E-3</v>
      </c>
      <c r="H42" s="43">
        <f t="shared" si="1"/>
        <v>156312.1012956918</v>
      </c>
      <c r="I42" s="43">
        <v>0</v>
      </c>
      <c r="J42" s="43">
        <v>0</v>
      </c>
      <c r="K42" s="42">
        <f t="shared" si="2"/>
        <v>0</v>
      </c>
      <c r="L42" s="43">
        <f t="shared" si="3"/>
        <v>0</v>
      </c>
      <c r="M42" s="43">
        <v>0</v>
      </c>
      <c r="N42" s="44">
        <f t="shared" si="4"/>
        <v>156312.1012956918</v>
      </c>
      <c r="O42" s="321">
        <f t="shared" si="5"/>
        <v>687.89870430820156</v>
      </c>
      <c r="P42" s="322">
        <f t="shared" si="6"/>
        <v>157000</v>
      </c>
    </row>
    <row r="43" spans="1:16" x14ac:dyDescent="0.2">
      <c r="A43" s="1">
        <v>40</v>
      </c>
      <c r="B43" s="1" t="s">
        <v>209</v>
      </c>
      <c r="C43" s="1">
        <v>34000112</v>
      </c>
      <c r="D43" s="1" t="s">
        <v>210</v>
      </c>
      <c r="E43" s="314">
        <v>12350000</v>
      </c>
      <c r="F43" s="314">
        <v>0</v>
      </c>
      <c r="G43" s="42">
        <f t="shared" si="0"/>
        <v>4.1569195038624008E-3</v>
      </c>
      <c r="H43" s="43">
        <f t="shared" si="1"/>
        <v>156312.1012956918</v>
      </c>
      <c r="I43" s="43">
        <v>0</v>
      </c>
      <c r="J43" s="43">
        <v>0</v>
      </c>
      <c r="K43" s="42">
        <f t="shared" si="2"/>
        <v>0</v>
      </c>
      <c r="L43" s="43">
        <f t="shared" si="3"/>
        <v>0</v>
      </c>
      <c r="M43" s="43">
        <v>8000</v>
      </c>
      <c r="N43" s="44">
        <f t="shared" si="4"/>
        <v>164312.1012956918</v>
      </c>
      <c r="O43" s="321">
        <f t="shared" si="5"/>
        <v>687.89870430820156</v>
      </c>
      <c r="P43" s="322">
        <f t="shared" si="6"/>
        <v>165000</v>
      </c>
    </row>
    <row r="44" spans="1:16" x14ac:dyDescent="0.2">
      <c r="A44" s="1">
        <v>41</v>
      </c>
      <c r="B44" s="1" t="s">
        <v>211</v>
      </c>
      <c r="C44" s="1">
        <v>34000359</v>
      </c>
      <c r="D44" s="1" t="s">
        <v>212</v>
      </c>
      <c r="E44" s="314">
        <v>12350000</v>
      </c>
      <c r="F44" s="314">
        <v>0</v>
      </c>
      <c r="G44" s="42">
        <f t="shared" si="0"/>
        <v>4.1569195038624008E-3</v>
      </c>
      <c r="H44" s="43">
        <f t="shared" si="1"/>
        <v>156312.1012956918</v>
      </c>
      <c r="I44" s="43">
        <v>3135000</v>
      </c>
      <c r="J44" s="43">
        <v>900000</v>
      </c>
      <c r="K44" s="42">
        <f t="shared" si="2"/>
        <v>1.1151628609759767E-2</v>
      </c>
      <c r="L44" s="43">
        <f t="shared" si="3"/>
        <v>638768.67832191952</v>
      </c>
      <c r="M44" s="43">
        <v>8000</v>
      </c>
      <c r="N44" s="44">
        <f t="shared" si="4"/>
        <v>803080.77961761132</v>
      </c>
      <c r="O44" s="321">
        <f t="shared" si="5"/>
        <v>919.22038238868117</v>
      </c>
      <c r="P44" s="322">
        <f t="shared" si="6"/>
        <v>804000</v>
      </c>
    </row>
    <row r="45" spans="1:16" x14ac:dyDescent="0.2">
      <c r="A45" s="1">
        <v>42</v>
      </c>
      <c r="B45" s="1" t="s">
        <v>213</v>
      </c>
      <c r="C45" s="1">
        <v>34000237</v>
      </c>
      <c r="D45" s="1" t="s">
        <v>214</v>
      </c>
      <c r="E45" s="314">
        <v>12350000</v>
      </c>
      <c r="F45" s="314">
        <v>0</v>
      </c>
      <c r="G45" s="42">
        <f t="shared" si="0"/>
        <v>4.1569195038624008E-3</v>
      </c>
      <c r="H45" s="43">
        <f t="shared" si="1"/>
        <v>156312.1012956918</v>
      </c>
      <c r="I45" s="43">
        <v>670000</v>
      </c>
      <c r="J45" s="43">
        <v>0</v>
      </c>
      <c r="K45" s="42">
        <f t="shared" si="2"/>
        <v>1.8516954568869998E-3</v>
      </c>
      <c r="L45" s="43">
        <f t="shared" si="3"/>
        <v>106065.6789282989</v>
      </c>
      <c r="M45" s="43">
        <v>0</v>
      </c>
      <c r="N45" s="44">
        <f t="shared" si="4"/>
        <v>262377.78022399067</v>
      </c>
      <c r="O45" s="321">
        <f t="shared" si="5"/>
        <v>622.21977600932587</v>
      </c>
      <c r="P45" s="322">
        <f t="shared" si="6"/>
        <v>263000</v>
      </c>
    </row>
    <row r="46" spans="1:16" x14ac:dyDescent="0.2">
      <c r="A46" s="1">
        <v>43</v>
      </c>
      <c r="B46" s="1" t="s">
        <v>215</v>
      </c>
      <c r="C46" s="1">
        <v>34000571</v>
      </c>
      <c r="D46" s="1" t="s">
        <v>216</v>
      </c>
      <c r="E46" s="314">
        <v>12350000</v>
      </c>
      <c r="F46" s="314">
        <v>0</v>
      </c>
      <c r="G46" s="42">
        <f t="shared" si="0"/>
        <v>4.1569195038624008E-3</v>
      </c>
      <c r="H46" s="43">
        <f t="shared" si="1"/>
        <v>156312.1012956918</v>
      </c>
      <c r="I46" s="43">
        <v>1162666.6666666667</v>
      </c>
      <c r="J46" s="43">
        <v>2155972.5</v>
      </c>
      <c r="K46" s="42">
        <f t="shared" si="2"/>
        <v>9.171804579050636E-3</v>
      </c>
      <c r="L46" s="43">
        <f t="shared" si="3"/>
        <v>525363.75571723003</v>
      </c>
      <c r="M46" s="43">
        <v>8000</v>
      </c>
      <c r="N46" s="44">
        <f t="shared" si="4"/>
        <v>689675.85701292183</v>
      </c>
      <c r="O46" s="321">
        <f t="shared" si="5"/>
        <v>324.14298707817215</v>
      </c>
      <c r="P46" s="322">
        <f t="shared" si="6"/>
        <v>690000</v>
      </c>
    </row>
    <row r="47" spans="1:16" x14ac:dyDescent="0.2">
      <c r="A47" s="1">
        <v>44</v>
      </c>
      <c r="B47" s="1" t="s">
        <v>217</v>
      </c>
      <c r="C47" s="1">
        <v>34000460</v>
      </c>
      <c r="D47" s="1" t="s">
        <v>218</v>
      </c>
      <c r="E47" s="314">
        <v>12350000</v>
      </c>
      <c r="F47" s="314">
        <v>0</v>
      </c>
      <c r="G47" s="42">
        <f t="shared" si="0"/>
        <v>4.1569195038624008E-3</v>
      </c>
      <c r="H47" s="43">
        <f t="shared" si="1"/>
        <v>156312.1012956918</v>
      </c>
      <c r="I47" s="43">
        <v>0</v>
      </c>
      <c r="J47" s="43">
        <v>226666.66666666666</v>
      </c>
      <c r="K47" s="42">
        <f t="shared" si="2"/>
        <v>6.264442341707263E-4</v>
      </c>
      <c r="L47" s="43">
        <f t="shared" si="3"/>
        <v>35882.916254349882</v>
      </c>
      <c r="M47" s="43">
        <v>0</v>
      </c>
      <c r="N47" s="44">
        <f t="shared" si="4"/>
        <v>192195.01755004167</v>
      </c>
      <c r="O47" s="321">
        <f t="shared" si="5"/>
        <v>804.98244995833375</v>
      </c>
      <c r="P47" s="322">
        <f t="shared" si="6"/>
        <v>193000</v>
      </c>
    </row>
    <row r="48" spans="1:16" x14ac:dyDescent="0.2">
      <c r="A48" s="1">
        <v>45</v>
      </c>
      <c r="B48" s="1" t="s">
        <v>219</v>
      </c>
      <c r="C48" s="1">
        <v>34000654</v>
      </c>
      <c r="D48" s="1" t="s">
        <v>220</v>
      </c>
      <c r="E48" s="314">
        <v>12350000</v>
      </c>
      <c r="F48" s="314">
        <v>0</v>
      </c>
      <c r="G48" s="42">
        <f t="shared" si="0"/>
        <v>4.1569195038624008E-3</v>
      </c>
      <c r="H48" s="43">
        <f t="shared" si="1"/>
        <v>156312.1012956918</v>
      </c>
      <c r="I48" s="43">
        <v>1250000</v>
      </c>
      <c r="J48" s="43">
        <v>0</v>
      </c>
      <c r="K48" s="42">
        <f t="shared" si="2"/>
        <v>3.4546557031473876E-3</v>
      </c>
      <c r="L48" s="43">
        <f t="shared" si="3"/>
        <v>197883.72934384123</v>
      </c>
      <c r="M48" s="43">
        <v>8000</v>
      </c>
      <c r="N48" s="44">
        <f t="shared" si="4"/>
        <v>362195.830639533</v>
      </c>
      <c r="O48" s="321">
        <f t="shared" si="5"/>
        <v>804.16936046699993</v>
      </c>
      <c r="P48" s="322">
        <f t="shared" si="6"/>
        <v>363000</v>
      </c>
    </row>
    <row r="49" spans="1:16" x14ac:dyDescent="0.2">
      <c r="A49" s="1">
        <v>46</v>
      </c>
      <c r="B49" s="1" t="s">
        <v>221</v>
      </c>
      <c r="C49" s="1">
        <v>34000486</v>
      </c>
      <c r="D49" s="1" t="s">
        <v>222</v>
      </c>
      <c r="E49" s="314">
        <v>12350000</v>
      </c>
      <c r="F49" s="314">
        <v>0</v>
      </c>
      <c r="G49" s="42">
        <f t="shared" si="0"/>
        <v>4.1569195038624008E-3</v>
      </c>
      <c r="H49" s="43">
        <f t="shared" si="1"/>
        <v>156312.1012956918</v>
      </c>
      <c r="I49" s="43">
        <v>1385833.3333333333</v>
      </c>
      <c r="J49" s="43">
        <v>509333.33333333331</v>
      </c>
      <c r="K49" s="42">
        <f t="shared" si="2"/>
        <v>5.2377186667318587E-3</v>
      </c>
      <c r="L49" s="43">
        <f t="shared" si="3"/>
        <v>300018.11818250915</v>
      </c>
      <c r="M49" s="43">
        <v>8000</v>
      </c>
      <c r="N49" s="44">
        <f t="shared" si="4"/>
        <v>464330.21947820095</v>
      </c>
      <c r="O49" s="321">
        <f t="shared" si="5"/>
        <v>669.78052179905353</v>
      </c>
      <c r="P49" s="322">
        <f t="shared" si="6"/>
        <v>465000</v>
      </c>
    </row>
    <row r="50" spans="1:16" x14ac:dyDescent="0.2">
      <c r="A50" s="1">
        <v>47</v>
      </c>
      <c r="B50" s="1" t="s">
        <v>223</v>
      </c>
      <c r="C50" s="1">
        <v>34000564</v>
      </c>
      <c r="D50" s="1" t="s">
        <v>224</v>
      </c>
      <c r="E50" s="314">
        <v>12350000</v>
      </c>
      <c r="F50" s="314">
        <v>0</v>
      </c>
      <c r="G50" s="42">
        <f t="shared" si="0"/>
        <v>4.1569195038624008E-3</v>
      </c>
      <c r="H50" s="43">
        <f t="shared" si="1"/>
        <v>156312.1012956918</v>
      </c>
      <c r="I50" s="43">
        <v>0</v>
      </c>
      <c r="J50" s="43">
        <v>0</v>
      </c>
      <c r="K50" s="42">
        <f t="shared" si="2"/>
        <v>0</v>
      </c>
      <c r="L50" s="43">
        <f t="shared" si="3"/>
        <v>0</v>
      </c>
      <c r="M50" s="43">
        <v>0</v>
      </c>
      <c r="N50" s="44">
        <f t="shared" si="4"/>
        <v>156312.1012956918</v>
      </c>
      <c r="O50" s="321">
        <f t="shared" si="5"/>
        <v>687.89870430820156</v>
      </c>
      <c r="P50" s="322">
        <f t="shared" si="6"/>
        <v>157000</v>
      </c>
    </row>
    <row r="51" spans="1:16" x14ac:dyDescent="0.2">
      <c r="A51" s="1">
        <v>48</v>
      </c>
      <c r="B51" s="1" t="s">
        <v>225</v>
      </c>
      <c r="C51" s="1">
        <v>34000258</v>
      </c>
      <c r="D51" s="1" t="s">
        <v>226</v>
      </c>
      <c r="E51" s="314">
        <v>12350000</v>
      </c>
      <c r="F51" s="314">
        <v>0</v>
      </c>
      <c r="G51" s="42">
        <f t="shared" si="0"/>
        <v>4.1569195038624008E-3</v>
      </c>
      <c r="H51" s="43">
        <f t="shared" si="1"/>
        <v>156312.1012956918</v>
      </c>
      <c r="I51" s="43">
        <v>1440000</v>
      </c>
      <c r="J51" s="43">
        <v>980000</v>
      </c>
      <c r="K51" s="42">
        <f t="shared" si="2"/>
        <v>6.6882134412933423E-3</v>
      </c>
      <c r="L51" s="43">
        <f t="shared" si="3"/>
        <v>383102.90000967664</v>
      </c>
      <c r="M51" s="43">
        <v>8000</v>
      </c>
      <c r="N51" s="44">
        <f t="shared" si="4"/>
        <v>547415.0013053685</v>
      </c>
      <c r="O51" s="321">
        <f t="shared" si="5"/>
        <v>584.99869463150389</v>
      </c>
      <c r="P51" s="322">
        <f t="shared" si="6"/>
        <v>548000</v>
      </c>
    </row>
    <row r="52" spans="1:16" x14ac:dyDescent="0.2">
      <c r="A52" s="1">
        <v>49</v>
      </c>
      <c r="B52" s="1" t="s">
        <v>227</v>
      </c>
      <c r="C52" s="1">
        <v>34000771</v>
      </c>
      <c r="D52" s="1" t="s">
        <v>228</v>
      </c>
      <c r="E52" s="314">
        <v>12350000</v>
      </c>
      <c r="F52" s="314">
        <v>0</v>
      </c>
      <c r="G52" s="42">
        <f t="shared" si="0"/>
        <v>4.1569195038624008E-3</v>
      </c>
      <c r="H52" s="43">
        <f t="shared" si="1"/>
        <v>156312.1012956918</v>
      </c>
      <c r="I52" s="43">
        <v>0</v>
      </c>
      <c r="J52" s="43">
        <v>0</v>
      </c>
      <c r="K52" s="42">
        <f t="shared" si="2"/>
        <v>0</v>
      </c>
      <c r="L52" s="43">
        <f t="shared" si="3"/>
        <v>0</v>
      </c>
      <c r="M52" s="43">
        <v>0</v>
      </c>
      <c r="N52" s="44">
        <f t="shared" si="4"/>
        <v>156312.1012956918</v>
      </c>
      <c r="O52" s="321">
        <f t="shared" si="5"/>
        <v>687.89870430820156</v>
      </c>
      <c r="P52" s="322">
        <f t="shared" si="6"/>
        <v>157000</v>
      </c>
    </row>
    <row r="53" spans="1:16" x14ac:dyDescent="0.2">
      <c r="A53" s="1">
        <v>50</v>
      </c>
      <c r="B53" s="1" t="s">
        <v>229</v>
      </c>
      <c r="C53" s="1">
        <v>34000640</v>
      </c>
      <c r="D53" s="1" t="s">
        <v>230</v>
      </c>
      <c r="E53" s="314">
        <v>12350000</v>
      </c>
      <c r="F53" s="314">
        <v>0</v>
      </c>
      <c r="G53" s="42">
        <f t="shared" si="0"/>
        <v>4.1569195038624008E-3</v>
      </c>
      <c r="H53" s="43">
        <f t="shared" si="1"/>
        <v>156312.1012956918</v>
      </c>
      <c r="I53" s="43">
        <v>1920000</v>
      </c>
      <c r="J53" s="43">
        <v>0</v>
      </c>
      <c r="K53" s="42">
        <f t="shared" si="2"/>
        <v>5.3063511600343876E-3</v>
      </c>
      <c r="L53" s="43">
        <f t="shared" si="3"/>
        <v>303949.40827214014</v>
      </c>
      <c r="M53" s="43">
        <v>0</v>
      </c>
      <c r="N53" s="44">
        <f t="shared" si="4"/>
        <v>460261.50956783193</v>
      </c>
      <c r="O53" s="321">
        <f t="shared" si="5"/>
        <v>738.49043216806604</v>
      </c>
      <c r="P53" s="322">
        <f t="shared" si="6"/>
        <v>461000</v>
      </c>
    </row>
    <row r="54" spans="1:16" x14ac:dyDescent="0.2">
      <c r="A54" s="1">
        <v>51</v>
      </c>
      <c r="B54" s="1" t="s">
        <v>231</v>
      </c>
      <c r="C54" s="1">
        <v>34000492</v>
      </c>
      <c r="D54" s="1" t="s">
        <v>232</v>
      </c>
      <c r="E54" s="314">
        <v>12350000</v>
      </c>
      <c r="F54" s="314">
        <v>0</v>
      </c>
      <c r="G54" s="42">
        <f t="shared" si="0"/>
        <v>4.1569195038624008E-3</v>
      </c>
      <c r="H54" s="43">
        <f t="shared" si="1"/>
        <v>156312.1012956918</v>
      </c>
      <c r="I54" s="43">
        <v>1350000</v>
      </c>
      <c r="J54" s="43">
        <v>0</v>
      </c>
      <c r="K54" s="42">
        <f t="shared" si="2"/>
        <v>3.7310281593991787E-3</v>
      </c>
      <c r="L54" s="43">
        <f t="shared" si="3"/>
        <v>213714.42769134854</v>
      </c>
      <c r="M54" s="43">
        <v>8000</v>
      </c>
      <c r="N54" s="44">
        <f t="shared" si="4"/>
        <v>378026.52898704034</v>
      </c>
      <c r="O54" s="321">
        <f t="shared" si="5"/>
        <v>973.47101295966422</v>
      </c>
      <c r="P54" s="322">
        <f t="shared" si="6"/>
        <v>379000</v>
      </c>
    </row>
    <row r="55" spans="1:16" x14ac:dyDescent="0.2">
      <c r="A55" s="1">
        <v>52</v>
      </c>
      <c r="B55" s="1" t="s">
        <v>233</v>
      </c>
      <c r="C55" s="1">
        <v>34000488</v>
      </c>
      <c r="D55" s="1" t="s">
        <v>234</v>
      </c>
      <c r="E55" s="314">
        <v>12350000</v>
      </c>
      <c r="F55" s="314">
        <v>0</v>
      </c>
      <c r="G55" s="42">
        <f t="shared" si="0"/>
        <v>4.1569195038624008E-3</v>
      </c>
      <c r="H55" s="43">
        <f t="shared" si="1"/>
        <v>156312.1012956918</v>
      </c>
      <c r="I55" s="43">
        <v>0</v>
      </c>
      <c r="J55" s="43">
        <v>0</v>
      </c>
      <c r="K55" s="42">
        <f t="shared" si="2"/>
        <v>0</v>
      </c>
      <c r="L55" s="43">
        <f t="shared" si="3"/>
        <v>0</v>
      </c>
      <c r="M55" s="43">
        <v>8000</v>
      </c>
      <c r="N55" s="44">
        <f t="shared" si="4"/>
        <v>164312.1012956918</v>
      </c>
      <c r="O55" s="321">
        <f t="shared" si="5"/>
        <v>687.89870430820156</v>
      </c>
      <c r="P55" s="322">
        <f t="shared" si="6"/>
        <v>165000</v>
      </c>
    </row>
    <row r="56" spans="1:16" x14ac:dyDescent="0.2">
      <c r="A56" s="1">
        <v>53</v>
      </c>
      <c r="B56" s="1" t="s">
        <v>235</v>
      </c>
      <c r="C56" s="1">
        <v>34000363</v>
      </c>
      <c r="D56" s="1" t="s">
        <v>236</v>
      </c>
      <c r="E56" s="314">
        <v>11750000</v>
      </c>
      <c r="F56" s="314">
        <v>0</v>
      </c>
      <c r="G56" s="42">
        <f t="shared" si="0"/>
        <v>3.9549639004358879E-3</v>
      </c>
      <c r="H56" s="43">
        <f t="shared" si="1"/>
        <v>148717.99111128572</v>
      </c>
      <c r="I56" s="43">
        <v>2010000</v>
      </c>
      <c r="J56" s="43">
        <v>0</v>
      </c>
      <c r="K56" s="42">
        <f t="shared" si="2"/>
        <v>5.5550863706609992E-3</v>
      </c>
      <c r="L56" s="43">
        <f t="shared" si="3"/>
        <v>318197.03678489669</v>
      </c>
      <c r="M56" s="43">
        <v>8000</v>
      </c>
      <c r="N56" s="44">
        <f t="shared" si="4"/>
        <v>474915.02789618238</v>
      </c>
      <c r="O56" s="321">
        <f t="shared" si="5"/>
        <v>84.972103817621246</v>
      </c>
      <c r="P56" s="322">
        <f t="shared" si="6"/>
        <v>475000</v>
      </c>
    </row>
    <row r="57" spans="1:16" x14ac:dyDescent="0.2">
      <c r="A57" s="1">
        <v>54</v>
      </c>
      <c r="B57" s="1" t="s">
        <v>237</v>
      </c>
      <c r="C57" s="1">
        <v>34000277</v>
      </c>
      <c r="D57" s="1" t="s">
        <v>238</v>
      </c>
      <c r="E57" s="314">
        <v>12250000</v>
      </c>
      <c r="F57" s="314">
        <v>0</v>
      </c>
      <c r="G57" s="42">
        <f t="shared" si="0"/>
        <v>4.1232602366246488E-3</v>
      </c>
      <c r="H57" s="43">
        <f t="shared" si="1"/>
        <v>155046.41626495746</v>
      </c>
      <c r="I57" s="43">
        <v>1421333.3333333335</v>
      </c>
      <c r="J57" s="43">
        <v>2916666.6666666665</v>
      </c>
      <c r="K57" s="42">
        <f t="shared" si="2"/>
        <v>1.1989037152202694E-2</v>
      </c>
      <c r="L57" s="43">
        <f t="shared" si="3"/>
        <v>686735.69431486668</v>
      </c>
      <c r="M57" s="43">
        <v>8000</v>
      </c>
      <c r="N57" s="44">
        <f t="shared" si="4"/>
        <v>849782.11057982408</v>
      </c>
      <c r="O57" s="321">
        <f t="shared" si="5"/>
        <v>217.8894201759249</v>
      </c>
      <c r="P57" s="322">
        <f t="shared" si="6"/>
        <v>850000</v>
      </c>
    </row>
    <row r="58" spans="1:16" x14ac:dyDescent="0.2">
      <c r="A58" s="1">
        <v>55</v>
      </c>
      <c r="B58" s="1" t="s">
        <v>239</v>
      </c>
      <c r="C58" s="1">
        <v>34000446</v>
      </c>
      <c r="D58" s="1" t="s">
        <v>240</v>
      </c>
      <c r="E58" s="314">
        <v>12250000</v>
      </c>
      <c r="F58" s="314">
        <v>0</v>
      </c>
      <c r="G58" s="42">
        <f t="shared" si="0"/>
        <v>4.1232602366246488E-3</v>
      </c>
      <c r="H58" s="43">
        <f t="shared" si="1"/>
        <v>155046.41626495746</v>
      </c>
      <c r="I58" s="43">
        <v>1665000</v>
      </c>
      <c r="J58" s="43">
        <v>0</v>
      </c>
      <c r="K58" s="42">
        <f t="shared" si="2"/>
        <v>4.6016013965923201E-3</v>
      </c>
      <c r="L58" s="43">
        <f t="shared" si="3"/>
        <v>263581.12748599652</v>
      </c>
      <c r="M58" s="43">
        <v>0</v>
      </c>
      <c r="N58" s="44">
        <f t="shared" si="4"/>
        <v>418627.54375095398</v>
      </c>
      <c r="O58" s="321">
        <f t="shared" si="5"/>
        <v>372.456249046023</v>
      </c>
      <c r="P58" s="322">
        <f t="shared" si="6"/>
        <v>419000</v>
      </c>
    </row>
    <row r="59" spans="1:16" x14ac:dyDescent="0.2">
      <c r="A59" s="1">
        <v>56</v>
      </c>
      <c r="B59" s="1" t="s">
        <v>241</v>
      </c>
      <c r="C59" s="1">
        <v>34000160</v>
      </c>
      <c r="D59" s="1" t="s">
        <v>242</v>
      </c>
      <c r="E59" s="314">
        <v>12250000</v>
      </c>
      <c r="F59" s="314">
        <v>0</v>
      </c>
      <c r="G59" s="42">
        <f t="shared" si="0"/>
        <v>4.1232602366246488E-3</v>
      </c>
      <c r="H59" s="43">
        <f t="shared" si="1"/>
        <v>155046.41626495746</v>
      </c>
      <c r="I59" s="43">
        <v>1977500</v>
      </c>
      <c r="J59" s="43">
        <v>86666.666666666672</v>
      </c>
      <c r="K59" s="42">
        <f t="shared" si="2"/>
        <v>5.7047881177973861E-3</v>
      </c>
      <c r="L59" s="43">
        <f t="shared" si="3"/>
        <v>326771.99838979653</v>
      </c>
      <c r="M59" s="43">
        <v>8000</v>
      </c>
      <c r="N59" s="44">
        <f t="shared" si="4"/>
        <v>489818.41465475399</v>
      </c>
      <c r="O59" s="321">
        <f t="shared" si="5"/>
        <v>181.58534524601419</v>
      </c>
      <c r="P59" s="322">
        <f t="shared" si="6"/>
        <v>490000</v>
      </c>
    </row>
    <row r="60" spans="1:16" x14ac:dyDescent="0.2">
      <c r="A60" s="1">
        <v>57</v>
      </c>
      <c r="B60" s="1" t="s">
        <v>243</v>
      </c>
      <c r="C60" s="1">
        <v>34000100</v>
      </c>
      <c r="D60" s="1" t="s">
        <v>244</v>
      </c>
      <c r="E60" s="314">
        <v>12150000</v>
      </c>
      <c r="F60" s="314">
        <v>0</v>
      </c>
      <c r="G60" s="42">
        <f t="shared" si="0"/>
        <v>4.0896009693868968E-3</v>
      </c>
      <c r="H60" s="43">
        <f t="shared" si="1"/>
        <v>153780.73123422312</v>
      </c>
      <c r="I60" s="43">
        <v>1290000</v>
      </c>
      <c r="J60" s="43">
        <v>2554444.444444444</v>
      </c>
      <c r="K60" s="42">
        <f t="shared" si="2"/>
        <v>1.062498554034663E-2</v>
      </c>
      <c r="L60" s="43">
        <f t="shared" si="3"/>
        <v>608602.40313750273</v>
      </c>
      <c r="M60" s="43">
        <v>0</v>
      </c>
      <c r="N60" s="44">
        <f t="shared" si="4"/>
        <v>762383.13437172584</v>
      </c>
      <c r="O60" s="321">
        <f t="shared" si="5"/>
        <v>616.86562827415764</v>
      </c>
      <c r="P60" s="322">
        <f t="shared" si="6"/>
        <v>763000</v>
      </c>
    </row>
    <row r="61" spans="1:16" x14ac:dyDescent="0.2">
      <c r="A61" s="1">
        <v>58</v>
      </c>
      <c r="B61" s="1" t="s">
        <v>246</v>
      </c>
      <c r="C61" s="1">
        <v>34000631</v>
      </c>
      <c r="D61" s="1" t="s">
        <v>247</v>
      </c>
      <c r="E61" s="314">
        <v>12150000</v>
      </c>
      <c r="F61" s="314">
        <v>0</v>
      </c>
      <c r="G61" s="42">
        <f t="shared" si="0"/>
        <v>4.0896009693868968E-3</v>
      </c>
      <c r="H61" s="43">
        <f t="shared" si="1"/>
        <v>153780.73123422312</v>
      </c>
      <c r="I61" s="43">
        <v>1977500.0000000005</v>
      </c>
      <c r="J61" s="43">
        <v>2887500</v>
      </c>
      <c r="K61" s="42">
        <f t="shared" si="2"/>
        <v>1.3445519996649632E-2</v>
      </c>
      <c r="L61" s="43">
        <f t="shared" si="3"/>
        <v>770163.47460623004</v>
      </c>
      <c r="M61" s="43">
        <v>8000</v>
      </c>
      <c r="N61" s="44">
        <f t="shared" si="4"/>
        <v>931944.20584045316</v>
      </c>
      <c r="O61" s="321">
        <f t="shared" si="5"/>
        <v>55.79415954684373</v>
      </c>
      <c r="P61" s="322">
        <f t="shared" si="6"/>
        <v>932000</v>
      </c>
    </row>
    <row r="62" spans="1:16" x14ac:dyDescent="0.2">
      <c r="A62" s="1">
        <v>59</v>
      </c>
      <c r="B62" s="1" t="s">
        <v>248</v>
      </c>
      <c r="C62" s="1">
        <v>34000396</v>
      </c>
      <c r="D62" s="1" t="s">
        <v>249</v>
      </c>
      <c r="E62" s="314">
        <v>12250000</v>
      </c>
      <c r="F62" s="314">
        <v>0</v>
      </c>
      <c r="G62" s="42">
        <f t="shared" si="0"/>
        <v>4.1232602366246488E-3</v>
      </c>
      <c r="H62" s="43">
        <f t="shared" si="1"/>
        <v>155046.41626495746</v>
      </c>
      <c r="I62" s="43">
        <v>0</v>
      </c>
      <c r="J62" s="43">
        <v>0</v>
      </c>
      <c r="K62" s="42">
        <f t="shared" si="2"/>
        <v>0</v>
      </c>
      <c r="L62" s="43">
        <f t="shared" si="3"/>
        <v>0</v>
      </c>
      <c r="M62" s="43">
        <v>0</v>
      </c>
      <c r="N62" s="44">
        <f t="shared" si="4"/>
        <v>155046.41626495746</v>
      </c>
      <c r="O62" s="321">
        <f t="shared" si="5"/>
        <v>953.58373504254268</v>
      </c>
      <c r="P62" s="322">
        <f t="shared" si="6"/>
        <v>156000</v>
      </c>
    </row>
    <row r="63" spans="1:16" x14ac:dyDescent="0.2">
      <c r="A63" s="1">
        <v>60</v>
      </c>
      <c r="B63" s="1" t="s">
        <v>250</v>
      </c>
      <c r="C63" s="1">
        <v>34000188</v>
      </c>
      <c r="D63" s="1" t="s">
        <v>251</v>
      </c>
      <c r="E63" s="314">
        <v>12250000</v>
      </c>
      <c r="F63" s="314">
        <v>0</v>
      </c>
      <c r="G63" s="42">
        <f t="shared" si="0"/>
        <v>4.1232602366246488E-3</v>
      </c>
      <c r="H63" s="43">
        <f t="shared" si="1"/>
        <v>155046.41626495746</v>
      </c>
      <c r="I63" s="43">
        <v>0</v>
      </c>
      <c r="J63" s="43">
        <v>0</v>
      </c>
      <c r="K63" s="42">
        <f t="shared" si="2"/>
        <v>0</v>
      </c>
      <c r="L63" s="43">
        <f t="shared" si="3"/>
        <v>0</v>
      </c>
      <c r="M63" s="43">
        <v>0</v>
      </c>
      <c r="N63" s="44">
        <f t="shared" si="4"/>
        <v>155046.41626495746</v>
      </c>
      <c r="O63" s="321">
        <f t="shared" si="5"/>
        <v>953.58373504254268</v>
      </c>
      <c r="P63" s="322">
        <f t="shared" si="6"/>
        <v>156000</v>
      </c>
    </row>
    <row r="64" spans="1:16" x14ac:dyDescent="0.2">
      <c r="A64" s="1">
        <v>61</v>
      </c>
      <c r="B64" s="1" t="s">
        <v>252</v>
      </c>
      <c r="C64" s="1">
        <v>34000487</v>
      </c>
      <c r="D64" s="1" t="s">
        <v>253</v>
      </c>
      <c r="E64" s="314">
        <v>12150000</v>
      </c>
      <c r="F64" s="314">
        <v>0</v>
      </c>
      <c r="G64" s="42">
        <f t="shared" si="0"/>
        <v>4.0896009693868968E-3</v>
      </c>
      <c r="H64" s="43">
        <f t="shared" si="1"/>
        <v>153780.73123422312</v>
      </c>
      <c r="I64" s="43">
        <v>0</v>
      </c>
      <c r="J64" s="43">
        <v>0</v>
      </c>
      <c r="K64" s="42">
        <f t="shared" si="2"/>
        <v>0</v>
      </c>
      <c r="L64" s="43">
        <f t="shared" si="3"/>
        <v>0</v>
      </c>
      <c r="M64" s="43">
        <v>0</v>
      </c>
      <c r="N64" s="44">
        <f t="shared" si="4"/>
        <v>153780.73123422312</v>
      </c>
      <c r="O64" s="321">
        <f t="shared" si="5"/>
        <v>219.26876577688381</v>
      </c>
      <c r="P64" s="322">
        <f t="shared" si="6"/>
        <v>154000</v>
      </c>
    </row>
    <row r="65" spans="1:16" x14ac:dyDescent="0.2">
      <c r="A65" s="1">
        <v>62</v>
      </c>
      <c r="B65" s="1" t="s">
        <v>254</v>
      </c>
      <c r="C65" s="1">
        <v>34000476</v>
      </c>
      <c r="D65" s="1" t="s">
        <v>255</v>
      </c>
      <c r="E65" s="314">
        <v>12150000</v>
      </c>
      <c r="F65" s="314">
        <v>0</v>
      </c>
      <c r="G65" s="42">
        <f t="shared" si="0"/>
        <v>4.0896009693868968E-3</v>
      </c>
      <c r="H65" s="43">
        <f t="shared" si="1"/>
        <v>153780.73123422312</v>
      </c>
      <c r="I65" s="43">
        <v>1440000</v>
      </c>
      <c r="J65" s="43">
        <v>0</v>
      </c>
      <c r="K65" s="42">
        <f t="shared" si="2"/>
        <v>3.9797633700257903E-3</v>
      </c>
      <c r="L65" s="43">
        <f t="shared" si="3"/>
        <v>227962.05620410509</v>
      </c>
      <c r="M65" s="43">
        <v>0</v>
      </c>
      <c r="N65" s="44">
        <f t="shared" si="4"/>
        <v>381742.7874383282</v>
      </c>
      <c r="O65" s="321">
        <f t="shared" si="5"/>
        <v>257.21256167179672</v>
      </c>
      <c r="P65" s="322">
        <f t="shared" si="6"/>
        <v>382000</v>
      </c>
    </row>
    <row r="66" spans="1:16" x14ac:dyDescent="0.2">
      <c r="A66" s="1">
        <v>63</v>
      </c>
      <c r="B66" s="1" t="s">
        <v>256</v>
      </c>
      <c r="C66" s="1">
        <v>34000579</v>
      </c>
      <c r="D66" s="1" t="s">
        <v>257</v>
      </c>
      <c r="E66" s="314">
        <v>12150000</v>
      </c>
      <c r="F66" s="314">
        <v>0</v>
      </c>
      <c r="G66" s="42">
        <f t="shared" si="0"/>
        <v>4.0896009693868968E-3</v>
      </c>
      <c r="H66" s="43">
        <f t="shared" si="1"/>
        <v>153780.73123422312</v>
      </c>
      <c r="I66" s="43">
        <v>0</v>
      </c>
      <c r="J66" s="43">
        <v>0</v>
      </c>
      <c r="K66" s="42">
        <f t="shared" si="2"/>
        <v>0</v>
      </c>
      <c r="L66" s="43">
        <f t="shared" si="3"/>
        <v>0</v>
      </c>
      <c r="M66" s="43">
        <v>0</v>
      </c>
      <c r="N66" s="44">
        <f t="shared" si="4"/>
        <v>153780.73123422312</v>
      </c>
      <c r="O66" s="321">
        <f t="shared" si="5"/>
        <v>219.26876577688381</v>
      </c>
      <c r="P66" s="322">
        <f t="shared" si="6"/>
        <v>154000</v>
      </c>
    </row>
    <row r="67" spans="1:16" x14ac:dyDescent="0.2">
      <c r="A67" s="1">
        <v>64</v>
      </c>
      <c r="B67" s="1" t="s">
        <v>259</v>
      </c>
      <c r="C67" s="1">
        <v>34000695</v>
      </c>
      <c r="D67" s="1" t="s">
        <v>260</v>
      </c>
      <c r="E67" s="314">
        <v>12350000</v>
      </c>
      <c r="F67" s="314">
        <v>0</v>
      </c>
      <c r="G67" s="42">
        <f t="shared" si="0"/>
        <v>4.1569195038624008E-3</v>
      </c>
      <c r="H67" s="43">
        <f t="shared" si="1"/>
        <v>156312.1012956918</v>
      </c>
      <c r="I67" s="43">
        <v>3345000</v>
      </c>
      <c r="J67" s="43">
        <v>953333.33333333326</v>
      </c>
      <c r="K67" s="42">
        <f t="shared" si="2"/>
        <v>1.1879409411222817E-2</v>
      </c>
      <c r="L67" s="43">
        <f t="shared" si="3"/>
        <v>680456.18397035543</v>
      </c>
      <c r="M67" s="43">
        <v>0</v>
      </c>
      <c r="N67" s="44">
        <f t="shared" si="4"/>
        <v>836768.28526604723</v>
      </c>
      <c r="O67" s="321">
        <f t="shared" si="5"/>
        <v>231.7147339527728</v>
      </c>
      <c r="P67" s="322">
        <f t="shared" si="6"/>
        <v>837000</v>
      </c>
    </row>
    <row r="68" spans="1:16" x14ac:dyDescent="0.2">
      <c r="A68" s="1">
        <v>65</v>
      </c>
      <c r="B68" s="1" t="s">
        <v>261</v>
      </c>
      <c r="C68" s="1">
        <v>34000455</v>
      </c>
      <c r="D68" s="1" t="s">
        <v>262</v>
      </c>
      <c r="E68" s="314">
        <v>11350000</v>
      </c>
      <c r="F68" s="314">
        <v>0</v>
      </c>
      <c r="G68" s="42">
        <f t="shared" ref="G68:G131" si="7">(E68+F68)/$E$346</f>
        <v>3.8203268314848785E-3</v>
      </c>
      <c r="H68" s="43">
        <f t="shared" ref="H68:H131" si="8">G68*$H$3</f>
        <v>143655.25098834833</v>
      </c>
      <c r="I68" s="43">
        <v>1250000</v>
      </c>
      <c r="J68" s="43">
        <v>0</v>
      </c>
      <c r="K68" s="42">
        <f t="shared" ref="K68:K131" si="9">(I68+J68)/($I$345+$J$345)</f>
        <v>3.4546557031473876E-3</v>
      </c>
      <c r="L68" s="43">
        <f t="shared" ref="L68:L131" si="10">K68*$L$3</f>
        <v>197883.72934384123</v>
      </c>
      <c r="M68" s="43">
        <v>0</v>
      </c>
      <c r="N68" s="44">
        <f t="shared" si="4"/>
        <v>341538.98033218959</v>
      </c>
      <c r="O68" s="321">
        <f t="shared" si="5"/>
        <v>461.01966781041119</v>
      </c>
      <c r="P68" s="322">
        <f t="shared" si="6"/>
        <v>342000</v>
      </c>
    </row>
    <row r="69" spans="1:16" x14ac:dyDescent="0.2">
      <c r="A69" s="1">
        <v>66</v>
      </c>
      <c r="B69" s="1" t="s">
        <v>263</v>
      </c>
      <c r="C69" s="1">
        <v>34000303</v>
      </c>
      <c r="D69" s="1" t="s">
        <v>264</v>
      </c>
      <c r="E69" s="314">
        <v>12050000</v>
      </c>
      <c r="F69" s="314">
        <v>350000</v>
      </c>
      <c r="G69" s="42">
        <f t="shared" si="7"/>
        <v>4.1737491374812773E-3</v>
      </c>
      <c r="H69" s="43">
        <f t="shared" si="8"/>
        <v>156944.94381105897</v>
      </c>
      <c r="I69" s="43">
        <v>0</v>
      </c>
      <c r="J69" s="43">
        <v>0</v>
      </c>
      <c r="K69" s="42">
        <f t="shared" si="9"/>
        <v>0</v>
      </c>
      <c r="L69" s="43">
        <f t="shared" si="10"/>
        <v>0</v>
      </c>
      <c r="M69" s="43">
        <v>8000</v>
      </c>
      <c r="N69" s="44">
        <f t="shared" ref="N69:N132" si="11">H69+L69+M69</f>
        <v>164944.94381105897</v>
      </c>
      <c r="O69" s="321">
        <f t="shared" ref="O69:O132" si="12">P69-N69</f>
        <v>55.056188941030996</v>
      </c>
      <c r="P69" s="322">
        <f t="shared" ref="P69:P132" si="13">ROUNDUP(N69,-3)</f>
        <v>165000</v>
      </c>
    </row>
    <row r="70" spans="1:16" x14ac:dyDescent="0.2">
      <c r="A70" s="1">
        <v>67</v>
      </c>
      <c r="B70" s="1" t="s">
        <v>265</v>
      </c>
      <c r="C70" s="1">
        <v>34000569</v>
      </c>
      <c r="D70" s="1" t="s">
        <v>266</v>
      </c>
      <c r="E70" s="314">
        <v>11250000</v>
      </c>
      <c r="F70" s="314">
        <v>0</v>
      </c>
      <c r="G70" s="42">
        <f t="shared" si="7"/>
        <v>3.7866675642471265E-3</v>
      </c>
      <c r="H70" s="43">
        <f t="shared" si="8"/>
        <v>142389.56595761399</v>
      </c>
      <c r="I70" s="43">
        <v>0</v>
      </c>
      <c r="J70" s="43">
        <v>0</v>
      </c>
      <c r="K70" s="42">
        <f t="shared" si="9"/>
        <v>0</v>
      </c>
      <c r="L70" s="43">
        <f t="shared" si="10"/>
        <v>0</v>
      </c>
      <c r="M70" s="43">
        <v>0</v>
      </c>
      <c r="N70" s="44">
        <f t="shared" si="11"/>
        <v>142389.56595761399</v>
      </c>
      <c r="O70" s="321">
        <f t="shared" si="12"/>
        <v>610.43404238601215</v>
      </c>
      <c r="P70" s="322">
        <f t="shared" si="13"/>
        <v>143000</v>
      </c>
    </row>
    <row r="71" spans="1:16" x14ac:dyDescent="0.2">
      <c r="A71" s="1">
        <v>68</v>
      </c>
      <c r="B71" s="1" t="s">
        <v>267</v>
      </c>
      <c r="C71" s="1">
        <v>34000503</v>
      </c>
      <c r="D71" s="1" t="s">
        <v>268</v>
      </c>
      <c r="E71" s="314">
        <v>11250000</v>
      </c>
      <c r="F71" s="314">
        <v>0</v>
      </c>
      <c r="G71" s="42">
        <f t="shared" si="7"/>
        <v>3.7866675642471265E-3</v>
      </c>
      <c r="H71" s="43">
        <f t="shared" si="8"/>
        <v>142389.56595761399</v>
      </c>
      <c r="I71" s="43">
        <v>0</v>
      </c>
      <c r="J71" s="43">
        <v>0</v>
      </c>
      <c r="K71" s="42">
        <f t="shared" si="9"/>
        <v>0</v>
      </c>
      <c r="L71" s="43">
        <f t="shared" si="10"/>
        <v>0</v>
      </c>
      <c r="M71" s="43">
        <v>0</v>
      </c>
      <c r="N71" s="44">
        <f t="shared" si="11"/>
        <v>142389.56595761399</v>
      </c>
      <c r="O71" s="321">
        <f t="shared" si="12"/>
        <v>610.43404238601215</v>
      </c>
      <c r="P71" s="322">
        <f t="shared" si="13"/>
        <v>143000</v>
      </c>
    </row>
    <row r="72" spans="1:16" x14ac:dyDescent="0.2">
      <c r="A72" s="1">
        <v>69</v>
      </c>
      <c r="B72" s="1" t="s">
        <v>269</v>
      </c>
      <c r="C72" s="1">
        <v>34000527</v>
      </c>
      <c r="D72" s="1" t="s">
        <v>270</v>
      </c>
      <c r="E72" s="314">
        <v>12050000</v>
      </c>
      <c r="F72" s="314">
        <v>0</v>
      </c>
      <c r="G72" s="42">
        <f t="shared" si="7"/>
        <v>4.0559417021491439E-3</v>
      </c>
      <c r="H72" s="43">
        <f t="shared" si="8"/>
        <v>152515.04620348875</v>
      </c>
      <c r="I72" s="43">
        <v>2355000</v>
      </c>
      <c r="J72" s="43">
        <v>588333.33333333337</v>
      </c>
      <c r="K72" s="42">
        <f t="shared" si="9"/>
        <v>8.1345626290110495E-3</v>
      </c>
      <c r="L72" s="43">
        <f t="shared" si="10"/>
        <v>465950.22136163159</v>
      </c>
      <c r="M72" s="43">
        <v>8000</v>
      </c>
      <c r="N72" s="44">
        <f t="shared" si="11"/>
        <v>626465.26756512036</v>
      </c>
      <c r="O72" s="321">
        <f t="shared" si="12"/>
        <v>534.73243487963919</v>
      </c>
      <c r="P72" s="322">
        <f t="shared" si="13"/>
        <v>627000</v>
      </c>
    </row>
    <row r="73" spans="1:16" x14ac:dyDescent="0.2">
      <c r="A73" s="1">
        <v>70</v>
      </c>
      <c r="B73" s="1" t="s">
        <v>271</v>
      </c>
      <c r="C73" s="1">
        <v>34000210</v>
      </c>
      <c r="D73" s="1" t="s">
        <v>272</v>
      </c>
      <c r="E73" s="314">
        <v>11150000</v>
      </c>
      <c r="F73" s="314">
        <v>0</v>
      </c>
      <c r="G73" s="42">
        <f t="shared" si="7"/>
        <v>3.7530082970093741E-3</v>
      </c>
      <c r="H73" s="43">
        <f t="shared" si="8"/>
        <v>141123.88092687965</v>
      </c>
      <c r="I73" s="43">
        <v>1571666.6666666665</v>
      </c>
      <c r="J73" s="43">
        <v>0</v>
      </c>
      <c r="K73" s="42">
        <f t="shared" si="9"/>
        <v>4.343653770757315E-3</v>
      </c>
      <c r="L73" s="43">
        <f t="shared" si="10"/>
        <v>248805.80902832304</v>
      </c>
      <c r="M73" s="43">
        <v>0</v>
      </c>
      <c r="N73" s="44">
        <f t="shared" si="11"/>
        <v>389929.68995520269</v>
      </c>
      <c r="O73" s="321">
        <f t="shared" si="12"/>
        <v>70.310044797312003</v>
      </c>
      <c r="P73" s="322">
        <f t="shared" si="13"/>
        <v>390000</v>
      </c>
    </row>
    <row r="74" spans="1:16" x14ac:dyDescent="0.2">
      <c r="A74" s="1">
        <v>71</v>
      </c>
      <c r="B74" s="1" t="s">
        <v>273</v>
      </c>
      <c r="C74" s="1">
        <v>34000115</v>
      </c>
      <c r="D74" s="1" t="s">
        <v>274</v>
      </c>
      <c r="E74" s="314">
        <v>12050000</v>
      </c>
      <c r="F74" s="314">
        <v>30000000</v>
      </c>
      <c r="G74" s="42">
        <f t="shared" si="7"/>
        <v>1.4153721873474814E-2</v>
      </c>
      <c r="H74" s="43">
        <f t="shared" si="8"/>
        <v>532220.55542379268</v>
      </c>
      <c r="I74" s="43">
        <v>1200833.3333333333</v>
      </c>
      <c r="J74" s="43">
        <v>0</v>
      </c>
      <c r="K74" s="42">
        <f t="shared" si="9"/>
        <v>3.3187725788235904E-3</v>
      </c>
      <c r="L74" s="43">
        <f t="shared" si="10"/>
        <v>190100.30265631681</v>
      </c>
      <c r="M74" s="43">
        <v>8000</v>
      </c>
      <c r="N74" s="44">
        <f t="shared" si="11"/>
        <v>730320.85808010946</v>
      </c>
      <c r="O74" s="321">
        <f t="shared" si="12"/>
        <v>679.14191989053506</v>
      </c>
      <c r="P74" s="322">
        <f t="shared" si="13"/>
        <v>731000</v>
      </c>
    </row>
    <row r="75" spans="1:16" x14ac:dyDescent="0.2">
      <c r="A75" s="1">
        <v>72</v>
      </c>
      <c r="B75" s="1" t="s">
        <v>275</v>
      </c>
      <c r="C75" s="1">
        <v>34000124</v>
      </c>
      <c r="D75" s="1" t="s">
        <v>276</v>
      </c>
      <c r="E75" s="314">
        <v>11150000</v>
      </c>
      <c r="F75" s="314">
        <v>0</v>
      </c>
      <c r="G75" s="42">
        <f t="shared" si="7"/>
        <v>3.7530082970093741E-3</v>
      </c>
      <c r="H75" s="43">
        <f t="shared" si="8"/>
        <v>141123.88092687965</v>
      </c>
      <c r="I75" s="43">
        <v>1200833.3333333333</v>
      </c>
      <c r="J75" s="43">
        <v>0</v>
      </c>
      <c r="K75" s="42">
        <f t="shared" si="9"/>
        <v>3.3187725788235904E-3</v>
      </c>
      <c r="L75" s="43">
        <f t="shared" si="10"/>
        <v>190100.30265631681</v>
      </c>
      <c r="M75" s="43">
        <v>0</v>
      </c>
      <c r="N75" s="44">
        <f t="shared" si="11"/>
        <v>331224.18358319649</v>
      </c>
      <c r="O75" s="321">
        <f t="shared" si="12"/>
        <v>775.81641680351458</v>
      </c>
      <c r="P75" s="322">
        <f t="shared" si="13"/>
        <v>332000</v>
      </c>
    </row>
    <row r="76" spans="1:16" x14ac:dyDescent="0.2">
      <c r="A76" s="1">
        <v>73</v>
      </c>
      <c r="B76" s="1" t="s">
        <v>277</v>
      </c>
      <c r="C76" s="1">
        <v>34000131</v>
      </c>
      <c r="D76" s="1" t="s">
        <v>278</v>
      </c>
      <c r="E76" s="314">
        <v>11150000</v>
      </c>
      <c r="F76" s="314">
        <v>0</v>
      </c>
      <c r="G76" s="42">
        <f t="shared" si="7"/>
        <v>3.7530082970093741E-3</v>
      </c>
      <c r="H76" s="43">
        <f t="shared" si="8"/>
        <v>141123.88092687965</v>
      </c>
      <c r="I76" s="43">
        <v>0</v>
      </c>
      <c r="J76" s="43">
        <v>0</v>
      </c>
      <c r="K76" s="42">
        <f t="shared" si="9"/>
        <v>0</v>
      </c>
      <c r="L76" s="43">
        <f t="shared" si="10"/>
        <v>0</v>
      </c>
      <c r="M76" s="43">
        <v>0</v>
      </c>
      <c r="N76" s="44">
        <f t="shared" si="11"/>
        <v>141123.88092687965</v>
      </c>
      <c r="O76" s="321">
        <f t="shared" si="12"/>
        <v>876.11907312035328</v>
      </c>
      <c r="P76" s="322">
        <f t="shared" si="13"/>
        <v>142000</v>
      </c>
    </row>
    <row r="77" spans="1:16" x14ac:dyDescent="0.2">
      <c r="A77" s="1">
        <v>74</v>
      </c>
      <c r="B77" s="1" t="s">
        <v>279</v>
      </c>
      <c r="C77" s="1">
        <v>34000516</v>
      </c>
      <c r="D77" s="1" t="s">
        <v>280</v>
      </c>
      <c r="E77" s="314">
        <v>11150000</v>
      </c>
      <c r="F77" s="314">
        <v>0</v>
      </c>
      <c r="G77" s="42">
        <f t="shared" si="7"/>
        <v>3.7530082970093741E-3</v>
      </c>
      <c r="H77" s="43">
        <f t="shared" si="8"/>
        <v>141123.88092687965</v>
      </c>
      <c r="I77" s="43">
        <v>0</v>
      </c>
      <c r="J77" s="43">
        <v>2083500</v>
      </c>
      <c r="K77" s="42">
        <f t="shared" si="9"/>
        <v>5.7582201260060655E-3</v>
      </c>
      <c r="L77" s="43">
        <f t="shared" si="10"/>
        <v>329832.6000703146</v>
      </c>
      <c r="M77" s="43">
        <v>8000</v>
      </c>
      <c r="N77" s="44">
        <f t="shared" si="11"/>
        <v>478956.48099719424</v>
      </c>
      <c r="O77" s="321">
        <f t="shared" si="12"/>
        <v>43.519002805755008</v>
      </c>
      <c r="P77" s="322">
        <f t="shared" si="13"/>
        <v>479000</v>
      </c>
    </row>
    <row r="78" spans="1:16" x14ac:dyDescent="0.2">
      <c r="A78" s="1">
        <v>75</v>
      </c>
      <c r="B78" s="1" t="s">
        <v>281</v>
      </c>
      <c r="C78" s="1">
        <v>34000230</v>
      </c>
      <c r="D78" s="1" t="s">
        <v>282</v>
      </c>
      <c r="E78" s="314">
        <v>11150000</v>
      </c>
      <c r="F78" s="314">
        <v>15000000</v>
      </c>
      <c r="G78" s="42">
        <f t="shared" si="7"/>
        <v>8.8018983826722089E-3</v>
      </c>
      <c r="H78" s="43">
        <f t="shared" si="8"/>
        <v>330976.63553703163</v>
      </c>
      <c r="I78" s="43">
        <v>0</v>
      </c>
      <c r="J78" s="43">
        <v>2737916.666666666</v>
      </c>
      <c r="K78" s="42">
        <f t="shared" si="9"/>
        <v>7.5668475417938266E-3</v>
      </c>
      <c r="L78" s="43">
        <f t="shared" si="10"/>
        <v>433431.32850612688</v>
      </c>
      <c r="M78" s="43">
        <v>0</v>
      </c>
      <c r="N78" s="44">
        <f t="shared" si="11"/>
        <v>764407.96404315857</v>
      </c>
      <c r="O78" s="321">
        <f t="shared" si="12"/>
        <v>592.03595684142783</v>
      </c>
      <c r="P78" s="322">
        <f t="shared" si="13"/>
        <v>765000</v>
      </c>
    </row>
    <row r="79" spans="1:16" x14ac:dyDescent="0.2">
      <c r="A79" s="1">
        <v>76</v>
      </c>
      <c r="B79" s="1" t="s">
        <v>283</v>
      </c>
      <c r="C79" s="1">
        <v>34000050</v>
      </c>
      <c r="D79" s="1" t="s">
        <v>284</v>
      </c>
      <c r="E79" s="314">
        <v>11150000</v>
      </c>
      <c r="F79" s="314">
        <v>0</v>
      </c>
      <c r="G79" s="42">
        <f t="shared" si="7"/>
        <v>3.7530082970093741E-3</v>
      </c>
      <c r="H79" s="43">
        <f t="shared" si="8"/>
        <v>141123.88092687965</v>
      </c>
      <c r="I79" s="43">
        <v>1050000</v>
      </c>
      <c r="J79" s="43">
        <v>1827777.7777777775</v>
      </c>
      <c r="K79" s="42">
        <f t="shared" si="9"/>
        <v>7.9533851299126521E-3</v>
      </c>
      <c r="L79" s="43">
        <f t="shared" si="10"/>
        <v>455572.31911159895</v>
      </c>
      <c r="M79" s="43">
        <v>0</v>
      </c>
      <c r="N79" s="44">
        <f t="shared" si="11"/>
        <v>596696.20003847859</v>
      </c>
      <c r="O79" s="321">
        <f t="shared" si="12"/>
        <v>303.79996152140666</v>
      </c>
      <c r="P79" s="322">
        <f t="shared" si="13"/>
        <v>597000</v>
      </c>
    </row>
    <row r="80" spans="1:16" ht="20.25" customHeight="1" x14ac:dyDescent="0.2">
      <c r="A80" s="1">
        <v>77</v>
      </c>
      <c r="B80" s="1" t="s">
        <v>285</v>
      </c>
      <c r="C80" s="1">
        <v>34000150</v>
      </c>
      <c r="D80" s="1" t="s">
        <v>286</v>
      </c>
      <c r="E80" s="314">
        <v>11150000</v>
      </c>
      <c r="F80" s="314">
        <v>0</v>
      </c>
      <c r="G80" s="42">
        <f t="shared" si="7"/>
        <v>3.7530082970093741E-3</v>
      </c>
      <c r="H80" s="43">
        <f t="shared" si="8"/>
        <v>141123.88092687965</v>
      </c>
      <c r="I80" s="43">
        <v>0</v>
      </c>
      <c r="J80" s="43">
        <v>0</v>
      </c>
      <c r="K80" s="42">
        <f t="shared" si="9"/>
        <v>0</v>
      </c>
      <c r="L80" s="43">
        <f t="shared" si="10"/>
        <v>0</v>
      </c>
      <c r="M80" s="43">
        <v>0</v>
      </c>
      <c r="N80" s="44">
        <f t="shared" si="11"/>
        <v>141123.88092687965</v>
      </c>
      <c r="O80" s="321">
        <f t="shared" si="12"/>
        <v>876.11907312035328</v>
      </c>
      <c r="P80" s="322">
        <f t="shared" si="13"/>
        <v>142000</v>
      </c>
    </row>
    <row r="81" spans="1:16" x14ac:dyDescent="0.2">
      <c r="A81" s="1">
        <v>78</v>
      </c>
      <c r="B81" s="1" t="s">
        <v>287</v>
      </c>
      <c r="C81" s="1">
        <v>34000404</v>
      </c>
      <c r="D81" s="1" t="s">
        <v>288</v>
      </c>
      <c r="E81" s="314">
        <v>11250000</v>
      </c>
      <c r="F81" s="314">
        <v>0</v>
      </c>
      <c r="G81" s="42">
        <f t="shared" si="7"/>
        <v>3.7866675642471265E-3</v>
      </c>
      <c r="H81" s="43">
        <f t="shared" si="8"/>
        <v>142389.56595761399</v>
      </c>
      <c r="I81" s="43">
        <v>558333.33333333326</v>
      </c>
      <c r="J81" s="43">
        <v>0</v>
      </c>
      <c r="K81" s="42">
        <f t="shared" si="9"/>
        <v>1.5430795474058328E-3</v>
      </c>
      <c r="L81" s="43">
        <f t="shared" si="10"/>
        <v>88388.065773582406</v>
      </c>
      <c r="M81" s="43">
        <v>8000</v>
      </c>
      <c r="N81" s="44">
        <f t="shared" si="11"/>
        <v>238777.63173119639</v>
      </c>
      <c r="O81" s="321">
        <f t="shared" si="12"/>
        <v>222.36826880360604</v>
      </c>
      <c r="P81" s="322">
        <f t="shared" si="13"/>
        <v>239000</v>
      </c>
    </row>
    <row r="82" spans="1:16" x14ac:dyDescent="0.2">
      <c r="A82" s="1">
        <v>79</v>
      </c>
      <c r="B82" s="1" t="s">
        <v>289</v>
      </c>
      <c r="C82" s="1">
        <v>34000499</v>
      </c>
      <c r="D82" s="1" t="s">
        <v>290</v>
      </c>
      <c r="E82" s="314">
        <v>11250000</v>
      </c>
      <c r="F82" s="314">
        <v>0</v>
      </c>
      <c r="G82" s="42">
        <f t="shared" si="7"/>
        <v>3.7866675642471265E-3</v>
      </c>
      <c r="H82" s="43">
        <f t="shared" si="8"/>
        <v>142389.56595761399</v>
      </c>
      <c r="I82" s="43">
        <v>0</v>
      </c>
      <c r="J82" s="43">
        <v>0</v>
      </c>
      <c r="K82" s="42">
        <f t="shared" si="9"/>
        <v>0</v>
      </c>
      <c r="L82" s="43">
        <f t="shared" si="10"/>
        <v>0</v>
      </c>
      <c r="M82" s="43">
        <v>0</v>
      </c>
      <c r="N82" s="44">
        <f t="shared" si="11"/>
        <v>142389.56595761399</v>
      </c>
      <c r="O82" s="321">
        <f t="shared" si="12"/>
        <v>610.43404238601215</v>
      </c>
      <c r="P82" s="322">
        <f t="shared" si="13"/>
        <v>143000</v>
      </c>
    </row>
    <row r="83" spans="1:16" x14ac:dyDescent="0.2">
      <c r="A83" s="1">
        <v>80</v>
      </c>
      <c r="B83" s="1" t="s">
        <v>291</v>
      </c>
      <c r="C83" s="1">
        <v>34000316</v>
      </c>
      <c r="D83" s="1" t="s">
        <v>292</v>
      </c>
      <c r="E83" s="314">
        <v>11250000</v>
      </c>
      <c r="F83" s="314">
        <v>0</v>
      </c>
      <c r="G83" s="42">
        <f t="shared" si="7"/>
        <v>3.7866675642471265E-3</v>
      </c>
      <c r="H83" s="43">
        <f t="shared" si="8"/>
        <v>142389.56595761399</v>
      </c>
      <c r="I83" s="43">
        <v>1200833.3333333333</v>
      </c>
      <c r="J83" s="43">
        <v>0</v>
      </c>
      <c r="K83" s="42">
        <f t="shared" si="9"/>
        <v>3.3187725788235904E-3</v>
      </c>
      <c r="L83" s="43">
        <f t="shared" si="10"/>
        <v>190100.30265631681</v>
      </c>
      <c r="M83" s="43">
        <v>0</v>
      </c>
      <c r="N83" s="44">
        <f t="shared" si="11"/>
        <v>332489.86861393077</v>
      </c>
      <c r="O83" s="321">
        <f t="shared" si="12"/>
        <v>510.13138606923167</v>
      </c>
      <c r="P83" s="322">
        <f t="shared" si="13"/>
        <v>333000</v>
      </c>
    </row>
    <row r="84" spans="1:16" x14ac:dyDescent="0.2">
      <c r="A84" s="1">
        <v>81</v>
      </c>
      <c r="B84" s="1" t="s">
        <v>293</v>
      </c>
      <c r="C84" s="1">
        <v>34000422</v>
      </c>
      <c r="D84" s="1" t="s">
        <v>294</v>
      </c>
      <c r="E84" s="314">
        <v>11150000</v>
      </c>
      <c r="F84" s="314">
        <v>0</v>
      </c>
      <c r="G84" s="42">
        <f t="shared" si="7"/>
        <v>3.7530082970093741E-3</v>
      </c>
      <c r="H84" s="43">
        <f t="shared" si="8"/>
        <v>141123.88092687965</v>
      </c>
      <c r="I84" s="43">
        <v>1890000</v>
      </c>
      <c r="J84" s="43">
        <v>1774583.3333333333</v>
      </c>
      <c r="K84" s="42">
        <f t="shared" si="9"/>
        <v>1.012789896972709E-2</v>
      </c>
      <c r="L84" s="43">
        <f t="shared" si="10"/>
        <v>580129.13319302781</v>
      </c>
      <c r="M84" s="43">
        <v>0</v>
      </c>
      <c r="N84" s="44">
        <f t="shared" si="11"/>
        <v>721253.01411990752</v>
      </c>
      <c r="O84" s="321">
        <f t="shared" si="12"/>
        <v>746.98588009248488</v>
      </c>
      <c r="P84" s="322">
        <f t="shared" si="13"/>
        <v>722000</v>
      </c>
    </row>
    <row r="85" spans="1:16" x14ac:dyDescent="0.2">
      <c r="A85" s="1">
        <v>82</v>
      </c>
      <c r="B85" s="1" t="s">
        <v>295</v>
      </c>
      <c r="C85" s="1">
        <v>34000398</v>
      </c>
      <c r="D85" s="1" t="s">
        <v>296</v>
      </c>
      <c r="E85" s="314">
        <v>11950000</v>
      </c>
      <c r="F85" s="314">
        <v>3150000</v>
      </c>
      <c r="G85" s="42">
        <f t="shared" si="7"/>
        <v>5.0825493529005877E-3</v>
      </c>
      <c r="H85" s="43">
        <f t="shared" si="8"/>
        <v>191118.43964088632</v>
      </c>
      <c r="I85" s="43">
        <v>0</v>
      </c>
      <c r="J85" s="43">
        <v>0</v>
      </c>
      <c r="K85" s="42">
        <f t="shared" si="9"/>
        <v>0</v>
      </c>
      <c r="L85" s="43">
        <f t="shared" si="10"/>
        <v>0</v>
      </c>
      <c r="M85" s="43">
        <v>8000</v>
      </c>
      <c r="N85" s="44">
        <f t="shared" si="11"/>
        <v>199118.43964088632</v>
      </c>
      <c r="O85" s="321">
        <f t="shared" si="12"/>
        <v>881.56035911367508</v>
      </c>
      <c r="P85" s="322">
        <f t="shared" si="13"/>
        <v>200000</v>
      </c>
    </row>
    <row r="86" spans="1:16" x14ac:dyDescent="0.2">
      <c r="A86" s="1">
        <v>83</v>
      </c>
      <c r="B86" s="1" t="s">
        <v>299</v>
      </c>
      <c r="C86" s="1">
        <v>34000119</v>
      </c>
      <c r="D86" s="1" t="s">
        <v>300</v>
      </c>
      <c r="E86" s="314">
        <v>11050000</v>
      </c>
      <c r="F86" s="314">
        <v>0</v>
      </c>
      <c r="G86" s="42">
        <f t="shared" si="7"/>
        <v>3.7193490297716221E-3</v>
      </c>
      <c r="H86" s="43">
        <f t="shared" si="8"/>
        <v>139858.19589614531</v>
      </c>
      <c r="I86" s="43">
        <v>2182500</v>
      </c>
      <c r="J86" s="43">
        <v>1725000</v>
      </c>
      <c r="K86" s="42">
        <f t="shared" si="9"/>
        <v>1.0799253728038733E-2</v>
      </c>
      <c r="L86" s="43">
        <f t="shared" si="10"/>
        <v>618584.53792884771</v>
      </c>
      <c r="M86" s="43">
        <v>0</v>
      </c>
      <c r="N86" s="44">
        <f t="shared" si="11"/>
        <v>758442.73382499302</v>
      </c>
      <c r="O86" s="321">
        <f t="shared" si="12"/>
        <v>557.26617500698194</v>
      </c>
      <c r="P86" s="322">
        <f t="shared" si="13"/>
        <v>759000</v>
      </c>
    </row>
    <row r="87" spans="1:16" x14ac:dyDescent="0.2">
      <c r="A87" s="1">
        <v>84</v>
      </c>
      <c r="B87" s="1" t="s">
        <v>303</v>
      </c>
      <c r="C87" s="1">
        <v>34000252</v>
      </c>
      <c r="D87" s="1" t="s">
        <v>304</v>
      </c>
      <c r="E87" s="314">
        <v>11050000</v>
      </c>
      <c r="F87" s="314">
        <v>0</v>
      </c>
      <c r="G87" s="42">
        <f t="shared" si="7"/>
        <v>3.7193490297716221E-3</v>
      </c>
      <c r="H87" s="43">
        <f t="shared" si="8"/>
        <v>139858.19589614531</v>
      </c>
      <c r="I87" s="43">
        <v>1050000</v>
      </c>
      <c r="J87" s="43">
        <v>0</v>
      </c>
      <c r="K87" s="42">
        <f t="shared" si="9"/>
        <v>2.9019107906438058E-3</v>
      </c>
      <c r="L87" s="43">
        <f t="shared" si="10"/>
        <v>166222.33264882665</v>
      </c>
      <c r="M87" s="43">
        <v>8000</v>
      </c>
      <c r="N87" s="44">
        <f t="shared" si="11"/>
        <v>314080.52854497195</v>
      </c>
      <c r="O87" s="321">
        <f t="shared" si="12"/>
        <v>919.47145502804779</v>
      </c>
      <c r="P87" s="322">
        <f t="shared" si="13"/>
        <v>315000</v>
      </c>
    </row>
    <row r="88" spans="1:16" x14ac:dyDescent="0.2">
      <c r="A88" s="1">
        <v>85</v>
      </c>
      <c r="B88" s="1" t="s">
        <v>305</v>
      </c>
      <c r="C88" s="1">
        <v>34000593</v>
      </c>
      <c r="D88" s="1" t="s">
        <v>306</v>
      </c>
      <c r="E88" s="314">
        <v>11050000</v>
      </c>
      <c r="F88" s="314">
        <v>0</v>
      </c>
      <c r="G88" s="42">
        <f t="shared" si="7"/>
        <v>3.7193490297716221E-3</v>
      </c>
      <c r="H88" s="43">
        <f t="shared" si="8"/>
        <v>139858.19589614531</v>
      </c>
      <c r="I88" s="43">
        <v>0</v>
      </c>
      <c r="J88" s="43">
        <v>0</v>
      </c>
      <c r="K88" s="42">
        <f t="shared" si="9"/>
        <v>0</v>
      </c>
      <c r="L88" s="43">
        <f t="shared" si="10"/>
        <v>0</v>
      </c>
      <c r="M88" s="43">
        <v>0</v>
      </c>
      <c r="N88" s="44">
        <f t="shared" si="11"/>
        <v>139858.19589614531</v>
      </c>
      <c r="O88" s="321">
        <f t="shared" si="12"/>
        <v>141.8041038546944</v>
      </c>
      <c r="P88" s="322">
        <f t="shared" si="13"/>
        <v>140000</v>
      </c>
    </row>
    <row r="89" spans="1:16" x14ac:dyDescent="0.2">
      <c r="A89" s="1">
        <v>86</v>
      </c>
      <c r="B89" s="1" t="s">
        <v>307</v>
      </c>
      <c r="C89" s="1">
        <v>34000582</v>
      </c>
      <c r="D89" s="1" t="s">
        <v>308</v>
      </c>
      <c r="E89" s="314">
        <v>11050000</v>
      </c>
      <c r="F89" s="314">
        <v>0</v>
      </c>
      <c r="G89" s="42">
        <f t="shared" si="7"/>
        <v>3.7193490297716221E-3</v>
      </c>
      <c r="H89" s="43">
        <f t="shared" si="8"/>
        <v>139858.19589614531</v>
      </c>
      <c r="I89" s="43">
        <v>982833.33333333337</v>
      </c>
      <c r="J89" s="43">
        <v>0</v>
      </c>
      <c r="K89" s="42">
        <f t="shared" si="9"/>
        <v>2.7162806241946861E-3</v>
      </c>
      <c r="L89" s="43">
        <f t="shared" si="10"/>
        <v>155589.38025875093</v>
      </c>
      <c r="M89" s="43">
        <v>0</v>
      </c>
      <c r="N89" s="44">
        <f t="shared" si="11"/>
        <v>295447.57615489623</v>
      </c>
      <c r="O89" s="321">
        <f t="shared" si="12"/>
        <v>552.42384510376723</v>
      </c>
      <c r="P89" s="322">
        <f t="shared" si="13"/>
        <v>296000</v>
      </c>
    </row>
    <row r="90" spans="1:16" x14ac:dyDescent="0.2">
      <c r="A90" s="1">
        <v>87</v>
      </c>
      <c r="B90" s="1" t="s">
        <v>309</v>
      </c>
      <c r="C90" s="1">
        <v>34000336</v>
      </c>
      <c r="D90" s="1" t="s">
        <v>310</v>
      </c>
      <c r="E90" s="314">
        <v>11050000</v>
      </c>
      <c r="F90" s="314">
        <v>0</v>
      </c>
      <c r="G90" s="42">
        <f t="shared" si="7"/>
        <v>3.7193490297716221E-3</v>
      </c>
      <c r="H90" s="43">
        <f t="shared" si="8"/>
        <v>139858.19589614531</v>
      </c>
      <c r="I90" s="43">
        <v>327500</v>
      </c>
      <c r="J90" s="43">
        <v>0</v>
      </c>
      <c r="K90" s="42">
        <f t="shared" si="9"/>
        <v>9.0511979422461556E-4</v>
      </c>
      <c r="L90" s="43">
        <f t="shared" si="10"/>
        <v>51845.537088086407</v>
      </c>
      <c r="M90" s="43">
        <v>0</v>
      </c>
      <c r="N90" s="44">
        <f t="shared" si="11"/>
        <v>191703.73298423173</v>
      </c>
      <c r="O90" s="321">
        <f t="shared" si="12"/>
        <v>296.26701576827327</v>
      </c>
      <c r="P90" s="322">
        <f t="shared" si="13"/>
        <v>192000</v>
      </c>
    </row>
    <row r="91" spans="1:16" x14ac:dyDescent="0.2">
      <c r="A91" s="1">
        <v>88</v>
      </c>
      <c r="B91" s="1" t="s">
        <v>312</v>
      </c>
      <c r="C91" s="1">
        <v>34000221</v>
      </c>
      <c r="D91" s="1" t="s">
        <v>313</v>
      </c>
      <c r="E91" s="314">
        <v>11750000</v>
      </c>
      <c r="F91" s="314">
        <v>0</v>
      </c>
      <c r="G91" s="42">
        <f t="shared" si="7"/>
        <v>3.9549639004358879E-3</v>
      </c>
      <c r="H91" s="43">
        <f t="shared" si="8"/>
        <v>148717.99111128572</v>
      </c>
      <c r="I91" s="43">
        <v>0</v>
      </c>
      <c r="J91" s="43">
        <v>0</v>
      </c>
      <c r="K91" s="42">
        <f t="shared" si="9"/>
        <v>0</v>
      </c>
      <c r="L91" s="43">
        <f t="shared" si="10"/>
        <v>0</v>
      </c>
      <c r="M91" s="43">
        <v>8000</v>
      </c>
      <c r="N91" s="44">
        <f t="shared" si="11"/>
        <v>156717.99111128572</v>
      </c>
      <c r="O91" s="321">
        <f t="shared" si="12"/>
        <v>282.00888871427742</v>
      </c>
      <c r="P91" s="322">
        <f t="shared" si="13"/>
        <v>157000</v>
      </c>
    </row>
    <row r="92" spans="1:16" x14ac:dyDescent="0.2">
      <c r="A92" s="1">
        <v>89</v>
      </c>
      <c r="B92" s="1" t="s">
        <v>314</v>
      </c>
      <c r="C92" s="1">
        <v>34000624</v>
      </c>
      <c r="D92" s="1" t="s">
        <v>315</v>
      </c>
      <c r="E92" s="314">
        <v>11050000</v>
      </c>
      <c r="F92" s="314">
        <v>0</v>
      </c>
      <c r="G92" s="42">
        <f t="shared" si="7"/>
        <v>3.7193490297716221E-3</v>
      </c>
      <c r="H92" s="43">
        <f t="shared" si="8"/>
        <v>139858.19589614531</v>
      </c>
      <c r="I92" s="43">
        <v>720000</v>
      </c>
      <c r="J92" s="43">
        <v>0</v>
      </c>
      <c r="K92" s="42">
        <f t="shared" si="9"/>
        <v>1.9898816850128951E-3</v>
      </c>
      <c r="L92" s="43">
        <f t="shared" si="10"/>
        <v>113981.02810205254</v>
      </c>
      <c r="M92" s="43">
        <v>0</v>
      </c>
      <c r="N92" s="44">
        <f t="shared" si="11"/>
        <v>253839.22399819785</v>
      </c>
      <c r="O92" s="321">
        <f t="shared" si="12"/>
        <v>160.77600180215086</v>
      </c>
      <c r="P92" s="322">
        <f t="shared" si="13"/>
        <v>254000</v>
      </c>
    </row>
    <row r="93" spans="1:16" x14ac:dyDescent="0.2">
      <c r="A93" s="1">
        <v>90</v>
      </c>
      <c r="B93" s="1" t="s">
        <v>316</v>
      </c>
      <c r="C93" s="1">
        <v>34000241</v>
      </c>
      <c r="D93" s="1" t="s">
        <v>317</v>
      </c>
      <c r="E93" s="314">
        <v>11050000</v>
      </c>
      <c r="F93" s="314">
        <v>0</v>
      </c>
      <c r="G93" s="42">
        <f t="shared" si="7"/>
        <v>3.7193490297716221E-3</v>
      </c>
      <c r="H93" s="43">
        <f t="shared" si="8"/>
        <v>139858.19589614531</v>
      </c>
      <c r="I93" s="43">
        <v>1215000</v>
      </c>
      <c r="J93" s="43">
        <v>0</v>
      </c>
      <c r="K93" s="42">
        <f t="shared" si="9"/>
        <v>3.3579253434592609E-3</v>
      </c>
      <c r="L93" s="43">
        <f t="shared" si="10"/>
        <v>192342.98492221368</v>
      </c>
      <c r="M93" s="43">
        <v>0</v>
      </c>
      <c r="N93" s="44">
        <f t="shared" si="11"/>
        <v>332201.18081835902</v>
      </c>
      <c r="O93" s="321">
        <f t="shared" si="12"/>
        <v>798.8191816409817</v>
      </c>
      <c r="P93" s="322">
        <f t="shared" si="13"/>
        <v>333000</v>
      </c>
    </row>
    <row r="94" spans="1:16" x14ac:dyDescent="0.2">
      <c r="A94" s="1">
        <v>91</v>
      </c>
      <c r="B94" s="1" t="s">
        <v>319</v>
      </c>
      <c r="C94" s="1">
        <v>34000780</v>
      </c>
      <c r="D94" s="1" t="s">
        <v>320</v>
      </c>
      <c r="E94" s="314">
        <v>11250000</v>
      </c>
      <c r="F94" s="314">
        <v>0</v>
      </c>
      <c r="G94" s="42">
        <f t="shared" si="7"/>
        <v>3.7866675642471265E-3</v>
      </c>
      <c r="H94" s="43">
        <f t="shared" si="8"/>
        <v>142389.56595761399</v>
      </c>
      <c r="I94" s="43">
        <v>2295000</v>
      </c>
      <c r="J94" s="43">
        <v>693333.33333333337</v>
      </c>
      <c r="K94" s="42">
        <f t="shared" si="9"/>
        <v>8.2589302343243545E-3</v>
      </c>
      <c r="L94" s="43">
        <f t="shared" si="10"/>
        <v>473074.0356180098</v>
      </c>
      <c r="M94" s="43">
        <v>8000</v>
      </c>
      <c r="N94" s="44">
        <f t="shared" si="11"/>
        <v>623463.60157562373</v>
      </c>
      <c r="O94" s="321">
        <f t="shared" si="12"/>
        <v>536.39842437626794</v>
      </c>
      <c r="P94" s="322">
        <f t="shared" si="13"/>
        <v>624000</v>
      </c>
    </row>
    <row r="95" spans="1:16" x14ac:dyDescent="0.2">
      <c r="A95" s="1">
        <v>92</v>
      </c>
      <c r="B95" s="1" t="s">
        <v>322</v>
      </c>
      <c r="C95" s="1">
        <v>34000027</v>
      </c>
      <c r="D95" s="1" t="s">
        <v>323</v>
      </c>
      <c r="E95" s="314">
        <v>11050000</v>
      </c>
      <c r="F95" s="314">
        <v>0</v>
      </c>
      <c r="G95" s="42">
        <f t="shared" si="7"/>
        <v>3.7193490297716221E-3</v>
      </c>
      <c r="H95" s="43">
        <f t="shared" si="8"/>
        <v>139858.19589614531</v>
      </c>
      <c r="I95" s="43">
        <v>1050000</v>
      </c>
      <c r="J95" s="43">
        <v>0</v>
      </c>
      <c r="K95" s="42">
        <f t="shared" si="9"/>
        <v>2.9019107906438058E-3</v>
      </c>
      <c r="L95" s="43">
        <f t="shared" si="10"/>
        <v>166222.33264882665</v>
      </c>
      <c r="M95" s="43">
        <v>8000</v>
      </c>
      <c r="N95" s="44">
        <f t="shared" si="11"/>
        <v>314080.52854497195</v>
      </c>
      <c r="O95" s="321">
        <f t="shared" si="12"/>
        <v>919.47145502804779</v>
      </c>
      <c r="P95" s="322">
        <f t="shared" si="13"/>
        <v>315000</v>
      </c>
    </row>
    <row r="96" spans="1:16" x14ac:dyDescent="0.2">
      <c r="A96" s="1">
        <v>93</v>
      </c>
      <c r="B96" s="1" t="s">
        <v>324</v>
      </c>
      <c r="C96" s="1">
        <v>34000301</v>
      </c>
      <c r="D96" s="1" t="s">
        <v>325</v>
      </c>
      <c r="E96" s="314">
        <v>11150000</v>
      </c>
      <c r="F96" s="314">
        <v>0</v>
      </c>
      <c r="G96" s="42">
        <f t="shared" si="7"/>
        <v>3.7530082970093741E-3</v>
      </c>
      <c r="H96" s="43">
        <f t="shared" si="8"/>
        <v>141123.88092687965</v>
      </c>
      <c r="I96" s="43">
        <v>1170833.3333333335</v>
      </c>
      <c r="J96" s="43">
        <v>1791666.6666666665</v>
      </c>
      <c r="K96" s="42">
        <f t="shared" si="9"/>
        <v>8.1875340164593094E-3</v>
      </c>
      <c r="L96" s="43">
        <f t="shared" si="10"/>
        <v>468984.43854490377</v>
      </c>
      <c r="M96" s="43">
        <v>0</v>
      </c>
      <c r="N96" s="44">
        <f t="shared" si="11"/>
        <v>610108.31947178347</v>
      </c>
      <c r="O96" s="321">
        <f t="shared" si="12"/>
        <v>891.68052821652964</v>
      </c>
      <c r="P96" s="322">
        <f t="shared" si="13"/>
        <v>611000</v>
      </c>
    </row>
    <row r="97" spans="1:16" x14ac:dyDescent="0.2">
      <c r="A97" s="1">
        <v>94</v>
      </c>
      <c r="B97" s="1" t="s">
        <v>326</v>
      </c>
      <c r="C97" s="1">
        <v>34000278</v>
      </c>
      <c r="D97" s="1" t="s">
        <v>327</v>
      </c>
      <c r="E97" s="314">
        <v>11050000</v>
      </c>
      <c r="F97" s="314">
        <v>0</v>
      </c>
      <c r="G97" s="42">
        <f t="shared" si="7"/>
        <v>3.7193490297716221E-3</v>
      </c>
      <c r="H97" s="43">
        <f t="shared" si="8"/>
        <v>139858.19589614531</v>
      </c>
      <c r="I97" s="43">
        <v>0</v>
      </c>
      <c r="J97" s="43">
        <v>0</v>
      </c>
      <c r="K97" s="42">
        <f t="shared" si="9"/>
        <v>0</v>
      </c>
      <c r="L97" s="43">
        <f t="shared" si="10"/>
        <v>0</v>
      </c>
      <c r="M97" s="43">
        <v>0</v>
      </c>
      <c r="N97" s="44">
        <f t="shared" si="11"/>
        <v>139858.19589614531</v>
      </c>
      <c r="O97" s="321">
        <f t="shared" si="12"/>
        <v>141.8041038546944</v>
      </c>
      <c r="P97" s="322">
        <f t="shared" si="13"/>
        <v>140000</v>
      </c>
    </row>
    <row r="98" spans="1:16" x14ac:dyDescent="0.2">
      <c r="A98" s="1">
        <v>95</v>
      </c>
      <c r="B98" s="1" t="s">
        <v>329</v>
      </c>
      <c r="C98" s="1">
        <v>34000638</v>
      </c>
      <c r="D98" s="1" t="s">
        <v>330</v>
      </c>
      <c r="E98" s="314">
        <v>11050000</v>
      </c>
      <c r="F98" s="314">
        <v>0</v>
      </c>
      <c r="G98" s="42">
        <f t="shared" si="7"/>
        <v>3.7193490297716221E-3</v>
      </c>
      <c r="H98" s="43">
        <f t="shared" si="8"/>
        <v>139858.19589614531</v>
      </c>
      <c r="I98" s="43">
        <v>0</v>
      </c>
      <c r="J98" s="43">
        <v>0</v>
      </c>
      <c r="K98" s="42">
        <f t="shared" si="9"/>
        <v>0</v>
      </c>
      <c r="L98" s="43">
        <f t="shared" si="10"/>
        <v>0</v>
      </c>
      <c r="M98" s="43">
        <v>0</v>
      </c>
      <c r="N98" s="44">
        <f t="shared" si="11"/>
        <v>139858.19589614531</v>
      </c>
      <c r="O98" s="321">
        <f t="shared" si="12"/>
        <v>141.8041038546944</v>
      </c>
      <c r="P98" s="322">
        <f t="shared" si="13"/>
        <v>140000</v>
      </c>
    </row>
    <row r="99" spans="1:16" x14ac:dyDescent="0.2">
      <c r="A99" s="1">
        <v>96</v>
      </c>
      <c r="B99" s="1" t="s">
        <v>333</v>
      </c>
      <c r="C99" s="1">
        <v>34000233</v>
      </c>
      <c r="D99" s="1" t="s">
        <v>334</v>
      </c>
      <c r="E99" s="314">
        <v>11750000</v>
      </c>
      <c r="F99" s="314">
        <v>0</v>
      </c>
      <c r="G99" s="42">
        <f t="shared" si="7"/>
        <v>3.9549639004358879E-3</v>
      </c>
      <c r="H99" s="43">
        <f t="shared" si="8"/>
        <v>148717.99111128572</v>
      </c>
      <c r="I99" s="43">
        <v>0</v>
      </c>
      <c r="J99" s="43">
        <v>0</v>
      </c>
      <c r="K99" s="42">
        <f t="shared" si="9"/>
        <v>0</v>
      </c>
      <c r="L99" s="43">
        <f t="shared" si="10"/>
        <v>0</v>
      </c>
      <c r="M99" s="43">
        <v>0</v>
      </c>
      <c r="N99" s="44">
        <f t="shared" si="11"/>
        <v>148717.99111128572</v>
      </c>
      <c r="O99" s="321">
        <f t="shared" si="12"/>
        <v>282.00888871427742</v>
      </c>
      <c r="P99" s="322">
        <f t="shared" si="13"/>
        <v>149000</v>
      </c>
    </row>
    <row r="100" spans="1:16" x14ac:dyDescent="0.2">
      <c r="A100" s="1">
        <v>97</v>
      </c>
      <c r="B100" s="1" t="s">
        <v>335</v>
      </c>
      <c r="C100" s="1">
        <v>34000474</v>
      </c>
      <c r="D100" s="1" t="s">
        <v>336</v>
      </c>
      <c r="E100" s="314">
        <v>11950000</v>
      </c>
      <c r="F100" s="314">
        <v>0</v>
      </c>
      <c r="G100" s="42">
        <f t="shared" si="7"/>
        <v>4.0222824349113919E-3</v>
      </c>
      <c r="H100" s="43">
        <f t="shared" si="8"/>
        <v>151249.3611727544</v>
      </c>
      <c r="I100" s="43">
        <v>0</v>
      </c>
      <c r="J100" s="43">
        <v>0</v>
      </c>
      <c r="K100" s="42">
        <f t="shared" si="9"/>
        <v>0</v>
      </c>
      <c r="L100" s="43">
        <f t="shared" si="10"/>
        <v>0</v>
      </c>
      <c r="M100" s="43">
        <v>0</v>
      </c>
      <c r="N100" s="44">
        <f t="shared" si="11"/>
        <v>151249.3611727544</v>
      </c>
      <c r="O100" s="321">
        <f t="shared" si="12"/>
        <v>750.63882724559517</v>
      </c>
      <c r="P100" s="322">
        <f t="shared" si="13"/>
        <v>152000</v>
      </c>
    </row>
    <row r="101" spans="1:16" x14ac:dyDescent="0.2">
      <c r="A101" s="1">
        <v>98</v>
      </c>
      <c r="B101" s="1" t="s">
        <v>337</v>
      </c>
      <c r="C101" s="1">
        <v>34000714</v>
      </c>
      <c r="D101" s="1" t="s">
        <v>338</v>
      </c>
      <c r="E101" s="314">
        <v>11950000</v>
      </c>
      <c r="F101" s="314">
        <v>0</v>
      </c>
      <c r="G101" s="42">
        <f t="shared" si="7"/>
        <v>4.0222824349113919E-3</v>
      </c>
      <c r="H101" s="43">
        <f t="shared" si="8"/>
        <v>151249.3611727544</v>
      </c>
      <c r="I101" s="43">
        <v>0</v>
      </c>
      <c r="J101" s="43">
        <v>0</v>
      </c>
      <c r="K101" s="42">
        <f t="shared" si="9"/>
        <v>0</v>
      </c>
      <c r="L101" s="43">
        <f t="shared" si="10"/>
        <v>0</v>
      </c>
      <c r="M101" s="43">
        <v>0</v>
      </c>
      <c r="N101" s="44">
        <f t="shared" si="11"/>
        <v>151249.3611727544</v>
      </c>
      <c r="O101" s="321">
        <f t="shared" si="12"/>
        <v>750.63882724559517</v>
      </c>
      <c r="P101" s="322">
        <f t="shared" si="13"/>
        <v>152000</v>
      </c>
    </row>
    <row r="102" spans="1:16" x14ac:dyDescent="0.2">
      <c r="A102" s="1">
        <v>99</v>
      </c>
      <c r="B102" s="1" t="s">
        <v>339</v>
      </c>
      <c r="C102" s="1">
        <v>34000224</v>
      </c>
      <c r="D102" s="1" t="s">
        <v>340</v>
      </c>
      <c r="E102" s="314">
        <v>11750000</v>
      </c>
      <c r="F102" s="314">
        <v>0</v>
      </c>
      <c r="G102" s="42">
        <f t="shared" si="7"/>
        <v>3.9549639004358879E-3</v>
      </c>
      <c r="H102" s="43">
        <f t="shared" si="8"/>
        <v>148717.99111128572</v>
      </c>
      <c r="I102" s="43">
        <v>540000</v>
      </c>
      <c r="J102" s="43">
        <v>0</v>
      </c>
      <c r="K102" s="42">
        <f t="shared" si="9"/>
        <v>1.4924112637596716E-3</v>
      </c>
      <c r="L102" s="43">
        <f t="shared" si="10"/>
        <v>85485.771076539429</v>
      </c>
      <c r="M102" s="43">
        <v>0</v>
      </c>
      <c r="N102" s="44">
        <f t="shared" si="11"/>
        <v>234203.76218782517</v>
      </c>
      <c r="O102" s="321">
        <f t="shared" si="12"/>
        <v>796.23781217483338</v>
      </c>
      <c r="P102" s="322">
        <f t="shared" si="13"/>
        <v>235000</v>
      </c>
    </row>
    <row r="103" spans="1:16" x14ac:dyDescent="0.2">
      <c r="A103" s="1">
        <v>100</v>
      </c>
      <c r="B103" s="1" t="s">
        <v>341</v>
      </c>
      <c r="C103" s="1">
        <v>34000524</v>
      </c>
      <c r="D103" s="1" t="s">
        <v>343</v>
      </c>
      <c r="E103" s="314">
        <v>11050000</v>
      </c>
      <c r="F103" s="314">
        <v>0</v>
      </c>
      <c r="G103" s="42">
        <f t="shared" si="7"/>
        <v>3.7193490297716221E-3</v>
      </c>
      <c r="H103" s="43">
        <f t="shared" si="8"/>
        <v>139858.19589614531</v>
      </c>
      <c r="I103" s="43">
        <v>1430000</v>
      </c>
      <c r="J103" s="43">
        <v>62500</v>
      </c>
      <c r="K103" s="42">
        <f t="shared" si="9"/>
        <v>4.1248589095579805E-3</v>
      </c>
      <c r="L103" s="43">
        <f t="shared" si="10"/>
        <v>236273.17283654644</v>
      </c>
      <c r="M103" s="43">
        <v>8000</v>
      </c>
      <c r="N103" s="44">
        <f t="shared" si="11"/>
        <v>384131.36873269174</v>
      </c>
      <c r="O103" s="321">
        <f t="shared" si="12"/>
        <v>868.63126730825752</v>
      </c>
      <c r="P103" s="322">
        <f t="shared" si="13"/>
        <v>385000</v>
      </c>
    </row>
    <row r="104" spans="1:16" x14ac:dyDescent="0.2">
      <c r="A104" s="1">
        <v>101</v>
      </c>
      <c r="B104" s="1" t="s">
        <v>344</v>
      </c>
      <c r="C104" s="1">
        <v>34000566</v>
      </c>
      <c r="D104" s="1" t="s">
        <v>345</v>
      </c>
      <c r="E104" s="314">
        <v>11550000</v>
      </c>
      <c r="F104" s="314">
        <v>0</v>
      </c>
      <c r="G104" s="42">
        <f t="shared" si="7"/>
        <v>3.887645365960383E-3</v>
      </c>
      <c r="H104" s="43">
        <f t="shared" si="8"/>
        <v>146186.62104981701</v>
      </c>
      <c r="I104" s="43">
        <v>0</v>
      </c>
      <c r="J104" s="43">
        <v>0</v>
      </c>
      <c r="K104" s="42">
        <f t="shared" si="9"/>
        <v>0</v>
      </c>
      <c r="L104" s="43">
        <f t="shared" si="10"/>
        <v>0</v>
      </c>
      <c r="M104" s="43">
        <v>0</v>
      </c>
      <c r="N104" s="44">
        <f t="shared" si="11"/>
        <v>146186.62104981701</v>
      </c>
      <c r="O104" s="321">
        <f t="shared" si="12"/>
        <v>813.37895018298877</v>
      </c>
      <c r="P104" s="322">
        <f t="shared" si="13"/>
        <v>147000</v>
      </c>
    </row>
    <row r="105" spans="1:16" x14ac:dyDescent="0.2">
      <c r="A105" s="1">
        <v>102</v>
      </c>
      <c r="B105" s="1" t="s">
        <v>346</v>
      </c>
      <c r="C105" s="1">
        <v>34000013</v>
      </c>
      <c r="D105" s="1" t="s">
        <v>347</v>
      </c>
      <c r="E105" s="314">
        <v>11750000</v>
      </c>
      <c r="F105" s="314">
        <v>0</v>
      </c>
      <c r="G105" s="42">
        <f t="shared" si="7"/>
        <v>3.9549639004358879E-3</v>
      </c>
      <c r="H105" s="43">
        <f t="shared" si="8"/>
        <v>148717.99111128572</v>
      </c>
      <c r="I105" s="43">
        <v>0</v>
      </c>
      <c r="J105" s="43">
        <v>0</v>
      </c>
      <c r="K105" s="42">
        <f t="shared" si="9"/>
        <v>0</v>
      </c>
      <c r="L105" s="43">
        <f t="shared" si="10"/>
        <v>0</v>
      </c>
      <c r="M105" s="43">
        <v>0</v>
      </c>
      <c r="N105" s="44">
        <f t="shared" si="11"/>
        <v>148717.99111128572</v>
      </c>
      <c r="O105" s="321">
        <f t="shared" si="12"/>
        <v>282.00888871427742</v>
      </c>
      <c r="P105" s="322">
        <f t="shared" si="13"/>
        <v>149000</v>
      </c>
    </row>
    <row r="106" spans="1:16" x14ac:dyDescent="0.2">
      <c r="A106" s="1">
        <v>103</v>
      </c>
      <c r="B106" s="1" t="s">
        <v>348</v>
      </c>
      <c r="C106" s="1">
        <v>34000077</v>
      </c>
      <c r="D106" s="1" t="s">
        <v>349</v>
      </c>
      <c r="E106" s="314">
        <v>11050000</v>
      </c>
      <c r="F106" s="314">
        <v>0</v>
      </c>
      <c r="G106" s="42">
        <f t="shared" si="7"/>
        <v>3.7193490297716221E-3</v>
      </c>
      <c r="H106" s="43">
        <f t="shared" si="8"/>
        <v>139858.19589614531</v>
      </c>
      <c r="I106" s="43">
        <v>1050000</v>
      </c>
      <c r="J106" s="43">
        <v>0</v>
      </c>
      <c r="K106" s="42">
        <f t="shared" si="9"/>
        <v>2.9019107906438058E-3</v>
      </c>
      <c r="L106" s="43">
        <f t="shared" si="10"/>
        <v>166222.33264882665</v>
      </c>
      <c r="M106" s="43">
        <v>0</v>
      </c>
      <c r="N106" s="44">
        <f t="shared" si="11"/>
        <v>306080.52854497195</v>
      </c>
      <c r="O106" s="321">
        <f t="shared" si="12"/>
        <v>919.47145502804779</v>
      </c>
      <c r="P106" s="322">
        <f t="shared" si="13"/>
        <v>307000</v>
      </c>
    </row>
    <row r="107" spans="1:16" x14ac:dyDescent="0.2">
      <c r="A107" s="1">
        <v>104</v>
      </c>
      <c r="B107" s="1" t="s">
        <v>350</v>
      </c>
      <c r="C107" s="1">
        <v>34000757</v>
      </c>
      <c r="D107" s="1" t="s">
        <v>351</v>
      </c>
      <c r="E107" s="314">
        <v>11050000</v>
      </c>
      <c r="F107" s="314">
        <v>0</v>
      </c>
      <c r="G107" s="42">
        <f t="shared" si="7"/>
        <v>3.7193490297716221E-3</v>
      </c>
      <c r="H107" s="43">
        <f t="shared" si="8"/>
        <v>139858.19589614531</v>
      </c>
      <c r="I107" s="43">
        <v>0</v>
      </c>
      <c r="J107" s="43">
        <v>0</v>
      </c>
      <c r="K107" s="42">
        <f t="shared" si="9"/>
        <v>0</v>
      </c>
      <c r="L107" s="43">
        <f t="shared" si="10"/>
        <v>0</v>
      </c>
      <c r="M107" s="43">
        <v>0</v>
      </c>
      <c r="N107" s="44">
        <f t="shared" si="11"/>
        <v>139858.19589614531</v>
      </c>
      <c r="O107" s="321">
        <f t="shared" si="12"/>
        <v>141.8041038546944</v>
      </c>
      <c r="P107" s="322">
        <f t="shared" si="13"/>
        <v>140000</v>
      </c>
    </row>
    <row r="108" spans="1:16" x14ac:dyDescent="0.2">
      <c r="A108" s="1">
        <v>105</v>
      </c>
      <c r="B108" s="1" t="s">
        <v>352</v>
      </c>
      <c r="C108" s="1">
        <v>34000012</v>
      </c>
      <c r="D108" s="1" t="s">
        <v>353</v>
      </c>
      <c r="E108" s="314">
        <v>11850000</v>
      </c>
      <c r="F108" s="314">
        <v>0</v>
      </c>
      <c r="G108" s="42">
        <f t="shared" si="7"/>
        <v>3.9886231676736399E-3</v>
      </c>
      <c r="H108" s="43">
        <f t="shared" si="8"/>
        <v>149983.67614202006</v>
      </c>
      <c r="I108" s="43">
        <v>746666.66666666663</v>
      </c>
      <c r="J108" s="43">
        <v>3188885</v>
      </c>
      <c r="K108" s="42">
        <f t="shared" si="9"/>
        <v>1.0876780808224965E-2</v>
      </c>
      <c r="L108" s="43">
        <f t="shared" si="10"/>
        <v>623025.31266029598</v>
      </c>
      <c r="M108" s="43">
        <v>0</v>
      </c>
      <c r="N108" s="44">
        <f t="shared" si="11"/>
        <v>773008.98880231602</v>
      </c>
      <c r="O108" s="321">
        <f t="shared" si="12"/>
        <v>991.01119768398348</v>
      </c>
      <c r="P108" s="322">
        <f t="shared" si="13"/>
        <v>774000</v>
      </c>
    </row>
    <row r="109" spans="1:16" x14ac:dyDescent="0.2">
      <c r="A109" s="1">
        <v>106</v>
      </c>
      <c r="B109" s="1" t="s">
        <v>354</v>
      </c>
      <c r="C109" s="1">
        <v>34000794</v>
      </c>
      <c r="D109" s="1" t="s">
        <v>355</v>
      </c>
      <c r="E109" s="314">
        <v>11050000</v>
      </c>
      <c r="F109" s="314">
        <v>0</v>
      </c>
      <c r="G109" s="42">
        <f t="shared" si="7"/>
        <v>3.7193490297716221E-3</v>
      </c>
      <c r="H109" s="43">
        <f t="shared" si="8"/>
        <v>139858.19589614531</v>
      </c>
      <c r="I109" s="43">
        <v>1080000</v>
      </c>
      <c r="J109" s="43">
        <v>0</v>
      </c>
      <c r="K109" s="42">
        <f t="shared" si="9"/>
        <v>2.9848225275193431E-3</v>
      </c>
      <c r="L109" s="43">
        <f t="shared" si="10"/>
        <v>170971.54215307886</v>
      </c>
      <c r="M109" s="43">
        <v>8000</v>
      </c>
      <c r="N109" s="44">
        <f t="shared" si="11"/>
        <v>318829.73804922414</v>
      </c>
      <c r="O109" s="321">
        <f t="shared" si="12"/>
        <v>170.26195077586453</v>
      </c>
      <c r="P109" s="322">
        <f t="shared" si="13"/>
        <v>319000</v>
      </c>
    </row>
    <row r="110" spans="1:16" x14ac:dyDescent="0.2">
      <c r="A110" s="1">
        <v>107</v>
      </c>
      <c r="B110" s="1" t="s">
        <v>356</v>
      </c>
      <c r="C110" s="1">
        <v>34000850</v>
      </c>
      <c r="D110" s="1" t="s">
        <v>357</v>
      </c>
      <c r="E110" s="314">
        <v>11950000</v>
      </c>
      <c r="F110" s="314">
        <v>2550000</v>
      </c>
      <c r="G110" s="42">
        <f t="shared" si="7"/>
        <v>4.8805937494740739E-3</v>
      </c>
      <c r="H110" s="43">
        <f t="shared" si="8"/>
        <v>183524.32945648025</v>
      </c>
      <c r="I110" s="43">
        <v>0</v>
      </c>
      <c r="J110" s="43">
        <v>855083.33333333337</v>
      </c>
      <c r="K110" s="42">
        <f t="shared" si="9"/>
        <v>2.3632148113330231E-3</v>
      </c>
      <c r="L110" s="43">
        <f t="shared" si="10"/>
        <v>135365.66311981034</v>
      </c>
      <c r="M110" s="43">
        <v>8000</v>
      </c>
      <c r="N110" s="44">
        <f t="shared" si="11"/>
        <v>326889.99257629062</v>
      </c>
      <c r="O110" s="321">
        <f t="shared" si="12"/>
        <v>110.00742370937951</v>
      </c>
      <c r="P110" s="322">
        <f t="shared" si="13"/>
        <v>327000</v>
      </c>
    </row>
    <row r="111" spans="1:16" x14ac:dyDescent="0.2">
      <c r="A111" s="1">
        <v>108</v>
      </c>
      <c r="B111" s="1" t="s">
        <v>358</v>
      </c>
      <c r="C111" s="1">
        <v>34000513</v>
      </c>
      <c r="D111" s="1" t="s">
        <v>359</v>
      </c>
      <c r="E111" s="314">
        <v>11850000</v>
      </c>
      <c r="F111" s="314">
        <v>0</v>
      </c>
      <c r="G111" s="42">
        <f t="shared" si="7"/>
        <v>3.9886231676736399E-3</v>
      </c>
      <c r="H111" s="43">
        <f t="shared" si="8"/>
        <v>149983.67614202006</v>
      </c>
      <c r="I111" s="43">
        <v>0</v>
      </c>
      <c r="J111" s="43">
        <v>0</v>
      </c>
      <c r="K111" s="42">
        <f t="shared" si="9"/>
        <v>0</v>
      </c>
      <c r="L111" s="43">
        <f t="shared" si="10"/>
        <v>0</v>
      </c>
      <c r="M111" s="43">
        <v>0</v>
      </c>
      <c r="N111" s="44">
        <f t="shared" si="11"/>
        <v>149983.67614202006</v>
      </c>
      <c r="O111" s="321">
        <f t="shared" si="12"/>
        <v>16.323857979936292</v>
      </c>
      <c r="P111" s="322">
        <f t="shared" si="13"/>
        <v>150000</v>
      </c>
    </row>
    <row r="112" spans="1:16" x14ac:dyDescent="0.2">
      <c r="A112" s="1">
        <v>109</v>
      </c>
      <c r="B112" s="1" t="s">
        <v>360</v>
      </c>
      <c r="C112" s="1">
        <v>34000478</v>
      </c>
      <c r="D112" s="1" t="s">
        <v>361</v>
      </c>
      <c r="E112" s="314">
        <v>11250000</v>
      </c>
      <c r="F112" s="314">
        <v>0</v>
      </c>
      <c r="G112" s="42">
        <f t="shared" si="7"/>
        <v>3.7866675642471265E-3</v>
      </c>
      <c r="H112" s="43">
        <f t="shared" si="8"/>
        <v>142389.56595761399</v>
      </c>
      <c r="I112" s="43">
        <v>525000</v>
      </c>
      <c r="J112" s="43">
        <v>0</v>
      </c>
      <c r="K112" s="42">
        <f t="shared" si="9"/>
        <v>1.4509553953219029E-3</v>
      </c>
      <c r="L112" s="43">
        <f t="shared" si="10"/>
        <v>83111.166324413323</v>
      </c>
      <c r="M112" s="43">
        <v>0</v>
      </c>
      <c r="N112" s="44">
        <f t="shared" si="11"/>
        <v>225500.73228202731</v>
      </c>
      <c r="O112" s="321">
        <f t="shared" si="12"/>
        <v>499.26771797268884</v>
      </c>
      <c r="P112" s="322">
        <f t="shared" si="13"/>
        <v>226000</v>
      </c>
    </row>
    <row r="113" spans="1:16" x14ac:dyDescent="0.2">
      <c r="A113" s="1">
        <v>110</v>
      </c>
      <c r="B113" s="1" t="s">
        <v>362</v>
      </c>
      <c r="C113" s="1">
        <v>34000552</v>
      </c>
      <c r="D113" s="1" t="s">
        <v>363</v>
      </c>
      <c r="E113" s="314">
        <v>11250000</v>
      </c>
      <c r="F113" s="314">
        <v>0</v>
      </c>
      <c r="G113" s="42">
        <f t="shared" si="7"/>
        <v>3.7866675642471265E-3</v>
      </c>
      <c r="H113" s="43">
        <f t="shared" si="8"/>
        <v>142389.56595761399</v>
      </c>
      <c r="I113" s="43">
        <v>1770000</v>
      </c>
      <c r="J113" s="43">
        <v>0</v>
      </c>
      <c r="K113" s="42">
        <f t="shared" si="9"/>
        <v>4.8917924756567005E-3</v>
      </c>
      <c r="L113" s="43">
        <f t="shared" si="10"/>
        <v>280203.36075087916</v>
      </c>
      <c r="M113" s="43">
        <v>8000</v>
      </c>
      <c r="N113" s="44">
        <f t="shared" si="11"/>
        <v>430592.92670849315</v>
      </c>
      <c r="O113" s="321">
        <f t="shared" si="12"/>
        <v>407.07329150685109</v>
      </c>
      <c r="P113" s="322">
        <f t="shared" si="13"/>
        <v>431000</v>
      </c>
    </row>
    <row r="114" spans="1:16" x14ac:dyDescent="0.2">
      <c r="A114" s="1">
        <v>111</v>
      </c>
      <c r="B114" s="1" t="s">
        <v>364</v>
      </c>
      <c r="C114" s="1">
        <v>34000351</v>
      </c>
      <c r="D114" s="1" t="s">
        <v>365</v>
      </c>
      <c r="E114" s="314">
        <v>10950000</v>
      </c>
      <c r="F114" s="314">
        <v>0</v>
      </c>
      <c r="G114" s="42">
        <f t="shared" si="7"/>
        <v>3.6856897625338696E-3</v>
      </c>
      <c r="H114" s="43">
        <f t="shared" si="8"/>
        <v>138592.51086541094</v>
      </c>
      <c r="I114" s="43">
        <v>1242000</v>
      </c>
      <c r="J114" s="43">
        <v>0</v>
      </c>
      <c r="K114" s="42">
        <f t="shared" si="9"/>
        <v>3.4325459066472442E-3</v>
      </c>
      <c r="L114" s="43">
        <f t="shared" si="10"/>
        <v>196617.27347604066</v>
      </c>
      <c r="M114" s="43">
        <v>0</v>
      </c>
      <c r="N114" s="44">
        <f t="shared" si="11"/>
        <v>335209.7843414516</v>
      </c>
      <c r="O114" s="321">
        <f t="shared" si="12"/>
        <v>790.21565854840446</v>
      </c>
      <c r="P114" s="322">
        <f t="shared" si="13"/>
        <v>336000</v>
      </c>
    </row>
    <row r="115" spans="1:16" x14ac:dyDescent="0.2">
      <c r="A115" s="1">
        <v>112</v>
      </c>
      <c r="B115" s="1" t="s">
        <v>366</v>
      </c>
      <c r="C115" s="1">
        <v>34000105</v>
      </c>
      <c r="D115" s="1" t="s">
        <v>367</v>
      </c>
      <c r="E115" s="314">
        <v>10950000</v>
      </c>
      <c r="F115" s="314">
        <v>0</v>
      </c>
      <c r="G115" s="42">
        <f t="shared" si="7"/>
        <v>3.6856897625338696E-3</v>
      </c>
      <c r="H115" s="43">
        <f t="shared" si="8"/>
        <v>138592.51086541094</v>
      </c>
      <c r="I115" s="43">
        <v>0</v>
      </c>
      <c r="J115" s="43">
        <v>0</v>
      </c>
      <c r="K115" s="42">
        <f t="shared" si="9"/>
        <v>0</v>
      </c>
      <c r="L115" s="43">
        <f t="shared" si="10"/>
        <v>0</v>
      </c>
      <c r="M115" s="43">
        <v>0</v>
      </c>
      <c r="N115" s="44">
        <f t="shared" si="11"/>
        <v>138592.51086541094</v>
      </c>
      <c r="O115" s="321">
        <f t="shared" si="12"/>
        <v>407.48913458906463</v>
      </c>
      <c r="P115" s="322">
        <f t="shared" si="13"/>
        <v>139000</v>
      </c>
    </row>
    <row r="116" spans="1:16" x14ac:dyDescent="0.2">
      <c r="A116" s="1">
        <v>113</v>
      </c>
      <c r="B116" s="1" t="s">
        <v>368</v>
      </c>
      <c r="C116" s="1">
        <v>34000180</v>
      </c>
      <c r="D116" s="1" t="s">
        <v>369</v>
      </c>
      <c r="E116" s="314">
        <v>10950000</v>
      </c>
      <c r="F116" s="314">
        <v>0</v>
      </c>
      <c r="G116" s="42">
        <f t="shared" si="7"/>
        <v>3.6856897625338696E-3</v>
      </c>
      <c r="H116" s="43">
        <f t="shared" si="8"/>
        <v>138592.51086541094</v>
      </c>
      <c r="I116" s="43">
        <v>1137500</v>
      </c>
      <c r="J116" s="43">
        <v>0</v>
      </c>
      <c r="K116" s="42">
        <f t="shared" si="9"/>
        <v>3.1437366898641227E-3</v>
      </c>
      <c r="L116" s="43">
        <f t="shared" si="10"/>
        <v>180074.19370289554</v>
      </c>
      <c r="M116" s="43">
        <v>0</v>
      </c>
      <c r="N116" s="44">
        <f t="shared" si="11"/>
        <v>318666.70456830645</v>
      </c>
      <c r="O116" s="321">
        <f t="shared" si="12"/>
        <v>333.2954316935502</v>
      </c>
      <c r="P116" s="322">
        <f t="shared" si="13"/>
        <v>319000</v>
      </c>
    </row>
    <row r="117" spans="1:16" x14ac:dyDescent="0.2">
      <c r="A117" s="1">
        <v>114</v>
      </c>
      <c r="B117" s="1" t="s">
        <v>370</v>
      </c>
      <c r="C117" s="1">
        <v>34000738</v>
      </c>
      <c r="D117" s="1" t="s">
        <v>371</v>
      </c>
      <c r="E117" s="314">
        <v>10950000</v>
      </c>
      <c r="F117" s="314">
        <v>0</v>
      </c>
      <c r="G117" s="42">
        <f t="shared" si="7"/>
        <v>3.6856897625338696E-3</v>
      </c>
      <c r="H117" s="43">
        <f t="shared" si="8"/>
        <v>138592.51086541094</v>
      </c>
      <c r="I117" s="43">
        <v>0</v>
      </c>
      <c r="J117" s="43">
        <v>0</v>
      </c>
      <c r="K117" s="42">
        <f t="shared" si="9"/>
        <v>0</v>
      </c>
      <c r="L117" s="43">
        <f t="shared" si="10"/>
        <v>0</v>
      </c>
      <c r="M117" s="43">
        <v>0</v>
      </c>
      <c r="N117" s="44">
        <f t="shared" si="11"/>
        <v>138592.51086541094</v>
      </c>
      <c r="O117" s="321">
        <f t="shared" si="12"/>
        <v>407.48913458906463</v>
      </c>
      <c r="P117" s="322">
        <f t="shared" si="13"/>
        <v>139000</v>
      </c>
    </row>
    <row r="118" spans="1:16" x14ac:dyDescent="0.2">
      <c r="A118" s="1">
        <v>115</v>
      </c>
      <c r="B118" s="1" t="s">
        <v>372</v>
      </c>
      <c r="C118" s="1">
        <v>34000265</v>
      </c>
      <c r="D118" s="1" t="s">
        <v>373</v>
      </c>
      <c r="E118" s="314">
        <v>11850000</v>
      </c>
      <c r="F118" s="314">
        <v>0</v>
      </c>
      <c r="G118" s="42">
        <f t="shared" si="7"/>
        <v>3.9886231676736399E-3</v>
      </c>
      <c r="H118" s="43">
        <f t="shared" si="8"/>
        <v>149983.67614202006</v>
      </c>
      <c r="I118" s="43">
        <v>2010000</v>
      </c>
      <c r="J118" s="43">
        <v>3633750</v>
      </c>
      <c r="K118" s="42">
        <f t="shared" si="9"/>
        <v>1.5597770499710456E-2</v>
      </c>
      <c r="L118" s="43">
        <f t="shared" si="10"/>
        <v>893445.03798744327</v>
      </c>
      <c r="M118" s="43">
        <v>0</v>
      </c>
      <c r="N118" s="44">
        <f t="shared" si="11"/>
        <v>1043428.7141294633</v>
      </c>
      <c r="O118" s="321">
        <f t="shared" si="12"/>
        <v>571.28587053669617</v>
      </c>
      <c r="P118" s="322">
        <f t="shared" si="13"/>
        <v>1044000</v>
      </c>
    </row>
    <row r="119" spans="1:16" x14ac:dyDescent="0.2">
      <c r="A119" s="1">
        <v>116</v>
      </c>
      <c r="B119" s="1" t="s">
        <v>374</v>
      </c>
      <c r="C119" s="1">
        <v>34000643</v>
      </c>
      <c r="D119" s="1" t="s">
        <v>375</v>
      </c>
      <c r="E119" s="314">
        <v>11850000</v>
      </c>
      <c r="F119" s="314">
        <v>0</v>
      </c>
      <c r="G119" s="42">
        <f t="shared" si="7"/>
        <v>3.9886231676736399E-3</v>
      </c>
      <c r="H119" s="43">
        <f t="shared" si="8"/>
        <v>149983.67614202006</v>
      </c>
      <c r="I119" s="43">
        <v>1250000</v>
      </c>
      <c r="J119" s="43">
        <v>1149305.5555555555</v>
      </c>
      <c r="K119" s="42">
        <f t="shared" si="9"/>
        <v>6.6310196968745686E-3</v>
      </c>
      <c r="L119" s="43">
        <f t="shared" si="10"/>
        <v>379826.82493498415</v>
      </c>
      <c r="M119" s="43">
        <v>0</v>
      </c>
      <c r="N119" s="44">
        <f t="shared" si="11"/>
        <v>529810.50107700424</v>
      </c>
      <c r="O119" s="321">
        <f t="shared" si="12"/>
        <v>189.49892299575731</v>
      </c>
      <c r="P119" s="322">
        <f t="shared" si="13"/>
        <v>530000</v>
      </c>
    </row>
    <row r="120" spans="1:16" x14ac:dyDescent="0.2">
      <c r="A120" s="1">
        <v>117</v>
      </c>
      <c r="B120" s="1" t="s">
        <v>376</v>
      </c>
      <c r="C120" s="1">
        <v>34000721</v>
      </c>
      <c r="D120" s="1" t="s">
        <v>377</v>
      </c>
      <c r="E120" s="314">
        <v>11150000</v>
      </c>
      <c r="F120" s="314">
        <v>0</v>
      </c>
      <c r="G120" s="42">
        <f t="shared" si="7"/>
        <v>3.7530082970093741E-3</v>
      </c>
      <c r="H120" s="43">
        <f t="shared" si="8"/>
        <v>141123.88092687965</v>
      </c>
      <c r="I120" s="43">
        <v>0</v>
      </c>
      <c r="J120" s="43">
        <v>0</v>
      </c>
      <c r="K120" s="42">
        <f t="shared" si="9"/>
        <v>0</v>
      </c>
      <c r="L120" s="43">
        <f t="shared" si="10"/>
        <v>0</v>
      </c>
      <c r="M120" s="43">
        <v>0</v>
      </c>
      <c r="N120" s="44">
        <f t="shared" si="11"/>
        <v>141123.88092687965</v>
      </c>
      <c r="O120" s="321">
        <f t="shared" si="12"/>
        <v>876.11907312035328</v>
      </c>
      <c r="P120" s="322">
        <f t="shared" si="13"/>
        <v>142000</v>
      </c>
    </row>
    <row r="121" spans="1:16" x14ac:dyDescent="0.2">
      <c r="A121" s="1">
        <v>118</v>
      </c>
      <c r="B121" s="1" t="s">
        <v>378</v>
      </c>
      <c r="C121" s="1">
        <v>34000362</v>
      </c>
      <c r="D121" s="1" t="s">
        <v>379</v>
      </c>
      <c r="E121" s="314">
        <v>11850000</v>
      </c>
      <c r="F121" s="314">
        <v>0</v>
      </c>
      <c r="G121" s="42">
        <f t="shared" si="7"/>
        <v>3.9886231676736399E-3</v>
      </c>
      <c r="H121" s="43">
        <f t="shared" si="8"/>
        <v>149983.67614202006</v>
      </c>
      <c r="I121" s="43">
        <v>0</v>
      </c>
      <c r="J121" s="43">
        <v>0</v>
      </c>
      <c r="K121" s="42">
        <f t="shared" si="9"/>
        <v>0</v>
      </c>
      <c r="L121" s="43">
        <f t="shared" si="10"/>
        <v>0</v>
      </c>
      <c r="M121" s="43">
        <v>0</v>
      </c>
      <c r="N121" s="44">
        <f t="shared" si="11"/>
        <v>149983.67614202006</v>
      </c>
      <c r="O121" s="321">
        <f t="shared" si="12"/>
        <v>16.323857979936292</v>
      </c>
      <c r="P121" s="322">
        <f t="shared" si="13"/>
        <v>150000</v>
      </c>
    </row>
    <row r="122" spans="1:16" x14ac:dyDescent="0.2">
      <c r="A122" s="1">
        <v>119</v>
      </c>
      <c r="B122" s="1" t="s">
        <v>380</v>
      </c>
      <c r="C122" s="1">
        <v>34000534</v>
      </c>
      <c r="D122" s="1" t="s">
        <v>381</v>
      </c>
      <c r="E122" s="314">
        <v>11750000</v>
      </c>
      <c r="F122" s="314">
        <v>0</v>
      </c>
      <c r="G122" s="42">
        <f t="shared" si="7"/>
        <v>3.9549639004358879E-3</v>
      </c>
      <c r="H122" s="43">
        <f t="shared" si="8"/>
        <v>148717.99111128572</v>
      </c>
      <c r="I122" s="43">
        <v>2545000</v>
      </c>
      <c r="J122" s="43">
        <v>0</v>
      </c>
      <c r="K122" s="42">
        <f t="shared" si="9"/>
        <v>7.033679011608081E-3</v>
      </c>
      <c r="L122" s="43">
        <f t="shared" si="10"/>
        <v>402891.27294406074</v>
      </c>
      <c r="M122" s="43">
        <v>0</v>
      </c>
      <c r="N122" s="44">
        <f t="shared" si="11"/>
        <v>551609.26405534649</v>
      </c>
      <c r="O122" s="321">
        <f t="shared" si="12"/>
        <v>390.73594465351198</v>
      </c>
      <c r="P122" s="322">
        <f t="shared" si="13"/>
        <v>552000</v>
      </c>
    </row>
    <row r="123" spans="1:16" x14ac:dyDescent="0.2">
      <c r="A123" s="1">
        <v>120</v>
      </c>
      <c r="B123" s="1" t="s">
        <v>384</v>
      </c>
      <c r="C123" s="1">
        <v>34000181</v>
      </c>
      <c r="D123" s="1" t="s">
        <v>385</v>
      </c>
      <c r="E123" s="314">
        <v>11150000</v>
      </c>
      <c r="F123" s="314">
        <v>0</v>
      </c>
      <c r="G123" s="42">
        <f t="shared" si="7"/>
        <v>3.7530082970093741E-3</v>
      </c>
      <c r="H123" s="43">
        <f t="shared" si="8"/>
        <v>141123.88092687965</v>
      </c>
      <c r="I123" s="43">
        <v>0</v>
      </c>
      <c r="J123" s="43">
        <v>0</v>
      </c>
      <c r="K123" s="42">
        <f t="shared" si="9"/>
        <v>0</v>
      </c>
      <c r="L123" s="43">
        <f t="shared" si="10"/>
        <v>0</v>
      </c>
      <c r="M123" s="43">
        <v>0</v>
      </c>
      <c r="N123" s="44">
        <f t="shared" si="11"/>
        <v>141123.88092687965</v>
      </c>
      <c r="O123" s="321">
        <f t="shared" si="12"/>
        <v>876.11907312035328</v>
      </c>
      <c r="P123" s="322">
        <f t="shared" si="13"/>
        <v>142000</v>
      </c>
    </row>
    <row r="124" spans="1:16" x14ac:dyDescent="0.2">
      <c r="A124" s="1">
        <v>121</v>
      </c>
      <c r="B124" s="1" t="s">
        <v>386</v>
      </c>
      <c r="C124" s="1">
        <v>34000247</v>
      </c>
      <c r="D124" s="1" t="s">
        <v>387</v>
      </c>
      <c r="E124" s="314">
        <v>11150000</v>
      </c>
      <c r="F124" s="314">
        <v>0</v>
      </c>
      <c r="G124" s="42">
        <f t="shared" si="7"/>
        <v>3.7530082970093741E-3</v>
      </c>
      <c r="H124" s="43">
        <f t="shared" si="8"/>
        <v>141123.88092687965</v>
      </c>
      <c r="I124" s="43">
        <v>1358000</v>
      </c>
      <c r="J124" s="43">
        <v>0</v>
      </c>
      <c r="K124" s="42">
        <f t="shared" si="9"/>
        <v>3.7531379558993221E-3</v>
      </c>
      <c r="L124" s="43">
        <f t="shared" si="10"/>
        <v>214980.88355914914</v>
      </c>
      <c r="M124" s="43">
        <v>8000</v>
      </c>
      <c r="N124" s="44">
        <f t="shared" si="11"/>
        <v>364104.76448602881</v>
      </c>
      <c r="O124" s="321">
        <f t="shared" si="12"/>
        <v>895.23551397118717</v>
      </c>
      <c r="P124" s="322">
        <f t="shared" si="13"/>
        <v>365000</v>
      </c>
    </row>
    <row r="125" spans="1:16" x14ac:dyDescent="0.2">
      <c r="A125" s="1">
        <v>122</v>
      </c>
      <c r="B125" s="1" t="s">
        <v>388</v>
      </c>
      <c r="C125" s="1">
        <v>34000298</v>
      </c>
      <c r="D125" s="1" t="s">
        <v>389</v>
      </c>
      <c r="E125" s="314">
        <v>11450000</v>
      </c>
      <c r="F125" s="314">
        <v>0</v>
      </c>
      <c r="G125" s="42">
        <f t="shared" si="7"/>
        <v>3.853986098722631E-3</v>
      </c>
      <c r="H125" s="43">
        <f t="shared" si="8"/>
        <v>144920.93601908267</v>
      </c>
      <c r="I125" s="43">
        <v>0</v>
      </c>
      <c r="J125" s="43">
        <v>2979166.6666666674</v>
      </c>
      <c r="K125" s="42">
        <f t="shared" si="9"/>
        <v>8.2335960925012767E-3</v>
      </c>
      <c r="L125" s="43">
        <f t="shared" si="10"/>
        <v>471622.88826948847</v>
      </c>
      <c r="M125" s="43">
        <v>0</v>
      </c>
      <c r="N125" s="44">
        <f t="shared" si="11"/>
        <v>616543.82428857114</v>
      </c>
      <c r="O125" s="321">
        <f t="shared" si="12"/>
        <v>456.175711428863</v>
      </c>
      <c r="P125" s="322">
        <f t="shared" si="13"/>
        <v>617000</v>
      </c>
    </row>
    <row r="126" spans="1:16" x14ac:dyDescent="0.2">
      <c r="A126" s="1">
        <v>123</v>
      </c>
      <c r="B126" s="1" t="s">
        <v>390</v>
      </c>
      <c r="C126" s="1">
        <v>34000340</v>
      </c>
      <c r="D126" s="1" t="s">
        <v>391</v>
      </c>
      <c r="E126" s="314">
        <v>11050000</v>
      </c>
      <c r="F126" s="314">
        <v>0</v>
      </c>
      <c r="G126" s="42">
        <f t="shared" si="7"/>
        <v>3.7193490297716221E-3</v>
      </c>
      <c r="H126" s="43">
        <f t="shared" si="8"/>
        <v>139858.19589614531</v>
      </c>
      <c r="I126" s="43">
        <v>0</v>
      </c>
      <c r="J126" s="43">
        <v>0</v>
      </c>
      <c r="K126" s="42">
        <f t="shared" si="9"/>
        <v>0</v>
      </c>
      <c r="L126" s="43">
        <f t="shared" si="10"/>
        <v>0</v>
      </c>
      <c r="M126" s="43">
        <v>0</v>
      </c>
      <c r="N126" s="44">
        <f t="shared" si="11"/>
        <v>139858.19589614531</v>
      </c>
      <c r="O126" s="321">
        <f t="shared" si="12"/>
        <v>141.8041038546944</v>
      </c>
      <c r="P126" s="322">
        <f t="shared" si="13"/>
        <v>140000</v>
      </c>
    </row>
    <row r="127" spans="1:16" x14ac:dyDescent="0.2">
      <c r="A127" s="1">
        <v>124</v>
      </c>
      <c r="B127" s="1" t="s">
        <v>392</v>
      </c>
      <c r="C127" s="1">
        <v>34000184</v>
      </c>
      <c r="D127" s="1" t="s">
        <v>393</v>
      </c>
      <c r="E127" s="314">
        <v>11150000</v>
      </c>
      <c r="F127" s="314">
        <v>0</v>
      </c>
      <c r="G127" s="42">
        <f t="shared" si="7"/>
        <v>3.7530082970093741E-3</v>
      </c>
      <c r="H127" s="43">
        <f t="shared" si="8"/>
        <v>141123.88092687965</v>
      </c>
      <c r="I127" s="43">
        <v>240000</v>
      </c>
      <c r="J127" s="43">
        <v>0</v>
      </c>
      <c r="K127" s="42">
        <f t="shared" si="9"/>
        <v>6.6329389500429845E-4</v>
      </c>
      <c r="L127" s="43">
        <f t="shared" si="10"/>
        <v>37993.676034017517</v>
      </c>
      <c r="M127" s="43">
        <v>0</v>
      </c>
      <c r="N127" s="44">
        <f t="shared" si="11"/>
        <v>179117.55696089717</v>
      </c>
      <c r="O127" s="321">
        <f t="shared" si="12"/>
        <v>882.44303910282906</v>
      </c>
      <c r="P127" s="322">
        <f t="shared" si="13"/>
        <v>180000</v>
      </c>
    </row>
    <row r="128" spans="1:16" x14ac:dyDescent="0.2">
      <c r="A128" s="1">
        <v>125</v>
      </c>
      <c r="B128" s="1" t="s">
        <v>394</v>
      </c>
      <c r="C128" s="1">
        <v>34000009</v>
      </c>
      <c r="D128" s="1" t="s">
        <v>395</v>
      </c>
      <c r="E128" s="314">
        <v>11050000</v>
      </c>
      <c r="F128" s="314">
        <v>0</v>
      </c>
      <c r="G128" s="42">
        <f t="shared" si="7"/>
        <v>3.7193490297716221E-3</v>
      </c>
      <c r="H128" s="43">
        <f t="shared" si="8"/>
        <v>139858.19589614531</v>
      </c>
      <c r="I128" s="43">
        <v>1680000</v>
      </c>
      <c r="J128" s="43">
        <v>1833333.3333333333</v>
      </c>
      <c r="K128" s="42">
        <f t="shared" si="9"/>
        <v>9.7098856296462567E-3</v>
      </c>
      <c r="L128" s="43">
        <f t="shared" si="10"/>
        <v>556185.20194242313</v>
      </c>
      <c r="M128" s="43">
        <v>0</v>
      </c>
      <c r="N128" s="44">
        <f t="shared" si="11"/>
        <v>696043.39783856843</v>
      </c>
      <c r="O128" s="321">
        <f t="shared" si="12"/>
        <v>956.60216143156867</v>
      </c>
      <c r="P128" s="322">
        <f t="shared" si="13"/>
        <v>697000</v>
      </c>
    </row>
    <row r="129" spans="1:16" x14ac:dyDescent="0.2">
      <c r="A129" s="1">
        <v>126</v>
      </c>
      <c r="B129" s="1" t="s">
        <v>396</v>
      </c>
      <c r="C129" s="1">
        <v>34000495</v>
      </c>
      <c r="D129" s="1" t="s">
        <v>397</v>
      </c>
      <c r="E129" s="314">
        <v>11850000</v>
      </c>
      <c r="F129" s="314">
        <v>0</v>
      </c>
      <c r="G129" s="42">
        <f t="shared" si="7"/>
        <v>3.9886231676736399E-3</v>
      </c>
      <c r="H129" s="43">
        <f t="shared" si="8"/>
        <v>149983.67614202006</v>
      </c>
      <c r="I129" s="43">
        <v>2025000</v>
      </c>
      <c r="J129" s="43">
        <v>0</v>
      </c>
      <c r="K129" s="42">
        <f t="shared" si="9"/>
        <v>5.5965422390987681E-3</v>
      </c>
      <c r="L129" s="43">
        <f t="shared" si="10"/>
        <v>320571.64153702284</v>
      </c>
      <c r="M129" s="43">
        <v>0</v>
      </c>
      <c r="N129" s="44">
        <f t="shared" si="11"/>
        <v>470555.31767904293</v>
      </c>
      <c r="O129" s="321">
        <f t="shared" si="12"/>
        <v>444.68232095707208</v>
      </c>
      <c r="P129" s="322">
        <f t="shared" si="13"/>
        <v>471000</v>
      </c>
    </row>
    <row r="130" spans="1:16" x14ac:dyDescent="0.2">
      <c r="A130" s="1">
        <v>127</v>
      </c>
      <c r="B130" s="1" t="s">
        <v>398</v>
      </c>
      <c r="C130" s="1">
        <v>34000344</v>
      </c>
      <c r="D130" s="1" t="s">
        <v>399</v>
      </c>
      <c r="E130" s="314">
        <v>11850000</v>
      </c>
      <c r="F130" s="314">
        <v>0</v>
      </c>
      <c r="G130" s="42">
        <f t="shared" si="7"/>
        <v>3.9886231676736399E-3</v>
      </c>
      <c r="H130" s="43">
        <f t="shared" si="8"/>
        <v>149983.67614202006</v>
      </c>
      <c r="I130" s="43">
        <v>2481666.666666667</v>
      </c>
      <c r="J130" s="43">
        <v>732471.66666666663</v>
      </c>
      <c r="K130" s="42">
        <f t="shared" si="9"/>
        <v>8.8829930591637126E-3</v>
      </c>
      <c r="L130" s="43">
        <f t="shared" si="10"/>
        <v>508820.5440215987</v>
      </c>
      <c r="M130" s="43">
        <v>0</v>
      </c>
      <c r="N130" s="44">
        <f t="shared" si="11"/>
        <v>658804.2201636188</v>
      </c>
      <c r="O130" s="321">
        <f t="shared" si="12"/>
        <v>195.77983638120349</v>
      </c>
      <c r="P130" s="322">
        <f t="shared" si="13"/>
        <v>659000</v>
      </c>
    </row>
    <row r="131" spans="1:16" x14ac:dyDescent="0.2">
      <c r="A131" s="1">
        <v>128</v>
      </c>
      <c r="B131" s="1" t="s">
        <v>400</v>
      </c>
      <c r="C131" s="1">
        <v>34000424</v>
      </c>
      <c r="D131" s="1" t="s">
        <v>401</v>
      </c>
      <c r="E131" s="314">
        <v>11250000</v>
      </c>
      <c r="F131" s="314">
        <v>0</v>
      </c>
      <c r="G131" s="42">
        <f t="shared" si="7"/>
        <v>3.7866675642471265E-3</v>
      </c>
      <c r="H131" s="43">
        <f t="shared" si="8"/>
        <v>142389.56595761399</v>
      </c>
      <c r="I131" s="43">
        <v>1890000</v>
      </c>
      <c r="J131" s="43">
        <v>241500</v>
      </c>
      <c r="K131" s="42">
        <f t="shared" si="9"/>
        <v>5.8908789050069257E-3</v>
      </c>
      <c r="L131" s="43">
        <f t="shared" si="10"/>
        <v>337431.33527711814</v>
      </c>
      <c r="M131" s="43">
        <v>8000</v>
      </c>
      <c r="N131" s="44">
        <f t="shared" si="11"/>
        <v>487820.90123473213</v>
      </c>
      <c r="O131" s="321">
        <f t="shared" si="12"/>
        <v>179.09876526787411</v>
      </c>
      <c r="P131" s="322">
        <f t="shared" si="13"/>
        <v>488000</v>
      </c>
    </row>
    <row r="132" spans="1:16" x14ac:dyDescent="0.2">
      <c r="A132" s="1">
        <v>129</v>
      </c>
      <c r="B132" s="1" t="s">
        <v>402</v>
      </c>
      <c r="C132" s="1">
        <v>34000532</v>
      </c>
      <c r="D132" s="1" t="s">
        <v>403</v>
      </c>
      <c r="E132" s="314">
        <v>11750000</v>
      </c>
      <c r="F132" s="314">
        <v>0</v>
      </c>
      <c r="G132" s="42">
        <f t="shared" ref="G132:G195" si="14">(E132+F132)/$E$346</f>
        <v>3.9549639004358879E-3</v>
      </c>
      <c r="H132" s="43">
        <f t="shared" ref="H132:H195" si="15">G132*$H$3</f>
        <v>148717.99111128572</v>
      </c>
      <c r="I132" s="43">
        <v>350000</v>
      </c>
      <c r="J132" s="43">
        <v>0</v>
      </c>
      <c r="K132" s="42">
        <f t="shared" ref="K132:K195" si="16">(I132+J132)/($I$345+$J$345)</f>
        <v>9.6730359688126856E-4</v>
      </c>
      <c r="L132" s="43">
        <f t="shared" ref="L132:L195" si="17">K132*$L$3</f>
        <v>55407.444216275551</v>
      </c>
      <c r="M132" s="43">
        <v>0</v>
      </c>
      <c r="N132" s="44">
        <f t="shared" si="11"/>
        <v>204125.43532756128</v>
      </c>
      <c r="O132" s="321">
        <f t="shared" si="12"/>
        <v>874.56467243871884</v>
      </c>
      <c r="P132" s="322">
        <f t="shared" si="13"/>
        <v>205000</v>
      </c>
    </row>
    <row r="133" spans="1:16" x14ac:dyDescent="0.2">
      <c r="A133" s="1">
        <v>130</v>
      </c>
      <c r="B133" s="1" t="s">
        <v>404</v>
      </c>
      <c r="C133" s="1">
        <v>34000391</v>
      </c>
      <c r="D133" s="1" t="s">
        <v>405</v>
      </c>
      <c r="E133" s="314">
        <v>11850000</v>
      </c>
      <c r="F133" s="314">
        <v>0</v>
      </c>
      <c r="G133" s="42">
        <f t="shared" si="14"/>
        <v>3.9886231676736399E-3</v>
      </c>
      <c r="H133" s="43">
        <f t="shared" si="15"/>
        <v>149983.67614202006</v>
      </c>
      <c r="I133" s="43">
        <v>1350000</v>
      </c>
      <c r="J133" s="43">
        <v>0</v>
      </c>
      <c r="K133" s="42">
        <f t="shared" si="16"/>
        <v>3.7310281593991787E-3</v>
      </c>
      <c r="L133" s="43">
        <f t="shared" si="17"/>
        <v>213714.42769134854</v>
      </c>
      <c r="M133" s="43">
        <v>8000</v>
      </c>
      <c r="N133" s="44">
        <f t="shared" ref="N133:N196" si="18">H133+L133+M133</f>
        <v>371698.10383336863</v>
      </c>
      <c r="O133" s="321">
        <f t="shared" ref="O133:O196" si="19">P133-N133</f>
        <v>301.89616663136985</v>
      </c>
      <c r="P133" s="322">
        <f t="shared" ref="P133:P196" si="20">ROUNDUP(N133,-3)</f>
        <v>372000</v>
      </c>
    </row>
    <row r="134" spans="1:16" x14ac:dyDescent="0.2">
      <c r="A134" s="1">
        <v>131</v>
      </c>
      <c r="B134" s="1" t="s">
        <v>406</v>
      </c>
      <c r="C134" s="1">
        <v>34000393</v>
      </c>
      <c r="D134" s="1" t="s">
        <v>407</v>
      </c>
      <c r="E134" s="314">
        <v>11850000</v>
      </c>
      <c r="F134" s="314">
        <v>0</v>
      </c>
      <c r="G134" s="42">
        <f t="shared" si="14"/>
        <v>3.9886231676736399E-3</v>
      </c>
      <c r="H134" s="43">
        <f t="shared" si="15"/>
        <v>149983.67614202006</v>
      </c>
      <c r="I134" s="43">
        <v>1145833.3333333333</v>
      </c>
      <c r="J134" s="43">
        <v>0</v>
      </c>
      <c r="K134" s="42">
        <f t="shared" si="16"/>
        <v>3.1667677278851051E-3</v>
      </c>
      <c r="L134" s="43">
        <f t="shared" si="17"/>
        <v>181393.41856518781</v>
      </c>
      <c r="M134" s="43">
        <v>0</v>
      </c>
      <c r="N134" s="44">
        <f t="shared" si="18"/>
        <v>331377.09470720787</v>
      </c>
      <c r="O134" s="321">
        <f t="shared" si="19"/>
        <v>622.90529279212933</v>
      </c>
      <c r="P134" s="322">
        <f t="shared" si="20"/>
        <v>332000</v>
      </c>
    </row>
    <row r="135" spans="1:16" x14ac:dyDescent="0.2">
      <c r="A135" s="1">
        <v>132</v>
      </c>
      <c r="B135" s="1" t="s">
        <v>408</v>
      </c>
      <c r="C135" s="1">
        <v>34000412</v>
      </c>
      <c r="D135" s="1" t="s">
        <v>409</v>
      </c>
      <c r="E135" s="314">
        <v>11650000</v>
      </c>
      <c r="F135" s="314">
        <v>0</v>
      </c>
      <c r="G135" s="42">
        <f t="shared" si="14"/>
        <v>3.921304633198135E-3</v>
      </c>
      <c r="H135" s="43">
        <f t="shared" si="15"/>
        <v>147452.30608055135</v>
      </c>
      <c r="I135" s="43">
        <v>0</v>
      </c>
      <c r="J135" s="43">
        <v>237000</v>
      </c>
      <c r="K135" s="42">
        <f t="shared" si="16"/>
        <v>6.5500272131674474E-4</v>
      </c>
      <c r="L135" s="43">
        <f t="shared" si="17"/>
        <v>37518.755083592303</v>
      </c>
      <c r="M135" s="43">
        <v>8000</v>
      </c>
      <c r="N135" s="44">
        <f t="shared" si="18"/>
        <v>192971.06116414367</v>
      </c>
      <c r="O135" s="321">
        <f t="shared" si="19"/>
        <v>28.938835856330115</v>
      </c>
      <c r="P135" s="322">
        <f t="shared" si="20"/>
        <v>193000</v>
      </c>
    </row>
    <row r="136" spans="1:16" x14ac:dyDescent="0.2">
      <c r="A136" s="1">
        <v>133</v>
      </c>
      <c r="B136" s="1" t="s">
        <v>414</v>
      </c>
      <c r="C136" s="1">
        <v>34000754</v>
      </c>
      <c r="D136" s="1" t="s">
        <v>415</v>
      </c>
      <c r="E136" s="314">
        <v>10950000</v>
      </c>
      <c r="F136" s="314">
        <v>0</v>
      </c>
      <c r="G136" s="42">
        <f t="shared" si="14"/>
        <v>3.6856897625338696E-3</v>
      </c>
      <c r="H136" s="43">
        <f t="shared" si="15"/>
        <v>138592.51086541094</v>
      </c>
      <c r="I136" s="43">
        <v>198000</v>
      </c>
      <c r="J136" s="43">
        <v>0</v>
      </c>
      <c r="K136" s="42">
        <f t="shared" si="16"/>
        <v>5.4721746337854616E-4</v>
      </c>
      <c r="L136" s="43">
        <f t="shared" si="17"/>
        <v>31344.782728064452</v>
      </c>
      <c r="M136" s="43">
        <v>0</v>
      </c>
      <c r="N136" s="44">
        <f t="shared" si="18"/>
        <v>169937.29359347539</v>
      </c>
      <c r="O136" s="321">
        <f t="shared" si="19"/>
        <v>62.70640652460861</v>
      </c>
      <c r="P136" s="322">
        <f t="shared" si="20"/>
        <v>170000</v>
      </c>
    </row>
    <row r="137" spans="1:16" x14ac:dyDescent="0.2">
      <c r="A137" s="1">
        <v>134</v>
      </c>
      <c r="B137" s="1" t="s">
        <v>416</v>
      </c>
      <c r="C137" s="1">
        <v>34000342</v>
      </c>
      <c r="D137" s="1" t="s">
        <v>417</v>
      </c>
      <c r="E137" s="314">
        <v>11650000</v>
      </c>
      <c r="F137" s="314">
        <v>0</v>
      </c>
      <c r="G137" s="42">
        <f t="shared" si="14"/>
        <v>3.921304633198135E-3</v>
      </c>
      <c r="H137" s="43">
        <f t="shared" si="15"/>
        <v>147452.30608055135</v>
      </c>
      <c r="I137" s="43">
        <v>0</v>
      </c>
      <c r="J137" s="43">
        <v>0</v>
      </c>
      <c r="K137" s="42">
        <f t="shared" si="16"/>
        <v>0</v>
      </c>
      <c r="L137" s="43">
        <f t="shared" si="17"/>
        <v>0</v>
      </c>
      <c r="M137" s="43">
        <v>0</v>
      </c>
      <c r="N137" s="44">
        <f t="shared" si="18"/>
        <v>147452.30608055135</v>
      </c>
      <c r="O137" s="321">
        <f t="shared" si="19"/>
        <v>547.69391944864765</v>
      </c>
      <c r="P137" s="322">
        <f t="shared" si="20"/>
        <v>148000</v>
      </c>
    </row>
    <row r="138" spans="1:16" x14ac:dyDescent="0.2">
      <c r="A138" s="1">
        <v>135</v>
      </c>
      <c r="B138" s="1" t="s">
        <v>418</v>
      </c>
      <c r="C138" s="1">
        <v>34000127</v>
      </c>
      <c r="D138" s="1" t="s">
        <v>419</v>
      </c>
      <c r="E138" s="314">
        <v>11050000</v>
      </c>
      <c r="F138" s="314">
        <v>0</v>
      </c>
      <c r="G138" s="42">
        <f t="shared" si="14"/>
        <v>3.7193490297716221E-3</v>
      </c>
      <c r="H138" s="43">
        <f t="shared" si="15"/>
        <v>139858.19589614531</v>
      </c>
      <c r="I138" s="43">
        <v>0</v>
      </c>
      <c r="J138" s="43">
        <v>0</v>
      </c>
      <c r="K138" s="42">
        <f t="shared" si="16"/>
        <v>0</v>
      </c>
      <c r="L138" s="43">
        <f t="shared" si="17"/>
        <v>0</v>
      </c>
      <c r="M138" s="43">
        <v>0</v>
      </c>
      <c r="N138" s="44">
        <f t="shared" si="18"/>
        <v>139858.19589614531</v>
      </c>
      <c r="O138" s="321">
        <f t="shared" si="19"/>
        <v>141.8041038546944</v>
      </c>
      <c r="P138" s="322">
        <f t="shared" si="20"/>
        <v>140000</v>
      </c>
    </row>
    <row r="139" spans="1:16" x14ac:dyDescent="0.2">
      <c r="A139" s="1">
        <v>136</v>
      </c>
      <c r="B139" s="1" t="s">
        <v>420</v>
      </c>
      <c r="C139" s="1">
        <v>34000264</v>
      </c>
      <c r="D139" s="1" t="s">
        <v>421</v>
      </c>
      <c r="E139" s="314">
        <v>11050000</v>
      </c>
      <c r="F139" s="314">
        <v>3300000</v>
      </c>
      <c r="G139" s="42">
        <f t="shared" si="14"/>
        <v>4.8301048486174454E-3</v>
      </c>
      <c r="H139" s="43">
        <f t="shared" si="15"/>
        <v>181625.80191037871</v>
      </c>
      <c r="I139" s="43">
        <v>0</v>
      </c>
      <c r="J139" s="43">
        <v>953333.33333333326</v>
      </c>
      <c r="K139" s="42">
        <f t="shared" si="16"/>
        <v>2.6347507496004073E-3</v>
      </c>
      <c r="L139" s="43">
        <f t="shared" si="17"/>
        <v>150919.32424623624</v>
      </c>
      <c r="M139" s="43">
        <v>8000</v>
      </c>
      <c r="N139" s="44">
        <f t="shared" si="18"/>
        <v>340545.12615661498</v>
      </c>
      <c r="O139" s="321">
        <f t="shared" si="19"/>
        <v>454.87384338502306</v>
      </c>
      <c r="P139" s="322">
        <f t="shared" si="20"/>
        <v>341000</v>
      </c>
    </row>
    <row r="140" spans="1:16" x14ac:dyDescent="0.2">
      <c r="A140" s="1">
        <v>137</v>
      </c>
      <c r="B140" s="1" t="s">
        <v>422</v>
      </c>
      <c r="C140" s="1">
        <v>34000807</v>
      </c>
      <c r="D140" s="1" t="s">
        <v>423</v>
      </c>
      <c r="E140" s="314">
        <v>11050000</v>
      </c>
      <c r="F140" s="314">
        <v>0</v>
      </c>
      <c r="G140" s="42">
        <f t="shared" si="14"/>
        <v>3.7193490297716221E-3</v>
      </c>
      <c r="H140" s="43">
        <f t="shared" si="15"/>
        <v>139858.19589614531</v>
      </c>
      <c r="I140" s="43">
        <v>1434000</v>
      </c>
      <c r="J140" s="43">
        <v>625166.66666666674</v>
      </c>
      <c r="K140" s="42">
        <f t="shared" si="16"/>
        <v>5.6909694949847968E-3</v>
      </c>
      <c r="L140" s="43">
        <f t="shared" si="17"/>
        <v>325980.46347242116</v>
      </c>
      <c r="M140" s="43">
        <v>0</v>
      </c>
      <c r="N140" s="44">
        <f t="shared" si="18"/>
        <v>465838.65936856647</v>
      </c>
      <c r="O140" s="321">
        <f t="shared" si="19"/>
        <v>161.34063143352978</v>
      </c>
      <c r="P140" s="322">
        <f t="shared" si="20"/>
        <v>466000</v>
      </c>
    </row>
    <row r="141" spans="1:16" x14ac:dyDescent="0.2">
      <c r="A141" s="1">
        <v>138</v>
      </c>
      <c r="B141" s="1" t="s">
        <v>424</v>
      </c>
      <c r="C141" s="1">
        <v>34000411</v>
      </c>
      <c r="D141" s="1" t="s">
        <v>425</v>
      </c>
      <c r="E141" s="314">
        <v>10950000</v>
      </c>
      <c r="F141" s="314">
        <v>0</v>
      </c>
      <c r="G141" s="42">
        <f t="shared" si="14"/>
        <v>3.6856897625338696E-3</v>
      </c>
      <c r="H141" s="43">
        <f t="shared" si="15"/>
        <v>138592.51086541094</v>
      </c>
      <c r="I141" s="43">
        <v>0</v>
      </c>
      <c r="J141" s="43">
        <v>0</v>
      </c>
      <c r="K141" s="42">
        <f t="shared" si="16"/>
        <v>0</v>
      </c>
      <c r="L141" s="43">
        <f t="shared" si="17"/>
        <v>0</v>
      </c>
      <c r="M141" s="43">
        <v>0</v>
      </c>
      <c r="N141" s="44">
        <f t="shared" si="18"/>
        <v>138592.51086541094</v>
      </c>
      <c r="O141" s="321">
        <f t="shared" si="19"/>
        <v>407.48913458906463</v>
      </c>
      <c r="P141" s="322">
        <f t="shared" si="20"/>
        <v>139000</v>
      </c>
    </row>
    <row r="142" spans="1:16" x14ac:dyDescent="0.2">
      <c r="A142" s="1">
        <v>139</v>
      </c>
      <c r="B142" s="1" t="s">
        <v>426</v>
      </c>
      <c r="C142" s="1">
        <v>34000020</v>
      </c>
      <c r="D142" s="1" t="s">
        <v>427</v>
      </c>
      <c r="E142" s="314">
        <v>11250000</v>
      </c>
      <c r="F142" s="314">
        <v>0</v>
      </c>
      <c r="G142" s="42">
        <f t="shared" si="14"/>
        <v>3.7866675642471265E-3</v>
      </c>
      <c r="H142" s="43">
        <f t="shared" si="15"/>
        <v>142389.56595761399</v>
      </c>
      <c r="I142" s="43">
        <v>0</v>
      </c>
      <c r="J142" s="43">
        <v>0</v>
      </c>
      <c r="K142" s="42">
        <f t="shared" si="16"/>
        <v>0</v>
      </c>
      <c r="L142" s="43">
        <f t="shared" si="17"/>
        <v>0</v>
      </c>
      <c r="M142" s="43">
        <v>0</v>
      </c>
      <c r="N142" s="44">
        <f t="shared" si="18"/>
        <v>142389.56595761399</v>
      </c>
      <c r="O142" s="321">
        <f t="shared" si="19"/>
        <v>610.43404238601215</v>
      </c>
      <c r="P142" s="322">
        <f t="shared" si="20"/>
        <v>143000</v>
      </c>
    </row>
    <row r="143" spans="1:16" x14ac:dyDescent="0.2">
      <c r="A143" s="1">
        <v>140</v>
      </c>
      <c r="B143" s="1" t="s">
        <v>428</v>
      </c>
      <c r="C143" s="1">
        <v>34000522</v>
      </c>
      <c r="D143" s="1" t="s">
        <v>429</v>
      </c>
      <c r="E143" s="314">
        <v>11250000</v>
      </c>
      <c r="F143" s="314">
        <v>0</v>
      </c>
      <c r="G143" s="42">
        <f t="shared" si="14"/>
        <v>3.7866675642471265E-3</v>
      </c>
      <c r="H143" s="43">
        <f t="shared" si="15"/>
        <v>142389.56595761399</v>
      </c>
      <c r="I143" s="43">
        <v>1200833.3333333333</v>
      </c>
      <c r="J143" s="43">
        <v>0</v>
      </c>
      <c r="K143" s="42">
        <f t="shared" si="16"/>
        <v>3.3187725788235904E-3</v>
      </c>
      <c r="L143" s="43">
        <f t="shared" si="17"/>
        <v>190100.30265631681</v>
      </c>
      <c r="M143" s="43">
        <v>0</v>
      </c>
      <c r="N143" s="44">
        <f t="shared" si="18"/>
        <v>332489.86861393077</v>
      </c>
      <c r="O143" s="321">
        <f t="shared" si="19"/>
        <v>510.13138606923167</v>
      </c>
      <c r="P143" s="322">
        <f t="shared" si="20"/>
        <v>333000</v>
      </c>
    </row>
    <row r="144" spans="1:16" x14ac:dyDescent="0.2">
      <c r="A144" s="1">
        <v>141</v>
      </c>
      <c r="B144" s="1" t="s">
        <v>430</v>
      </c>
      <c r="C144" s="1">
        <v>34000753</v>
      </c>
      <c r="D144" s="1" t="s">
        <v>431</v>
      </c>
      <c r="E144" s="314">
        <v>10950000</v>
      </c>
      <c r="F144" s="314">
        <v>0</v>
      </c>
      <c r="G144" s="42">
        <f t="shared" si="14"/>
        <v>3.6856897625338696E-3</v>
      </c>
      <c r="H144" s="43">
        <f t="shared" si="15"/>
        <v>138592.51086541094</v>
      </c>
      <c r="I144" s="43">
        <v>0</v>
      </c>
      <c r="J144" s="43">
        <v>3020833.3333333326</v>
      </c>
      <c r="K144" s="42">
        <f t="shared" si="16"/>
        <v>8.3487512826061847E-3</v>
      </c>
      <c r="L144" s="43">
        <f t="shared" si="17"/>
        <v>478219.01258094958</v>
      </c>
      <c r="M144" s="43">
        <v>0</v>
      </c>
      <c r="N144" s="44">
        <f t="shared" si="18"/>
        <v>616811.52344636049</v>
      </c>
      <c r="O144" s="321">
        <f t="shared" si="19"/>
        <v>188.47655363951344</v>
      </c>
      <c r="P144" s="322">
        <f t="shared" si="20"/>
        <v>617000</v>
      </c>
    </row>
    <row r="145" spans="1:16" x14ac:dyDescent="0.2">
      <c r="A145" s="1">
        <v>142</v>
      </c>
      <c r="B145" s="1" t="s">
        <v>432</v>
      </c>
      <c r="C145" s="1">
        <v>34000701</v>
      </c>
      <c r="D145" s="1" t="s">
        <v>433</v>
      </c>
      <c r="E145" s="314">
        <v>11650000</v>
      </c>
      <c r="F145" s="314">
        <v>0</v>
      </c>
      <c r="G145" s="42">
        <f t="shared" si="14"/>
        <v>3.921304633198135E-3</v>
      </c>
      <c r="H145" s="43">
        <f t="shared" si="15"/>
        <v>147452.30608055135</v>
      </c>
      <c r="I145" s="43">
        <v>475555.55555555556</v>
      </c>
      <c r="J145" s="43">
        <v>0</v>
      </c>
      <c r="K145" s="42">
        <f t="shared" si="16"/>
        <v>1.3143045697307394E-3</v>
      </c>
      <c r="L145" s="43">
        <f t="shared" si="17"/>
        <v>75283.765474812491</v>
      </c>
      <c r="M145" s="43">
        <v>8000</v>
      </c>
      <c r="N145" s="44">
        <f t="shared" si="18"/>
        <v>230736.07155536383</v>
      </c>
      <c r="O145" s="321">
        <f t="shared" si="19"/>
        <v>263.92844463617075</v>
      </c>
      <c r="P145" s="322">
        <f t="shared" si="20"/>
        <v>231000</v>
      </c>
    </row>
    <row r="146" spans="1:16" x14ac:dyDescent="0.2">
      <c r="A146" s="1">
        <v>143</v>
      </c>
      <c r="B146" s="1" t="s">
        <v>434</v>
      </c>
      <c r="C146" s="1">
        <v>34000272</v>
      </c>
      <c r="D146" s="1" t="s">
        <v>435</v>
      </c>
      <c r="E146" s="314">
        <v>11650000</v>
      </c>
      <c r="F146" s="314">
        <v>0</v>
      </c>
      <c r="G146" s="42">
        <f t="shared" si="14"/>
        <v>3.921304633198135E-3</v>
      </c>
      <c r="H146" s="43">
        <f t="shared" si="15"/>
        <v>147452.30608055135</v>
      </c>
      <c r="I146" s="43">
        <v>0</v>
      </c>
      <c r="J146" s="43">
        <v>0</v>
      </c>
      <c r="K146" s="42">
        <f t="shared" si="16"/>
        <v>0</v>
      </c>
      <c r="L146" s="43">
        <f t="shared" si="17"/>
        <v>0</v>
      </c>
      <c r="M146" s="43">
        <v>0</v>
      </c>
      <c r="N146" s="44">
        <f t="shared" si="18"/>
        <v>147452.30608055135</v>
      </c>
      <c r="O146" s="321">
        <f t="shared" si="19"/>
        <v>547.69391944864765</v>
      </c>
      <c r="P146" s="322">
        <f t="shared" si="20"/>
        <v>148000</v>
      </c>
    </row>
    <row r="147" spans="1:16" x14ac:dyDescent="0.2">
      <c r="A147" s="1">
        <v>144</v>
      </c>
      <c r="B147" s="1" t="s">
        <v>438</v>
      </c>
      <c r="C147" s="1">
        <v>34000229</v>
      </c>
      <c r="D147" s="1" t="s">
        <v>439</v>
      </c>
      <c r="E147" s="314">
        <v>10950000</v>
      </c>
      <c r="F147" s="314">
        <v>0</v>
      </c>
      <c r="G147" s="42">
        <f t="shared" si="14"/>
        <v>3.6856897625338696E-3</v>
      </c>
      <c r="H147" s="43">
        <f t="shared" si="15"/>
        <v>138592.51086541094</v>
      </c>
      <c r="I147" s="43">
        <v>1173333.3333333335</v>
      </c>
      <c r="J147" s="43">
        <v>0</v>
      </c>
      <c r="K147" s="42">
        <f t="shared" si="16"/>
        <v>3.2427701533543482E-3</v>
      </c>
      <c r="L147" s="43">
        <f t="shared" si="17"/>
        <v>185746.86061075234</v>
      </c>
      <c r="M147" s="43">
        <v>0</v>
      </c>
      <c r="N147" s="44">
        <f t="shared" si="18"/>
        <v>324339.37147616327</v>
      </c>
      <c r="O147" s="321">
        <f t="shared" si="19"/>
        <v>660.62852383672725</v>
      </c>
      <c r="P147" s="322">
        <f t="shared" si="20"/>
        <v>325000</v>
      </c>
    </row>
    <row r="148" spans="1:16" x14ac:dyDescent="0.2">
      <c r="A148" s="1">
        <v>145</v>
      </c>
      <c r="B148" s="1" t="s">
        <v>440</v>
      </c>
      <c r="C148" s="1">
        <v>34000541</v>
      </c>
      <c r="D148" s="1" t="s">
        <v>441</v>
      </c>
      <c r="E148" s="314">
        <v>11050000</v>
      </c>
      <c r="F148" s="314">
        <v>0</v>
      </c>
      <c r="G148" s="42">
        <f t="shared" si="14"/>
        <v>3.7193490297716221E-3</v>
      </c>
      <c r="H148" s="43">
        <f t="shared" si="15"/>
        <v>139858.19589614531</v>
      </c>
      <c r="I148" s="43">
        <v>520833.33333333337</v>
      </c>
      <c r="J148" s="43">
        <v>2758800</v>
      </c>
      <c r="K148" s="42">
        <f t="shared" si="16"/>
        <v>9.0640031993858231E-3</v>
      </c>
      <c r="L148" s="43">
        <f t="shared" si="17"/>
        <v>519188.85990429862</v>
      </c>
      <c r="M148" s="43">
        <v>8000</v>
      </c>
      <c r="N148" s="44">
        <f t="shared" si="18"/>
        <v>667047.05580044398</v>
      </c>
      <c r="O148" s="321">
        <f t="shared" si="19"/>
        <v>952.94419955601916</v>
      </c>
      <c r="P148" s="322">
        <f t="shared" si="20"/>
        <v>668000</v>
      </c>
    </row>
    <row r="149" spans="1:16" x14ac:dyDescent="0.2">
      <c r="A149" s="1">
        <v>146</v>
      </c>
      <c r="B149" s="1" t="s">
        <v>442</v>
      </c>
      <c r="C149" s="1">
        <v>34000727</v>
      </c>
      <c r="D149" s="1" t="s">
        <v>443</v>
      </c>
      <c r="E149" s="314">
        <v>11150000</v>
      </c>
      <c r="F149" s="314">
        <v>0</v>
      </c>
      <c r="G149" s="42">
        <f t="shared" si="14"/>
        <v>3.7530082970093741E-3</v>
      </c>
      <c r="H149" s="43">
        <f t="shared" si="15"/>
        <v>141123.88092687965</v>
      </c>
      <c r="I149" s="43">
        <v>109166.66666666667</v>
      </c>
      <c r="J149" s="43">
        <v>0</v>
      </c>
      <c r="K149" s="42">
        <f t="shared" si="16"/>
        <v>3.0170659807487185E-4</v>
      </c>
      <c r="L149" s="43">
        <f t="shared" si="17"/>
        <v>17281.845696028802</v>
      </c>
      <c r="M149" s="43">
        <v>0</v>
      </c>
      <c r="N149" s="44">
        <f t="shared" si="18"/>
        <v>158405.72662290843</v>
      </c>
      <c r="O149" s="321">
        <f t="shared" si="19"/>
        <v>594.27337709156564</v>
      </c>
      <c r="P149" s="322">
        <f t="shared" si="20"/>
        <v>159000</v>
      </c>
    </row>
    <row r="150" spans="1:16" x14ac:dyDescent="0.2">
      <c r="A150" s="1">
        <v>147</v>
      </c>
      <c r="B150" s="1" t="s">
        <v>444</v>
      </c>
      <c r="C150" s="1">
        <v>34000390</v>
      </c>
      <c r="D150" s="1" t="s">
        <v>445</v>
      </c>
      <c r="E150" s="314">
        <v>11550000</v>
      </c>
      <c r="F150" s="314">
        <v>0</v>
      </c>
      <c r="G150" s="42">
        <f t="shared" si="14"/>
        <v>3.887645365960383E-3</v>
      </c>
      <c r="H150" s="43">
        <f t="shared" si="15"/>
        <v>146186.62104981701</v>
      </c>
      <c r="I150" s="43">
        <v>2325000</v>
      </c>
      <c r="J150" s="43">
        <v>0</v>
      </c>
      <c r="K150" s="42">
        <f t="shared" si="16"/>
        <v>6.4256596078541414E-3</v>
      </c>
      <c r="L150" s="43">
        <f t="shared" si="17"/>
        <v>368063.73657954473</v>
      </c>
      <c r="M150" s="43">
        <v>0</v>
      </c>
      <c r="N150" s="44">
        <f t="shared" si="18"/>
        <v>514250.35762936174</v>
      </c>
      <c r="O150" s="321">
        <f t="shared" si="19"/>
        <v>749.64237063826295</v>
      </c>
      <c r="P150" s="322">
        <f t="shared" si="20"/>
        <v>515000</v>
      </c>
    </row>
    <row r="151" spans="1:16" x14ac:dyDescent="0.2">
      <c r="A151" s="1">
        <v>148</v>
      </c>
      <c r="B151" s="1" t="s">
        <v>446</v>
      </c>
      <c r="C151" s="1">
        <v>34000341</v>
      </c>
      <c r="D151" s="1" t="s">
        <v>447</v>
      </c>
      <c r="E151" s="314">
        <v>10950000</v>
      </c>
      <c r="F151" s="314">
        <v>0</v>
      </c>
      <c r="G151" s="42">
        <f t="shared" si="14"/>
        <v>3.6856897625338696E-3</v>
      </c>
      <c r="H151" s="43">
        <f t="shared" si="15"/>
        <v>138592.51086541094</v>
      </c>
      <c r="I151" s="43">
        <v>1090833.3333333335</v>
      </c>
      <c r="J151" s="43">
        <v>0</v>
      </c>
      <c r="K151" s="42">
        <f t="shared" si="16"/>
        <v>3.0147628769466206E-3</v>
      </c>
      <c r="L151" s="43">
        <f t="shared" si="17"/>
        <v>172686.5344740588</v>
      </c>
      <c r="M151" s="43">
        <v>8000</v>
      </c>
      <c r="N151" s="44">
        <f t="shared" si="18"/>
        <v>319279.04533946974</v>
      </c>
      <c r="O151" s="321">
        <f t="shared" si="19"/>
        <v>720.9546605302603</v>
      </c>
      <c r="P151" s="322">
        <f t="shared" si="20"/>
        <v>320000</v>
      </c>
    </row>
    <row r="152" spans="1:16" x14ac:dyDescent="0.2">
      <c r="A152" s="1">
        <v>149</v>
      </c>
      <c r="B152" s="1" t="s">
        <v>448</v>
      </c>
      <c r="C152" s="1">
        <v>34000520</v>
      </c>
      <c r="D152" s="1" t="s">
        <v>449</v>
      </c>
      <c r="E152" s="314">
        <v>10950000</v>
      </c>
      <c r="F152" s="314">
        <v>0</v>
      </c>
      <c r="G152" s="42">
        <f t="shared" si="14"/>
        <v>3.6856897625338696E-3</v>
      </c>
      <c r="H152" s="43">
        <f t="shared" si="15"/>
        <v>138592.51086541094</v>
      </c>
      <c r="I152" s="43">
        <v>1485000</v>
      </c>
      <c r="J152" s="43">
        <v>0</v>
      </c>
      <c r="K152" s="42">
        <f t="shared" si="16"/>
        <v>4.1041309753390969E-3</v>
      </c>
      <c r="L152" s="43">
        <f t="shared" si="17"/>
        <v>235085.87046048342</v>
      </c>
      <c r="M152" s="43">
        <v>0</v>
      </c>
      <c r="N152" s="44">
        <f t="shared" si="18"/>
        <v>373678.38132589438</v>
      </c>
      <c r="O152" s="321">
        <f t="shared" si="19"/>
        <v>321.61867410561536</v>
      </c>
      <c r="P152" s="322">
        <f t="shared" si="20"/>
        <v>374000</v>
      </c>
    </row>
    <row r="153" spans="1:16" x14ac:dyDescent="0.2">
      <c r="A153" s="1">
        <v>150</v>
      </c>
      <c r="B153" s="1" t="s">
        <v>450</v>
      </c>
      <c r="C153" s="1">
        <v>34000575</v>
      </c>
      <c r="D153" s="1" t="s">
        <v>451</v>
      </c>
      <c r="E153" s="314">
        <v>11450000</v>
      </c>
      <c r="F153" s="314">
        <v>0</v>
      </c>
      <c r="G153" s="42">
        <f t="shared" si="14"/>
        <v>3.853986098722631E-3</v>
      </c>
      <c r="H153" s="43">
        <f t="shared" si="15"/>
        <v>144920.93601908267</v>
      </c>
      <c r="I153" s="43">
        <v>770000</v>
      </c>
      <c r="J153" s="43">
        <v>0</v>
      </c>
      <c r="K153" s="42">
        <f t="shared" si="16"/>
        <v>2.1280679131387907E-3</v>
      </c>
      <c r="L153" s="43">
        <f t="shared" si="17"/>
        <v>121896.3772758062</v>
      </c>
      <c r="M153" s="43">
        <v>0</v>
      </c>
      <c r="N153" s="44">
        <f t="shared" si="18"/>
        <v>266817.31329488888</v>
      </c>
      <c r="O153" s="321">
        <f t="shared" si="19"/>
        <v>182.6867051111185</v>
      </c>
      <c r="P153" s="322">
        <f t="shared" si="20"/>
        <v>267000</v>
      </c>
    </row>
    <row r="154" spans="1:16" x14ac:dyDescent="0.2">
      <c r="A154" s="1">
        <v>151</v>
      </c>
      <c r="B154" s="1" t="s">
        <v>452</v>
      </c>
      <c r="C154" s="1">
        <v>34000630</v>
      </c>
      <c r="D154" s="1" t="s">
        <v>453</v>
      </c>
      <c r="E154" s="314">
        <v>10950000</v>
      </c>
      <c r="F154" s="314">
        <v>0</v>
      </c>
      <c r="G154" s="42">
        <f t="shared" si="14"/>
        <v>3.6856897625338696E-3</v>
      </c>
      <c r="H154" s="43">
        <f t="shared" si="15"/>
        <v>138592.51086541094</v>
      </c>
      <c r="I154" s="43">
        <v>782000</v>
      </c>
      <c r="J154" s="43">
        <v>0</v>
      </c>
      <c r="K154" s="42">
        <f t="shared" si="16"/>
        <v>2.1612326078890055E-3</v>
      </c>
      <c r="L154" s="43">
        <f t="shared" si="17"/>
        <v>123796.06107750707</v>
      </c>
      <c r="M154" s="43">
        <v>8000</v>
      </c>
      <c r="N154" s="44">
        <f t="shared" si="18"/>
        <v>270388.571942918</v>
      </c>
      <c r="O154" s="321">
        <f t="shared" si="19"/>
        <v>611.42805708199739</v>
      </c>
      <c r="P154" s="322">
        <f t="shared" si="20"/>
        <v>271000</v>
      </c>
    </row>
    <row r="155" spans="1:16" x14ac:dyDescent="0.2">
      <c r="A155" s="1">
        <v>152</v>
      </c>
      <c r="B155" s="1" t="s">
        <v>454</v>
      </c>
      <c r="C155" s="1">
        <v>34000497</v>
      </c>
      <c r="D155" s="1" t="s">
        <v>455</v>
      </c>
      <c r="E155" s="314">
        <v>10950000</v>
      </c>
      <c r="F155" s="314">
        <v>0</v>
      </c>
      <c r="G155" s="42">
        <f t="shared" si="14"/>
        <v>3.6856897625338696E-3</v>
      </c>
      <c r="H155" s="43">
        <f t="shared" si="15"/>
        <v>138592.51086541094</v>
      </c>
      <c r="I155" s="43">
        <v>1050000</v>
      </c>
      <c r="J155" s="43">
        <v>0</v>
      </c>
      <c r="K155" s="42">
        <f t="shared" si="16"/>
        <v>2.9019107906438058E-3</v>
      </c>
      <c r="L155" s="43">
        <f t="shared" si="17"/>
        <v>166222.33264882665</v>
      </c>
      <c r="M155" s="43">
        <v>0</v>
      </c>
      <c r="N155" s="44">
        <f t="shared" si="18"/>
        <v>304814.84351423755</v>
      </c>
      <c r="O155" s="321">
        <f t="shared" si="19"/>
        <v>185.15648576244712</v>
      </c>
      <c r="P155" s="322">
        <f t="shared" si="20"/>
        <v>305000</v>
      </c>
    </row>
    <row r="156" spans="1:16" x14ac:dyDescent="0.2">
      <c r="A156" s="1">
        <v>153</v>
      </c>
      <c r="B156" s="1" t="s">
        <v>456</v>
      </c>
      <c r="C156" s="1">
        <v>34000765</v>
      </c>
      <c r="D156" s="1" t="s">
        <v>457</v>
      </c>
      <c r="E156" s="314">
        <v>10950000</v>
      </c>
      <c r="F156" s="314">
        <v>0</v>
      </c>
      <c r="G156" s="42">
        <f t="shared" si="14"/>
        <v>3.6856897625338696E-3</v>
      </c>
      <c r="H156" s="43">
        <f t="shared" si="15"/>
        <v>138592.51086541094</v>
      </c>
      <c r="I156" s="43">
        <v>1050000</v>
      </c>
      <c r="J156" s="43">
        <v>152430.55555555556</v>
      </c>
      <c r="K156" s="42">
        <f t="shared" si="16"/>
        <v>3.3231868611109452E-3</v>
      </c>
      <c r="L156" s="43">
        <f t="shared" si="17"/>
        <v>190353.15408825615</v>
      </c>
      <c r="M156" s="43">
        <v>0</v>
      </c>
      <c r="N156" s="44">
        <f t="shared" si="18"/>
        <v>328945.66495366709</v>
      </c>
      <c r="O156" s="321">
        <f t="shared" si="19"/>
        <v>54.335046332911588</v>
      </c>
      <c r="P156" s="322">
        <f t="shared" si="20"/>
        <v>329000</v>
      </c>
    </row>
    <row r="157" spans="1:16" x14ac:dyDescent="0.2">
      <c r="A157" s="1">
        <v>154</v>
      </c>
      <c r="B157" s="1" t="s">
        <v>458</v>
      </c>
      <c r="C157" s="1">
        <v>34000352</v>
      </c>
      <c r="D157" s="1" t="s">
        <v>459</v>
      </c>
      <c r="E157" s="314">
        <v>10950000</v>
      </c>
      <c r="F157" s="314">
        <v>0</v>
      </c>
      <c r="G157" s="42">
        <f t="shared" si="14"/>
        <v>3.6856897625338696E-3</v>
      </c>
      <c r="H157" s="43">
        <f t="shared" si="15"/>
        <v>138592.51086541094</v>
      </c>
      <c r="I157" s="43">
        <v>0</v>
      </c>
      <c r="J157" s="43">
        <v>0</v>
      </c>
      <c r="K157" s="42">
        <f t="shared" si="16"/>
        <v>0</v>
      </c>
      <c r="L157" s="43">
        <f t="shared" si="17"/>
        <v>0</v>
      </c>
      <c r="M157" s="43">
        <v>0</v>
      </c>
      <c r="N157" s="44">
        <f t="shared" si="18"/>
        <v>138592.51086541094</v>
      </c>
      <c r="O157" s="321">
        <f t="shared" si="19"/>
        <v>407.48913458906463</v>
      </c>
      <c r="P157" s="322">
        <f t="shared" si="20"/>
        <v>139000</v>
      </c>
    </row>
    <row r="158" spans="1:16" x14ac:dyDescent="0.2">
      <c r="A158" s="1">
        <v>155</v>
      </c>
      <c r="B158" s="1" t="s">
        <v>460</v>
      </c>
      <c r="C158" s="1">
        <v>34000337</v>
      </c>
      <c r="D158" s="1" t="s">
        <v>238</v>
      </c>
      <c r="E158" s="314">
        <v>11050000</v>
      </c>
      <c r="F158" s="314">
        <v>0</v>
      </c>
      <c r="G158" s="42">
        <f t="shared" si="14"/>
        <v>3.7193490297716221E-3</v>
      </c>
      <c r="H158" s="43">
        <f t="shared" si="15"/>
        <v>139858.19589614531</v>
      </c>
      <c r="I158" s="43">
        <v>0</v>
      </c>
      <c r="J158" s="43">
        <v>160000</v>
      </c>
      <c r="K158" s="42">
        <f t="shared" si="16"/>
        <v>4.4219593000286562E-4</v>
      </c>
      <c r="L158" s="43">
        <f t="shared" si="17"/>
        <v>25329.11735601168</v>
      </c>
      <c r="M158" s="43">
        <v>8000</v>
      </c>
      <c r="N158" s="44">
        <f t="shared" si="18"/>
        <v>173187.31325215698</v>
      </c>
      <c r="O158" s="321">
        <f t="shared" si="19"/>
        <v>812.68674784302129</v>
      </c>
      <c r="P158" s="322">
        <f t="shared" si="20"/>
        <v>174000</v>
      </c>
    </row>
    <row r="159" spans="1:16" x14ac:dyDescent="0.2">
      <c r="A159" s="1">
        <v>156</v>
      </c>
      <c r="B159" s="1" t="s">
        <v>461</v>
      </c>
      <c r="C159" s="1">
        <v>34000648</v>
      </c>
      <c r="D159" s="1" t="s">
        <v>462</v>
      </c>
      <c r="E159" s="314">
        <v>11050000</v>
      </c>
      <c r="F159" s="314">
        <v>0</v>
      </c>
      <c r="G159" s="42">
        <f t="shared" si="14"/>
        <v>3.7193490297716221E-3</v>
      </c>
      <c r="H159" s="43">
        <f t="shared" si="15"/>
        <v>139858.19589614531</v>
      </c>
      <c r="I159" s="43">
        <v>896666.66666666674</v>
      </c>
      <c r="J159" s="43">
        <v>0</v>
      </c>
      <c r="K159" s="42">
        <f t="shared" si="16"/>
        <v>2.4781396910577261E-3</v>
      </c>
      <c r="L159" s="43">
        <f t="shared" si="17"/>
        <v>141948.5951826488</v>
      </c>
      <c r="M159" s="43">
        <v>0</v>
      </c>
      <c r="N159" s="44">
        <f t="shared" si="18"/>
        <v>281806.79107879411</v>
      </c>
      <c r="O159" s="321">
        <f t="shared" si="19"/>
        <v>193.20892120589269</v>
      </c>
      <c r="P159" s="322">
        <f t="shared" si="20"/>
        <v>282000</v>
      </c>
    </row>
    <row r="160" spans="1:16" x14ac:dyDescent="0.2">
      <c r="A160" s="1">
        <v>157</v>
      </c>
      <c r="B160" s="1" t="s">
        <v>465</v>
      </c>
      <c r="C160" s="1">
        <v>34000192</v>
      </c>
      <c r="D160" s="1" t="s">
        <v>466</v>
      </c>
      <c r="E160" s="314">
        <v>11050000</v>
      </c>
      <c r="F160" s="314">
        <v>0</v>
      </c>
      <c r="G160" s="42">
        <f t="shared" si="14"/>
        <v>3.7193490297716221E-3</v>
      </c>
      <c r="H160" s="43">
        <f t="shared" si="15"/>
        <v>139858.19589614531</v>
      </c>
      <c r="I160" s="43">
        <v>1485000</v>
      </c>
      <c r="J160" s="43">
        <v>904375</v>
      </c>
      <c r="K160" s="42">
        <f t="shared" si="16"/>
        <v>6.6035743765662314E-3</v>
      </c>
      <c r="L160" s="43">
        <f t="shared" si="17"/>
        <v>378254.74864075251</v>
      </c>
      <c r="M160" s="43">
        <v>0</v>
      </c>
      <c r="N160" s="44">
        <f t="shared" si="18"/>
        <v>518112.94453689782</v>
      </c>
      <c r="O160" s="321">
        <f t="shared" si="19"/>
        <v>887.05546310218051</v>
      </c>
      <c r="P160" s="322">
        <f t="shared" si="20"/>
        <v>519000</v>
      </c>
    </row>
    <row r="161" spans="1:16" x14ac:dyDescent="0.2">
      <c r="A161" s="1">
        <v>158</v>
      </c>
      <c r="B161" s="1" t="s">
        <v>467</v>
      </c>
      <c r="C161" s="1">
        <v>34000166</v>
      </c>
      <c r="D161" s="1" t="s">
        <v>468</v>
      </c>
      <c r="E161" s="314">
        <v>11350000</v>
      </c>
      <c r="F161" s="314">
        <v>0</v>
      </c>
      <c r="G161" s="42">
        <f t="shared" si="14"/>
        <v>3.8203268314848785E-3</v>
      </c>
      <c r="H161" s="43">
        <f t="shared" si="15"/>
        <v>143655.25098834833</v>
      </c>
      <c r="I161" s="43">
        <v>833333.33333333337</v>
      </c>
      <c r="J161" s="43">
        <v>0</v>
      </c>
      <c r="K161" s="42">
        <f t="shared" si="16"/>
        <v>2.3031038020982584E-3</v>
      </c>
      <c r="L161" s="43">
        <f t="shared" si="17"/>
        <v>131922.48622922751</v>
      </c>
      <c r="M161" s="43">
        <v>0</v>
      </c>
      <c r="N161" s="44">
        <f t="shared" si="18"/>
        <v>275577.73721757584</v>
      </c>
      <c r="O161" s="321">
        <f t="shared" si="19"/>
        <v>422.26278242416447</v>
      </c>
      <c r="P161" s="322">
        <f t="shared" si="20"/>
        <v>276000</v>
      </c>
    </row>
    <row r="162" spans="1:16" x14ac:dyDescent="0.2">
      <c r="A162" s="1">
        <v>159</v>
      </c>
      <c r="B162" s="1" t="s">
        <v>469</v>
      </c>
      <c r="C162" s="1">
        <v>34000639</v>
      </c>
      <c r="D162" s="1" t="s">
        <v>470</v>
      </c>
      <c r="E162" s="314">
        <v>10950000</v>
      </c>
      <c r="F162" s="314">
        <v>0</v>
      </c>
      <c r="G162" s="42">
        <f t="shared" si="14"/>
        <v>3.6856897625338696E-3</v>
      </c>
      <c r="H162" s="43">
        <f t="shared" si="15"/>
        <v>138592.51086541094</v>
      </c>
      <c r="I162" s="43">
        <v>813333.33333333337</v>
      </c>
      <c r="J162" s="43">
        <v>0</v>
      </c>
      <c r="K162" s="42">
        <f t="shared" si="16"/>
        <v>2.2478293108479002E-3</v>
      </c>
      <c r="L162" s="43">
        <f t="shared" si="17"/>
        <v>128756.34655972604</v>
      </c>
      <c r="M162" s="43">
        <v>0</v>
      </c>
      <c r="N162" s="44">
        <f t="shared" si="18"/>
        <v>267348.85742513696</v>
      </c>
      <c r="O162" s="321">
        <f t="shared" si="19"/>
        <v>651.14257486304268</v>
      </c>
      <c r="P162" s="322">
        <f t="shared" si="20"/>
        <v>268000</v>
      </c>
    </row>
    <row r="163" spans="1:16" x14ac:dyDescent="0.2">
      <c r="A163" s="1">
        <v>160</v>
      </c>
      <c r="B163" s="1" t="s">
        <v>471</v>
      </c>
      <c r="C163" s="1">
        <v>34000106</v>
      </c>
      <c r="D163" s="1" t="s">
        <v>472</v>
      </c>
      <c r="E163" s="314">
        <v>10950000</v>
      </c>
      <c r="F163" s="314">
        <v>0</v>
      </c>
      <c r="G163" s="42">
        <f t="shared" si="14"/>
        <v>3.6856897625338696E-3</v>
      </c>
      <c r="H163" s="43">
        <f t="shared" si="15"/>
        <v>138592.51086541094</v>
      </c>
      <c r="I163" s="43">
        <v>2090000.0000000005</v>
      </c>
      <c r="J163" s="43">
        <v>2130000</v>
      </c>
      <c r="K163" s="42">
        <f t="shared" si="16"/>
        <v>1.1662917653825581E-2</v>
      </c>
      <c r="L163" s="43">
        <f t="shared" si="17"/>
        <v>668055.47026480804</v>
      </c>
      <c r="M163" s="43">
        <v>0</v>
      </c>
      <c r="N163" s="44">
        <f t="shared" si="18"/>
        <v>806647.98113021895</v>
      </c>
      <c r="O163" s="321">
        <f t="shared" si="19"/>
        <v>352.01886978105176</v>
      </c>
      <c r="P163" s="322">
        <f t="shared" si="20"/>
        <v>807000</v>
      </c>
    </row>
    <row r="164" spans="1:16" x14ac:dyDescent="0.2">
      <c r="A164" s="1">
        <v>161</v>
      </c>
      <c r="B164" s="1" t="s">
        <v>473</v>
      </c>
      <c r="C164" s="1">
        <v>34000758</v>
      </c>
      <c r="D164" s="1" t="s">
        <v>474</v>
      </c>
      <c r="E164" s="314">
        <v>10950000</v>
      </c>
      <c r="F164" s="314">
        <v>0</v>
      </c>
      <c r="G164" s="42">
        <f t="shared" si="14"/>
        <v>3.6856897625338696E-3</v>
      </c>
      <c r="H164" s="43">
        <f t="shared" si="15"/>
        <v>138592.51086541094</v>
      </c>
      <c r="I164" s="43">
        <v>1050000</v>
      </c>
      <c r="J164" s="43">
        <v>0</v>
      </c>
      <c r="K164" s="42">
        <f t="shared" si="16"/>
        <v>2.9019107906438058E-3</v>
      </c>
      <c r="L164" s="43">
        <f t="shared" si="17"/>
        <v>166222.33264882665</v>
      </c>
      <c r="M164" s="43">
        <v>0</v>
      </c>
      <c r="N164" s="44">
        <f t="shared" si="18"/>
        <v>304814.84351423755</v>
      </c>
      <c r="O164" s="321">
        <f t="shared" si="19"/>
        <v>185.15648576244712</v>
      </c>
      <c r="P164" s="322">
        <f t="shared" si="20"/>
        <v>305000</v>
      </c>
    </row>
    <row r="165" spans="1:16" x14ac:dyDescent="0.2">
      <c r="A165" s="1">
        <v>162</v>
      </c>
      <c r="B165" s="1" t="s">
        <v>475</v>
      </c>
      <c r="C165" s="1">
        <v>34000118</v>
      </c>
      <c r="D165" s="1" t="s">
        <v>476</v>
      </c>
      <c r="E165" s="314">
        <v>10750000</v>
      </c>
      <c r="F165" s="314">
        <v>0</v>
      </c>
      <c r="G165" s="42">
        <f t="shared" si="14"/>
        <v>3.6183712280583652E-3</v>
      </c>
      <c r="H165" s="43">
        <f t="shared" si="15"/>
        <v>136061.14080394225</v>
      </c>
      <c r="I165" s="43">
        <v>2295333.3333333335</v>
      </c>
      <c r="J165" s="43">
        <v>2208888.8888888885</v>
      </c>
      <c r="K165" s="42">
        <f t="shared" si="16"/>
        <v>1.244842959059456E-2</v>
      </c>
      <c r="L165" s="43">
        <f t="shared" si="17"/>
        <v>713049.83290138992</v>
      </c>
      <c r="M165" s="43">
        <v>0</v>
      </c>
      <c r="N165" s="44">
        <f t="shared" si="18"/>
        <v>849110.97370533214</v>
      </c>
      <c r="O165" s="321">
        <f t="shared" si="19"/>
        <v>889.02629466785584</v>
      </c>
      <c r="P165" s="322">
        <f t="shared" si="20"/>
        <v>850000</v>
      </c>
    </row>
    <row r="166" spans="1:16" x14ac:dyDescent="0.2">
      <c r="A166" s="1">
        <v>163</v>
      </c>
      <c r="B166" s="1" t="s">
        <v>477</v>
      </c>
      <c r="C166" s="1">
        <v>34000529</v>
      </c>
      <c r="D166" s="1" t="s">
        <v>478</v>
      </c>
      <c r="E166" s="314">
        <v>9850000</v>
      </c>
      <c r="F166" s="314">
        <v>0</v>
      </c>
      <c r="G166" s="42">
        <f t="shared" si="14"/>
        <v>3.3154378229185949E-3</v>
      </c>
      <c r="H166" s="43">
        <f t="shared" si="15"/>
        <v>124669.97552733312</v>
      </c>
      <c r="I166" s="43">
        <v>0</v>
      </c>
      <c r="J166" s="43">
        <v>2808333.333333334</v>
      </c>
      <c r="K166" s="42">
        <f t="shared" si="16"/>
        <v>7.7614598130711331E-3</v>
      </c>
      <c r="L166" s="43">
        <f t="shared" si="17"/>
        <v>444578.77859249676</v>
      </c>
      <c r="M166" s="43">
        <v>0</v>
      </c>
      <c r="N166" s="44">
        <f t="shared" si="18"/>
        <v>569248.75411982986</v>
      </c>
      <c r="O166" s="321">
        <f t="shared" si="19"/>
        <v>751.24588017014321</v>
      </c>
      <c r="P166" s="322">
        <f t="shared" si="20"/>
        <v>570000</v>
      </c>
    </row>
    <row r="167" spans="1:16" x14ac:dyDescent="0.2">
      <c r="A167" s="1">
        <v>164</v>
      </c>
      <c r="B167" s="1" t="s">
        <v>479</v>
      </c>
      <c r="C167" s="1">
        <v>34000259</v>
      </c>
      <c r="D167" s="1" t="s">
        <v>480</v>
      </c>
      <c r="E167" s="314">
        <v>9850000</v>
      </c>
      <c r="F167" s="314">
        <v>1100000</v>
      </c>
      <c r="G167" s="42">
        <f t="shared" si="14"/>
        <v>3.6856897625338696E-3</v>
      </c>
      <c r="H167" s="43">
        <f t="shared" si="15"/>
        <v>138592.51086541094</v>
      </c>
      <c r="I167" s="43">
        <v>985000</v>
      </c>
      <c r="J167" s="43">
        <v>0</v>
      </c>
      <c r="K167" s="42">
        <f t="shared" si="16"/>
        <v>2.7222686940801414E-3</v>
      </c>
      <c r="L167" s="43">
        <f t="shared" si="17"/>
        <v>155932.37872294689</v>
      </c>
      <c r="M167" s="43">
        <v>0</v>
      </c>
      <c r="N167" s="44">
        <f t="shared" si="18"/>
        <v>294524.88958835782</v>
      </c>
      <c r="O167" s="321">
        <f t="shared" si="19"/>
        <v>475.1104116421775</v>
      </c>
      <c r="P167" s="322">
        <f t="shared" si="20"/>
        <v>295000</v>
      </c>
    </row>
    <row r="168" spans="1:16" x14ac:dyDescent="0.2">
      <c r="A168" s="1">
        <v>165</v>
      </c>
      <c r="B168" s="1" t="s">
        <v>481</v>
      </c>
      <c r="C168" s="1">
        <v>34000218</v>
      </c>
      <c r="D168" s="1" t="s">
        <v>482</v>
      </c>
      <c r="E168" s="314">
        <v>9850000</v>
      </c>
      <c r="F168" s="314">
        <v>0</v>
      </c>
      <c r="G168" s="42">
        <f t="shared" si="14"/>
        <v>3.3154378229185949E-3</v>
      </c>
      <c r="H168" s="43">
        <f t="shared" si="15"/>
        <v>124669.97552733312</v>
      </c>
      <c r="I168" s="43">
        <v>1018333.3333333334</v>
      </c>
      <c r="J168" s="43">
        <v>0</v>
      </c>
      <c r="K168" s="42">
        <f t="shared" si="16"/>
        <v>2.8143928461640717E-3</v>
      </c>
      <c r="L168" s="43">
        <f t="shared" si="17"/>
        <v>161209.278172116</v>
      </c>
      <c r="M168" s="43">
        <v>8000</v>
      </c>
      <c r="N168" s="44">
        <f t="shared" si="18"/>
        <v>293879.25369944912</v>
      </c>
      <c r="O168" s="321">
        <f t="shared" si="19"/>
        <v>120.74630055087619</v>
      </c>
      <c r="P168" s="322">
        <f t="shared" si="20"/>
        <v>294000</v>
      </c>
    </row>
    <row r="169" spans="1:16" x14ac:dyDescent="0.2">
      <c r="A169" s="1">
        <v>166</v>
      </c>
      <c r="B169" s="1" t="s">
        <v>483</v>
      </c>
      <c r="C169" s="1">
        <v>34000379</v>
      </c>
      <c r="D169" s="1" t="s">
        <v>484</v>
      </c>
      <c r="E169" s="314">
        <v>9850000</v>
      </c>
      <c r="F169" s="314">
        <v>0</v>
      </c>
      <c r="G169" s="42">
        <f t="shared" si="14"/>
        <v>3.3154378229185949E-3</v>
      </c>
      <c r="H169" s="43">
        <f t="shared" si="15"/>
        <v>124669.97552733312</v>
      </c>
      <c r="I169" s="43">
        <v>1572500</v>
      </c>
      <c r="J169" s="43">
        <v>3685833.333333333</v>
      </c>
      <c r="K169" s="42">
        <f t="shared" si="16"/>
        <v>1.453258499124001E-2</v>
      </c>
      <c r="L169" s="43">
        <f t="shared" si="17"/>
        <v>832430.88810642541</v>
      </c>
      <c r="M169" s="43">
        <v>0</v>
      </c>
      <c r="N169" s="44">
        <f t="shared" si="18"/>
        <v>957100.8636337585</v>
      </c>
      <c r="O169" s="321">
        <f t="shared" si="19"/>
        <v>899.13636624149512</v>
      </c>
      <c r="P169" s="322">
        <f t="shared" si="20"/>
        <v>958000</v>
      </c>
    </row>
    <row r="170" spans="1:16" x14ac:dyDescent="0.2">
      <c r="A170" s="1">
        <v>167</v>
      </c>
      <c r="B170" s="1" t="s">
        <v>485</v>
      </c>
      <c r="C170" s="1">
        <v>34000490</v>
      </c>
      <c r="D170" s="1" t="s">
        <v>486</v>
      </c>
      <c r="E170" s="314">
        <v>9650000</v>
      </c>
      <c r="F170" s="314">
        <v>18000000</v>
      </c>
      <c r="G170" s="42">
        <f t="shared" si="14"/>
        <v>9.3067873912384934E-3</v>
      </c>
      <c r="H170" s="43">
        <f t="shared" si="15"/>
        <v>349961.91099804686</v>
      </c>
      <c r="I170" s="43">
        <v>2130000</v>
      </c>
      <c r="J170" s="43">
        <v>606666.66666666674</v>
      </c>
      <c r="K170" s="42">
        <f t="shared" si="16"/>
        <v>7.5633928860906812E-3</v>
      </c>
      <c r="L170" s="43">
        <f t="shared" si="17"/>
        <v>433233.44477678312</v>
      </c>
      <c r="M170" s="43">
        <v>0</v>
      </c>
      <c r="N170" s="44">
        <f t="shared" si="18"/>
        <v>783195.35577482998</v>
      </c>
      <c r="O170" s="321">
        <f t="shared" si="19"/>
        <v>804.64422517002095</v>
      </c>
      <c r="P170" s="322">
        <f t="shared" si="20"/>
        <v>784000</v>
      </c>
    </row>
    <row r="171" spans="1:16" x14ac:dyDescent="0.2">
      <c r="A171" s="1">
        <v>168</v>
      </c>
      <c r="B171" s="1" t="s">
        <v>491</v>
      </c>
      <c r="C171" s="1">
        <v>34000470</v>
      </c>
      <c r="D171" s="1" t="s">
        <v>492</v>
      </c>
      <c r="E171" s="314">
        <v>9650000</v>
      </c>
      <c r="F171" s="314">
        <v>0</v>
      </c>
      <c r="G171" s="42">
        <f t="shared" si="14"/>
        <v>3.2481192884430904E-3</v>
      </c>
      <c r="H171" s="43">
        <f t="shared" si="15"/>
        <v>122138.60546586443</v>
      </c>
      <c r="I171" s="43">
        <v>1485000</v>
      </c>
      <c r="J171" s="43">
        <v>2100000</v>
      </c>
      <c r="K171" s="42">
        <f t="shared" si="16"/>
        <v>9.9079525566267077E-3</v>
      </c>
      <c r="L171" s="43">
        <f t="shared" si="17"/>
        <v>567530.53575813666</v>
      </c>
      <c r="M171" s="43">
        <v>0</v>
      </c>
      <c r="N171" s="44">
        <f t="shared" si="18"/>
        <v>689669.14122400107</v>
      </c>
      <c r="O171" s="321">
        <f t="shared" si="19"/>
        <v>330.85877599893138</v>
      </c>
      <c r="P171" s="322">
        <f t="shared" si="20"/>
        <v>690000</v>
      </c>
    </row>
    <row r="172" spans="1:16" x14ac:dyDescent="0.2">
      <c r="A172" s="1">
        <v>169</v>
      </c>
      <c r="B172" s="1" t="s">
        <v>559</v>
      </c>
      <c r="C172" s="1">
        <v>34000242</v>
      </c>
      <c r="D172" s="1" t="s">
        <v>560</v>
      </c>
      <c r="E172" s="314">
        <v>9450000</v>
      </c>
      <c r="F172" s="314">
        <v>0</v>
      </c>
      <c r="G172" s="42">
        <f t="shared" si="14"/>
        <v>3.180800753967586E-3</v>
      </c>
      <c r="H172" s="43">
        <f t="shared" si="15"/>
        <v>119607.23540439575</v>
      </c>
      <c r="I172" s="43">
        <v>0</v>
      </c>
      <c r="J172" s="43">
        <v>0</v>
      </c>
      <c r="K172" s="42">
        <f t="shared" si="16"/>
        <v>0</v>
      </c>
      <c r="L172" s="43">
        <f t="shared" si="17"/>
        <v>0</v>
      </c>
      <c r="M172" s="43">
        <v>0</v>
      </c>
      <c r="N172" s="44">
        <f t="shared" si="18"/>
        <v>119607.23540439575</v>
      </c>
      <c r="O172" s="321">
        <f t="shared" si="19"/>
        <v>392.76459560425428</v>
      </c>
      <c r="P172" s="322">
        <f t="shared" si="20"/>
        <v>120000</v>
      </c>
    </row>
    <row r="173" spans="1:16" x14ac:dyDescent="0.2">
      <c r="A173" s="1">
        <v>170</v>
      </c>
      <c r="B173" s="1" t="s">
        <v>493</v>
      </c>
      <c r="C173" s="1">
        <v>34000213</v>
      </c>
      <c r="D173" s="1" t="s">
        <v>494</v>
      </c>
      <c r="E173" s="314">
        <v>9550000</v>
      </c>
      <c r="F173" s="314">
        <v>0</v>
      </c>
      <c r="G173" s="42">
        <f t="shared" si="14"/>
        <v>3.2144600212053384E-3</v>
      </c>
      <c r="H173" s="43">
        <f t="shared" si="15"/>
        <v>120872.9204351301</v>
      </c>
      <c r="I173" s="43">
        <v>0</v>
      </c>
      <c r="J173" s="43">
        <v>0</v>
      </c>
      <c r="K173" s="42">
        <f t="shared" si="16"/>
        <v>0</v>
      </c>
      <c r="L173" s="43">
        <f t="shared" si="17"/>
        <v>0</v>
      </c>
      <c r="M173" s="43">
        <v>0</v>
      </c>
      <c r="N173" s="44">
        <f t="shared" si="18"/>
        <v>120872.9204351301</v>
      </c>
      <c r="O173" s="321">
        <f t="shared" si="19"/>
        <v>127.0795648698986</v>
      </c>
      <c r="P173" s="322">
        <f t="shared" si="20"/>
        <v>121000</v>
      </c>
    </row>
    <row r="174" spans="1:16" x14ac:dyDescent="0.2">
      <c r="A174" s="1">
        <v>171</v>
      </c>
      <c r="B174" s="1" t="s">
        <v>495</v>
      </c>
      <c r="C174" s="1">
        <v>34000562</v>
      </c>
      <c r="D174" s="1" t="s">
        <v>496</v>
      </c>
      <c r="E174" s="314">
        <v>9550000</v>
      </c>
      <c r="F174" s="314">
        <v>0</v>
      </c>
      <c r="G174" s="42">
        <f t="shared" si="14"/>
        <v>3.2144600212053384E-3</v>
      </c>
      <c r="H174" s="43">
        <f t="shared" si="15"/>
        <v>120872.9204351301</v>
      </c>
      <c r="I174" s="43">
        <v>1554000</v>
      </c>
      <c r="J174" s="43">
        <v>2223000</v>
      </c>
      <c r="K174" s="42">
        <f t="shared" si="16"/>
        <v>1.0438587672630147E-2</v>
      </c>
      <c r="L174" s="43">
        <f t="shared" si="17"/>
        <v>597925.4765853507</v>
      </c>
      <c r="M174" s="43">
        <v>0</v>
      </c>
      <c r="N174" s="44">
        <f t="shared" si="18"/>
        <v>718798.39702048083</v>
      </c>
      <c r="O174" s="321">
        <f t="shared" si="19"/>
        <v>201.60297951917164</v>
      </c>
      <c r="P174" s="322">
        <f t="shared" si="20"/>
        <v>719000</v>
      </c>
    </row>
    <row r="175" spans="1:16" x14ac:dyDescent="0.2">
      <c r="A175" s="1">
        <v>172</v>
      </c>
      <c r="B175" s="1" t="s">
        <v>561</v>
      </c>
      <c r="C175" s="1">
        <v>34000453</v>
      </c>
      <c r="D175" s="1" t="s">
        <v>562</v>
      </c>
      <c r="E175" s="314">
        <v>9450000</v>
      </c>
      <c r="F175" s="314">
        <v>0</v>
      </c>
      <c r="G175" s="42">
        <f t="shared" si="14"/>
        <v>3.180800753967586E-3</v>
      </c>
      <c r="H175" s="43">
        <f t="shared" si="15"/>
        <v>119607.23540439575</v>
      </c>
      <c r="I175" s="43">
        <v>1922500</v>
      </c>
      <c r="J175" s="43">
        <v>1171972.2222222222</v>
      </c>
      <c r="K175" s="42">
        <f t="shared" si="16"/>
        <v>8.5522688885849366E-3</v>
      </c>
      <c r="L175" s="43">
        <f t="shared" si="17"/>
        <v>489876.56294740574</v>
      </c>
      <c r="M175" s="43">
        <v>8000</v>
      </c>
      <c r="N175" s="44">
        <f t="shared" si="18"/>
        <v>617483.79835180147</v>
      </c>
      <c r="O175" s="321">
        <f t="shared" si="19"/>
        <v>516.2016481985338</v>
      </c>
      <c r="P175" s="322">
        <f t="shared" si="20"/>
        <v>618000</v>
      </c>
    </row>
    <row r="176" spans="1:16" x14ac:dyDescent="0.2">
      <c r="A176" s="1">
        <v>173</v>
      </c>
      <c r="B176" s="1" t="s">
        <v>563</v>
      </c>
      <c r="C176" s="1">
        <v>34000129</v>
      </c>
      <c r="D176" s="1" t="s">
        <v>564</v>
      </c>
      <c r="E176" s="314">
        <v>9250000</v>
      </c>
      <c r="F176" s="314">
        <v>0</v>
      </c>
      <c r="G176" s="42">
        <f t="shared" si="14"/>
        <v>3.1134822194920815E-3</v>
      </c>
      <c r="H176" s="43">
        <f t="shared" si="15"/>
        <v>117075.86534292705</v>
      </c>
      <c r="I176" s="43">
        <v>240000</v>
      </c>
      <c r="J176" s="43">
        <v>0</v>
      </c>
      <c r="K176" s="42">
        <f t="shared" si="16"/>
        <v>6.6329389500429845E-4</v>
      </c>
      <c r="L176" s="43">
        <f t="shared" si="17"/>
        <v>37993.676034017517</v>
      </c>
      <c r="M176" s="43">
        <v>0</v>
      </c>
      <c r="N176" s="44">
        <f t="shared" si="18"/>
        <v>155069.54137694457</v>
      </c>
      <c r="O176" s="321">
        <f t="shared" si="19"/>
        <v>930.45862305542687</v>
      </c>
      <c r="P176" s="322">
        <f t="shared" si="20"/>
        <v>156000</v>
      </c>
    </row>
    <row r="177" spans="1:16" x14ac:dyDescent="0.2">
      <c r="A177" s="1">
        <v>174</v>
      </c>
      <c r="B177" s="1" t="s">
        <v>565</v>
      </c>
      <c r="C177" s="1">
        <v>34000394</v>
      </c>
      <c r="D177" s="1" t="s">
        <v>535</v>
      </c>
      <c r="E177" s="314">
        <v>9150000</v>
      </c>
      <c r="F177" s="314">
        <v>0</v>
      </c>
      <c r="G177" s="42">
        <f t="shared" si="14"/>
        <v>3.0798229522543295E-3</v>
      </c>
      <c r="H177" s="43">
        <f t="shared" si="15"/>
        <v>115810.18031219271</v>
      </c>
      <c r="I177" s="43">
        <v>1890000</v>
      </c>
      <c r="J177" s="43">
        <v>763333.33333333337</v>
      </c>
      <c r="K177" s="42">
        <f t="shared" si="16"/>
        <v>7.3330825058808549E-3</v>
      </c>
      <c r="L177" s="43">
        <f t="shared" si="17"/>
        <v>420041.19615386036</v>
      </c>
      <c r="M177" s="43">
        <v>0</v>
      </c>
      <c r="N177" s="44">
        <f t="shared" si="18"/>
        <v>535851.37646605307</v>
      </c>
      <c r="O177" s="321">
        <f t="shared" si="19"/>
        <v>148.62353394692764</v>
      </c>
      <c r="P177" s="322">
        <f t="shared" si="20"/>
        <v>536000</v>
      </c>
    </row>
    <row r="178" spans="1:16" x14ac:dyDescent="0.2">
      <c r="A178" s="1">
        <v>175</v>
      </c>
      <c r="B178" s="1" t="s">
        <v>566</v>
      </c>
      <c r="C178" s="1">
        <v>34000668</v>
      </c>
      <c r="D178" s="1" t="s">
        <v>567</v>
      </c>
      <c r="E178" s="314">
        <v>9050000</v>
      </c>
      <c r="F178" s="314">
        <v>0</v>
      </c>
      <c r="G178" s="42">
        <f t="shared" si="14"/>
        <v>3.0461636850165771E-3</v>
      </c>
      <c r="H178" s="43">
        <f t="shared" si="15"/>
        <v>114544.49528145835</v>
      </c>
      <c r="I178" s="43">
        <v>1839666.6666666667</v>
      </c>
      <c r="J178" s="43">
        <v>183750</v>
      </c>
      <c r="K178" s="42">
        <f t="shared" si="16"/>
        <v>5.5921663418747819E-3</v>
      </c>
      <c r="L178" s="43">
        <f t="shared" si="17"/>
        <v>320320.98881318734</v>
      </c>
      <c r="M178" s="43">
        <v>8000</v>
      </c>
      <c r="N178" s="44">
        <f t="shared" si="18"/>
        <v>442865.48409464571</v>
      </c>
      <c r="O178" s="321">
        <f t="shared" si="19"/>
        <v>134.51590535428841</v>
      </c>
      <c r="P178" s="322">
        <f t="shared" si="20"/>
        <v>443000</v>
      </c>
    </row>
    <row r="179" spans="1:16" x14ac:dyDescent="0.2">
      <c r="A179" s="1">
        <v>176</v>
      </c>
      <c r="B179" s="1" t="s">
        <v>568</v>
      </c>
      <c r="C179" s="1">
        <v>34000388</v>
      </c>
      <c r="D179" s="1" t="s">
        <v>538</v>
      </c>
      <c r="E179" s="314">
        <v>9050000</v>
      </c>
      <c r="F179" s="314">
        <v>0</v>
      </c>
      <c r="G179" s="42">
        <f t="shared" si="14"/>
        <v>3.0461636850165771E-3</v>
      </c>
      <c r="H179" s="43">
        <f t="shared" si="15"/>
        <v>114544.49528145835</v>
      </c>
      <c r="I179" s="43">
        <v>1250000</v>
      </c>
      <c r="J179" s="43">
        <v>1388888.8888888888</v>
      </c>
      <c r="K179" s="42">
        <f t="shared" si="16"/>
        <v>7.2931620399778185E-3</v>
      </c>
      <c r="L179" s="43">
        <f t="shared" si="17"/>
        <v>417754.53972588707</v>
      </c>
      <c r="M179" s="43">
        <v>0</v>
      </c>
      <c r="N179" s="44">
        <f t="shared" si="18"/>
        <v>532299.03500734537</v>
      </c>
      <c r="O179" s="321">
        <f t="shared" si="19"/>
        <v>700.96499265462626</v>
      </c>
      <c r="P179" s="322">
        <f t="shared" si="20"/>
        <v>533000</v>
      </c>
    </row>
    <row r="180" spans="1:16" x14ac:dyDescent="0.2">
      <c r="A180" s="1">
        <v>177</v>
      </c>
      <c r="B180" s="1" t="s">
        <v>569</v>
      </c>
      <c r="C180" s="1">
        <v>34000414</v>
      </c>
      <c r="D180" s="1" t="s">
        <v>570</v>
      </c>
      <c r="E180" s="314">
        <v>9050000</v>
      </c>
      <c r="F180" s="314">
        <v>0</v>
      </c>
      <c r="G180" s="42">
        <f t="shared" si="14"/>
        <v>3.0461636850165771E-3</v>
      </c>
      <c r="H180" s="43">
        <f t="shared" si="15"/>
        <v>114544.49528145835</v>
      </c>
      <c r="I180" s="43">
        <v>1620000</v>
      </c>
      <c r="J180" s="43">
        <v>0</v>
      </c>
      <c r="K180" s="42">
        <f t="shared" si="16"/>
        <v>4.4772337912790143E-3</v>
      </c>
      <c r="L180" s="43">
        <f t="shared" si="17"/>
        <v>256457.31322961824</v>
      </c>
      <c r="M180" s="43">
        <v>8000</v>
      </c>
      <c r="N180" s="44">
        <f t="shared" si="18"/>
        <v>379001.80851107661</v>
      </c>
      <c r="O180" s="321">
        <f t="shared" si="19"/>
        <v>998.19148892338853</v>
      </c>
      <c r="P180" s="322">
        <f t="shared" si="20"/>
        <v>380000</v>
      </c>
    </row>
    <row r="181" spans="1:16" x14ac:dyDescent="0.2">
      <c r="A181" s="1">
        <v>178</v>
      </c>
      <c r="B181" s="1" t="s">
        <v>571</v>
      </c>
      <c r="C181" s="1">
        <v>34000151</v>
      </c>
      <c r="D181" s="1" t="s">
        <v>572</v>
      </c>
      <c r="E181" s="314">
        <v>8950000</v>
      </c>
      <c r="F181" s="314">
        <v>0</v>
      </c>
      <c r="G181" s="42">
        <f t="shared" si="14"/>
        <v>3.012504417778825E-3</v>
      </c>
      <c r="H181" s="43">
        <f t="shared" si="15"/>
        <v>113278.81025072401</v>
      </c>
      <c r="I181" s="43">
        <v>0</v>
      </c>
      <c r="J181" s="43">
        <v>0</v>
      </c>
      <c r="K181" s="42">
        <f t="shared" si="16"/>
        <v>0</v>
      </c>
      <c r="L181" s="43">
        <f t="shared" si="17"/>
        <v>0</v>
      </c>
      <c r="M181" s="43">
        <v>0</v>
      </c>
      <c r="N181" s="44">
        <f t="shared" si="18"/>
        <v>113278.81025072401</v>
      </c>
      <c r="O181" s="321">
        <f t="shared" si="19"/>
        <v>721.18974927598902</v>
      </c>
      <c r="P181" s="322">
        <f t="shared" si="20"/>
        <v>114000</v>
      </c>
    </row>
    <row r="182" spans="1:16" x14ac:dyDescent="0.2">
      <c r="A182" s="1">
        <v>179</v>
      </c>
      <c r="B182" s="1" t="s">
        <v>573</v>
      </c>
      <c r="C182" s="1">
        <v>34000282</v>
      </c>
      <c r="D182" s="1" t="s">
        <v>574</v>
      </c>
      <c r="E182" s="314">
        <v>8950000</v>
      </c>
      <c r="F182" s="314">
        <v>0</v>
      </c>
      <c r="G182" s="42">
        <f t="shared" si="14"/>
        <v>3.012504417778825E-3</v>
      </c>
      <c r="H182" s="43">
        <f t="shared" si="15"/>
        <v>113278.81025072401</v>
      </c>
      <c r="I182" s="43">
        <v>180000</v>
      </c>
      <c r="J182" s="43">
        <v>0</v>
      </c>
      <c r="K182" s="42">
        <f t="shared" si="16"/>
        <v>4.9747042125322378E-4</v>
      </c>
      <c r="L182" s="43">
        <f t="shared" si="17"/>
        <v>28495.257025513136</v>
      </c>
      <c r="M182" s="43">
        <v>8000</v>
      </c>
      <c r="N182" s="44">
        <f t="shared" si="18"/>
        <v>149774.06727623715</v>
      </c>
      <c r="O182" s="321">
        <f t="shared" si="19"/>
        <v>225.93272376284585</v>
      </c>
      <c r="P182" s="322">
        <f t="shared" si="20"/>
        <v>150000</v>
      </c>
    </row>
    <row r="183" spans="1:16" x14ac:dyDescent="0.2">
      <c r="A183" s="1">
        <v>180</v>
      </c>
      <c r="B183" s="1" t="s">
        <v>575</v>
      </c>
      <c r="C183" s="1">
        <v>34000096</v>
      </c>
      <c r="D183" s="1" t="s">
        <v>576</v>
      </c>
      <c r="E183" s="314">
        <v>8950000</v>
      </c>
      <c r="F183" s="314">
        <v>0</v>
      </c>
      <c r="G183" s="42">
        <f t="shared" si="14"/>
        <v>3.012504417778825E-3</v>
      </c>
      <c r="H183" s="43">
        <f t="shared" si="15"/>
        <v>113278.81025072401</v>
      </c>
      <c r="I183" s="43">
        <v>1420000</v>
      </c>
      <c r="J183" s="43">
        <v>2152500</v>
      </c>
      <c r="K183" s="42">
        <f t="shared" si="16"/>
        <v>9.8734059995952347E-3</v>
      </c>
      <c r="L183" s="43">
        <f t="shared" si="17"/>
        <v>565551.69846469827</v>
      </c>
      <c r="M183" s="43">
        <v>0</v>
      </c>
      <c r="N183" s="44">
        <f t="shared" si="18"/>
        <v>678830.50871542224</v>
      </c>
      <c r="O183" s="321">
        <f t="shared" si="19"/>
        <v>169.49128457775805</v>
      </c>
      <c r="P183" s="322">
        <f t="shared" si="20"/>
        <v>679000</v>
      </c>
    </row>
    <row r="184" spans="1:16" x14ac:dyDescent="0.2">
      <c r="A184" s="1">
        <v>181</v>
      </c>
      <c r="B184" s="1" t="s">
        <v>577</v>
      </c>
      <c r="C184" s="1">
        <v>34000128</v>
      </c>
      <c r="D184" s="1" t="s">
        <v>578</v>
      </c>
      <c r="E184" s="314">
        <v>8950000</v>
      </c>
      <c r="F184" s="314">
        <v>0</v>
      </c>
      <c r="G184" s="42">
        <f t="shared" si="14"/>
        <v>3.012504417778825E-3</v>
      </c>
      <c r="H184" s="43">
        <f t="shared" si="15"/>
        <v>113278.81025072401</v>
      </c>
      <c r="I184" s="43">
        <v>787500</v>
      </c>
      <c r="J184" s="43">
        <v>2112500</v>
      </c>
      <c r="K184" s="42">
        <f t="shared" si="16"/>
        <v>8.0148012313019396E-3</v>
      </c>
      <c r="L184" s="43">
        <f t="shared" si="17"/>
        <v>459090.25207771169</v>
      </c>
      <c r="M184" s="43">
        <v>0</v>
      </c>
      <c r="N184" s="44">
        <f t="shared" si="18"/>
        <v>572369.06232843571</v>
      </c>
      <c r="O184" s="321">
        <f t="shared" si="19"/>
        <v>630.93767156428657</v>
      </c>
      <c r="P184" s="322">
        <f t="shared" si="20"/>
        <v>573000</v>
      </c>
    </row>
    <row r="185" spans="1:16" x14ac:dyDescent="0.2">
      <c r="A185" s="1">
        <v>182</v>
      </c>
      <c r="B185" s="1" t="s">
        <v>579</v>
      </c>
      <c r="C185" s="1">
        <v>34000628</v>
      </c>
      <c r="D185" s="1" t="s">
        <v>580</v>
      </c>
      <c r="E185" s="314">
        <v>8850000</v>
      </c>
      <c r="F185" s="314">
        <v>0</v>
      </c>
      <c r="G185" s="42">
        <f t="shared" si="14"/>
        <v>2.9788451505410726E-3</v>
      </c>
      <c r="H185" s="43">
        <f t="shared" si="15"/>
        <v>112013.12521998967</v>
      </c>
      <c r="I185" s="43">
        <v>1920000</v>
      </c>
      <c r="J185" s="43">
        <v>2641666.6666666674</v>
      </c>
      <c r="K185" s="42">
        <f t="shared" si="16"/>
        <v>1.260719021268587E-2</v>
      </c>
      <c r="L185" s="43">
        <f t="shared" si="17"/>
        <v>722143.68961879145</v>
      </c>
      <c r="M185" s="43">
        <v>0</v>
      </c>
      <c r="N185" s="44">
        <f t="shared" si="18"/>
        <v>834156.81483878114</v>
      </c>
      <c r="O185" s="321">
        <f t="shared" si="19"/>
        <v>843.18516121886205</v>
      </c>
      <c r="P185" s="322">
        <f t="shared" si="20"/>
        <v>835000</v>
      </c>
    </row>
    <row r="186" spans="1:16" x14ac:dyDescent="0.2">
      <c r="A186" s="1">
        <v>183</v>
      </c>
      <c r="B186" s="1" t="s">
        <v>581</v>
      </c>
      <c r="C186" s="1">
        <v>34000620</v>
      </c>
      <c r="D186" s="1" t="s">
        <v>536</v>
      </c>
      <c r="E186" s="314">
        <v>8850000</v>
      </c>
      <c r="F186" s="314">
        <v>0</v>
      </c>
      <c r="G186" s="42">
        <f t="shared" si="14"/>
        <v>2.9788451505410726E-3</v>
      </c>
      <c r="H186" s="43">
        <f t="shared" si="15"/>
        <v>112013.12521998967</v>
      </c>
      <c r="I186" s="43">
        <v>0</v>
      </c>
      <c r="J186" s="43">
        <v>0</v>
      </c>
      <c r="K186" s="42">
        <f t="shared" si="16"/>
        <v>0</v>
      </c>
      <c r="L186" s="43">
        <f t="shared" si="17"/>
        <v>0</v>
      </c>
      <c r="M186" s="43">
        <v>0</v>
      </c>
      <c r="N186" s="44">
        <f t="shared" si="18"/>
        <v>112013.12521998967</v>
      </c>
      <c r="O186" s="321">
        <f t="shared" si="19"/>
        <v>986.87478001033014</v>
      </c>
      <c r="P186" s="322">
        <f t="shared" si="20"/>
        <v>113000</v>
      </c>
    </row>
    <row r="187" spans="1:16" x14ac:dyDescent="0.2">
      <c r="A187" s="1">
        <v>184</v>
      </c>
      <c r="B187" s="1" t="s">
        <v>582</v>
      </c>
      <c r="C187" s="1">
        <v>34000425</v>
      </c>
      <c r="D187" s="1" t="s">
        <v>583</v>
      </c>
      <c r="E187" s="314">
        <v>8850000</v>
      </c>
      <c r="F187" s="314">
        <v>0</v>
      </c>
      <c r="G187" s="42">
        <f t="shared" si="14"/>
        <v>2.9788451505410726E-3</v>
      </c>
      <c r="H187" s="43">
        <f t="shared" si="15"/>
        <v>112013.12521998967</v>
      </c>
      <c r="I187" s="43">
        <v>1050000</v>
      </c>
      <c r="J187" s="43">
        <v>234549.99999999997</v>
      </c>
      <c r="K187" s="42">
        <f t="shared" si="16"/>
        <v>3.5501423867823814E-3</v>
      </c>
      <c r="L187" s="43">
        <f t="shared" si="17"/>
        <v>203353.23562290502</v>
      </c>
      <c r="M187" s="43">
        <v>0</v>
      </c>
      <c r="N187" s="44">
        <f t="shared" si="18"/>
        <v>315366.3608428947</v>
      </c>
      <c r="O187" s="321">
        <f t="shared" si="19"/>
        <v>633.63915710529545</v>
      </c>
      <c r="P187" s="322">
        <f t="shared" si="20"/>
        <v>316000</v>
      </c>
    </row>
    <row r="188" spans="1:16" x14ac:dyDescent="0.2">
      <c r="A188" s="1">
        <v>185</v>
      </c>
      <c r="B188" s="1" t="s">
        <v>584</v>
      </c>
      <c r="C188" s="1">
        <v>34000049</v>
      </c>
      <c r="D188" s="1" t="s">
        <v>585</v>
      </c>
      <c r="E188" s="314">
        <v>8750000</v>
      </c>
      <c r="F188" s="314">
        <v>0</v>
      </c>
      <c r="G188" s="42">
        <f t="shared" si="14"/>
        <v>2.9451858833033206E-3</v>
      </c>
      <c r="H188" s="43">
        <f t="shared" si="15"/>
        <v>110747.44018925533</v>
      </c>
      <c r="I188" s="43">
        <v>1050000</v>
      </c>
      <c r="J188" s="43">
        <v>0</v>
      </c>
      <c r="K188" s="42">
        <f t="shared" si="16"/>
        <v>2.9019107906438058E-3</v>
      </c>
      <c r="L188" s="43">
        <f t="shared" si="17"/>
        <v>166222.33264882665</v>
      </c>
      <c r="M188" s="43">
        <v>8000</v>
      </c>
      <c r="N188" s="44">
        <f t="shared" si="18"/>
        <v>284969.77283808199</v>
      </c>
      <c r="O188" s="321">
        <f t="shared" si="19"/>
        <v>30.227161918010097</v>
      </c>
      <c r="P188" s="322">
        <f t="shared" si="20"/>
        <v>285000</v>
      </c>
    </row>
    <row r="189" spans="1:16" x14ac:dyDescent="0.2">
      <c r="A189" s="1">
        <v>186</v>
      </c>
      <c r="B189" s="1" t="s">
        <v>586</v>
      </c>
      <c r="C189" s="1">
        <v>34000785</v>
      </c>
      <c r="D189" s="1" t="s">
        <v>587</v>
      </c>
      <c r="E189" s="314">
        <v>8750000</v>
      </c>
      <c r="F189" s="314">
        <v>0</v>
      </c>
      <c r="G189" s="42">
        <f t="shared" si="14"/>
        <v>2.9451858833033206E-3</v>
      </c>
      <c r="H189" s="43">
        <f t="shared" si="15"/>
        <v>110747.44018925533</v>
      </c>
      <c r="I189" s="43">
        <v>1920000</v>
      </c>
      <c r="J189" s="43">
        <v>0</v>
      </c>
      <c r="K189" s="42">
        <f t="shared" si="16"/>
        <v>5.3063511600343876E-3</v>
      </c>
      <c r="L189" s="43">
        <f t="shared" si="17"/>
        <v>303949.40827214014</v>
      </c>
      <c r="M189" s="43">
        <v>0</v>
      </c>
      <c r="N189" s="44">
        <f t="shared" si="18"/>
        <v>414696.84846139548</v>
      </c>
      <c r="O189" s="321">
        <f t="shared" si="19"/>
        <v>303.15153860452119</v>
      </c>
      <c r="P189" s="322">
        <f t="shared" si="20"/>
        <v>415000</v>
      </c>
    </row>
    <row r="190" spans="1:16" x14ac:dyDescent="0.2">
      <c r="A190" s="1">
        <v>187</v>
      </c>
      <c r="B190" s="1" t="s">
        <v>588</v>
      </c>
      <c r="C190" s="1">
        <v>34000634</v>
      </c>
      <c r="D190" s="1" t="s">
        <v>589</v>
      </c>
      <c r="E190" s="314">
        <v>8750000</v>
      </c>
      <c r="F190" s="314">
        <v>0</v>
      </c>
      <c r="G190" s="42">
        <f t="shared" si="14"/>
        <v>2.9451858833033206E-3</v>
      </c>
      <c r="H190" s="43">
        <f t="shared" si="15"/>
        <v>110747.44018925533</v>
      </c>
      <c r="I190" s="43">
        <v>1200000</v>
      </c>
      <c r="J190" s="43">
        <v>0</v>
      </c>
      <c r="K190" s="42">
        <f t="shared" si="16"/>
        <v>3.316469475021492E-3</v>
      </c>
      <c r="L190" s="43">
        <f t="shared" si="17"/>
        <v>189968.38017008759</v>
      </c>
      <c r="M190" s="43">
        <v>0</v>
      </c>
      <c r="N190" s="44">
        <f t="shared" si="18"/>
        <v>300715.82035934291</v>
      </c>
      <c r="O190" s="321">
        <f t="shared" si="19"/>
        <v>284.17964065709384</v>
      </c>
      <c r="P190" s="322">
        <f t="shared" si="20"/>
        <v>301000</v>
      </c>
    </row>
    <row r="191" spans="1:16" x14ac:dyDescent="0.2">
      <c r="A191" s="1">
        <v>188</v>
      </c>
      <c r="B191" s="1" t="s">
        <v>590</v>
      </c>
      <c r="C191" s="1">
        <v>34000048</v>
      </c>
      <c r="D191" s="1" t="s">
        <v>591</v>
      </c>
      <c r="E191" s="314">
        <v>8750000</v>
      </c>
      <c r="F191" s="314">
        <v>0</v>
      </c>
      <c r="G191" s="42">
        <f t="shared" si="14"/>
        <v>2.9451858833033206E-3</v>
      </c>
      <c r="H191" s="43">
        <f t="shared" si="15"/>
        <v>110747.44018925533</v>
      </c>
      <c r="I191" s="43">
        <v>0</v>
      </c>
      <c r="J191" s="43">
        <v>516600</v>
      </c>
      <c r="K191" s="42">
        <f t="shared" si="16"/>
        <v>1.4277401089967524E-3</v>
      </c>
      <c r="L191" s="43">
        <f t="shared" si="17"/>
        <v>81781.387663222718</v>
      </c>
      <c r="M191" s="43">
        <v>0</v>
      </c>
      <c r="N191" s="44">
        <f t="shared" si="18"/>
        <v>192528.82785247805</v>
      </c>
      <c r="O191" s="321">
        <f t="shared" si="19"/>
        <v>471.17214752195287</v>
      </c>
      <c r="P191" s="322">
        <f t="shared" si="20"/>
        <v>193000</v>
      </c>
    </row>
    <row r="192" spans="1:16" x14ac:dyDescent="0.2">
      <c r="A192" s="1">
        <v>189</v>
      </c>
      <c r="B192" s="1" t="s">
        <v>592</v>
      </c>
      <c r="C192" s="1">
        <v>34000138</v>
      </c>
      <c r="D192" s="1" t="s">
        <v>593</v>
      </c>
      <c r="E192" s="314">
        <v>8650000</v>
      </c>
      <c r="F192" s="314">
        <v>0</v>
      </c>
      <c r="G192" s="42">
        <f t="shared" si="14"/>
        <v>2.9115266160655681E-3</v>
      </c>
      <c r="H192" s="43">
        <f t="shared" si="15"/>
        <v>109481.75515852097</v>
      </c>
      <c r="I192" s="43">
        <v>0</v>
      </c>
      <c r="J192" s="43">
        <v>0</v>
      </c>
      <c r="K192" s="42">
        <f t="shared" si="16"/>
        <v>0</v>
      </c>
      <c r="L192" s="43">
        <f t="shared" si="17"/>
        <v>0</v>
      </c>
      <c r="M192" s="43">
        <v>0</v>
      </c>
      <c r="N192" s="44">
        <f t="shared" si="18"/>
        <v>109481.75515852097</v>
      </c>
      <c r="O192" s="321">
        <f t="shared" si="19"/>
        <v>518.24484147902695</v>
      </c>
      <c r="P192" s="322">
        <f t="shared" si="20"/>
        <v>110000</v>
      </c>
    </row>
    <row r="193" spans="1:16" x14ac:dyDescent="0.2">
      <c r="A193" s="1">
        <v>190</v>
      </c>
      <c r="B193" s="1" t="s">
        <v>594</v>
      </c>
      <c r="C193" s="1">
        <v>34000627</v>
      </c>
      <c r="D193" s="1" t="s">
        <v>595</v>
      </c>
      <c r="E193" s="314">
        <v>8650000</v>
      </c>
      <c r="F193" s="314">
        <v>0</v>
      </c>
      <c r="G193" s="42">
        <f t="shared" si="14"/>
        <v>2.9115266160655681E-3</v>
      </c>
      <c r="H193" s="43">
        <f t="shared" si="15"/>
        <v>109481.75515852097</v>
      </c>
      <c r="I193" s="43">
        <v>0</v>
      </c>
      <c r="J193" s="43">
        <v>0</v>
      </c>
      <c r="K193" s="42">
        <f t="shared" si="16"/>
        <v>0</v>
      </c>
      <c r="L193" s="43">
        <f t="shared" si="17"/>
        <v>0</v>
      </c>
      <c r="M193" s="43">
        <v>0</v>
      </c>
      <c r="N193" s="44">
        <f t="shared" si="18"/>
        <v>109481.75515852097</v>
      </c>
      <c r="O193" s="321">
        <f t="shared" si="19"/>
        <v>518.24484147902695</v>
      </c>
      <c r="P193" s="322">
        <f t="shared" si="20"/>
        <v>110000</v>
      </c>
    </row>
    <row r="194" spans="1:16" x14ac:dyDescent="0.2">
      <c r="A194" s="1">
        <v>191</v>
      </c>
      <c r="B194" s="1" t="s">
        <v>596</v>
      </c>
      <c r="C194" s="1">
        <v>34000395</v>
      </c>
      <c r="D194" s="1" t="s">
        <v>597</v>
      </c>
      <c r="E194" s="314">
        <v>8650000</v>
      </c>
      <c r="F194" s="314">
        <v>0</v>
      </c>
      <c r="G194" s="42">
        <f t="shared" si="14"/>
        <v>2.9115266160655681E-3</v>
      </c>
      <c r="H194" s="43">
        <f t="shared" si="15"/>
        <v>109481.75515852097</v>
      </c>
      <c r="I194" s="43">
        <v>0</v>
      </c>
      <c r="J194" s="43">
        <v>0</v>
      </c>
      <c r="K194" s="42">
        <f t="shared" si="16"/>
        <v>0</v>
      </c>
      <c r="L194" s="43">
        <f t="shared" si="17"/>
        <v>0</v>
      </c>
      <c r="M194" s="43">
        <v>0</v>
      </c>
      <c r="N194" s="44">
        <f t="shared" si="18"/>
        <v>109481.75515852097</v>
      </c>
      <c r="O194" s="321">
        <f t="shared" si="19"/>
        <v>518.24484147902695</v>
      </c>
      <c r="P194" s="322">
        <f t="shared" si="20"/>
        <v>110000</v>
      </c>
    </row>
    <row r="195" spans="1:16" x14ac:dyDescent="0.2">
      <c r="A195" s="1">
        <v>192</v>
      </c>
      <c r="B195" s="1" t="s">
        <v>598</v>
      </c>
      <c r="C195" s="1">
        <v>34000132</v>
      </c>
      <c r="D195" s="1" t="s">
        <v>599</v>
      </c>
      <c r="E195" s="314">
        <v>8550000</v>
      </c>
      <c r="F195" s="314">
        <v>0</v>
      </c>
      <c r="G195" s="42">
        <f t="shared" si="14"/>
        <v>2.8778673488278161E-3</v>
      </c>
      <c r="H195" s="43">
        <f t="shared" si="15"/>
        <v>108216.07012778663</v>
      </c>
      <c r="I195" s="43">
        <v>2280000</v>
      </c>
      <c r="J195" s="43">
        <v>2837500.0000000005</v>
      </c>
      <c r="K195" s="42">
        <f t="shared" si="16"/>
        <v>1.4143360448685405E-2</v>
      </c>
      <c r="L195" s="43">
        <f t="shared" si="17"/>
        <v>810135.98793368612</v>
      </c>
      <c r="M195" s="43">
        <v>0</v>
      </c>
      <c r="N195" s="44">
        <f t="shared" si="18"/>
        <v>918352.05806147272</v>
      </c>
      <c r="O195" s="321">
        <f t="shared" si="19"/>
        <v>647.94193852727767</v>
      </c>
      <c r="P195" s="322">
        <f t="shared" si="20"/>
        <v>919000</v>
      </c>
    </row>
    <row r="196" spans="1:16" x14ac:dyDescent="0.2">
      <c r="A196" s="1">
        <v>193</v>
      </c>
      <c r="B196" s="1" t="s">
        <v>600</v>
      </c>
      <c r="C196" s="1">
        <v>34000594</v>
      </c>
      <c r="D196" s="1" t="s">
        <v>601</v>
      </c>
      <c r="E196" s="314">
        <v>8450000</v>
      </c>
      <c r="F196" s="314">
        <v>0</v>
      </c>
      <c r="G196" s="42">
        <f t="shared" ref="G196:G259" si="21">(E196+F196)/$E$346</f>
        <v>2.8442080815900637E-3</v>
      </c>
      <c r="H196" s="43">
        <f t="shared" ref="H196:H259" si="22">G196*$H$3</f>
        <v>106950.38509705228</v>
      </c>
      <c r="I196" s="43">
        <v>1194000</v>
      </c>
      <c r="J196" s="43">
        <v>2689583.3333333335</v>
      </c>
      <c r="K196" s="42">
        <f t="shared" ref="K196:K259" si="23">(I196+J196)/($I$345+$J$345)</f>
        <v>1.0733154648918514E-2</v>
      </c>
      <c r="L196" s="43">
        <f t="shared" ref="L196:L259" si="24">K196*$L$3</f>
        <v>614798.36257406895</v>
      </c>
      <c r="M196" s="43">
        <v>8000</v>
      </c>
      <c r="N196" s="44">
        <f t="shared" si="18"/>
        <v>729748.74767112127</v>
      </c>
      <c r="O196" s="321">
        <f t="shared" si="19"/>
        <v>251.25232887873426</v>
      </c>
      <c r="P196" s="322">
        <f t="shared" si="20"/>
        <v>730000</v>
      </c>
    </row>
    <row r="197" spans="1:16" x14ac:dyDescent="0.2">
      <c r="A197" s="1">
        <v>194</v>
      </c>
      <c r="B197" s="1" t="s">
        <v>602</v>
      </c>
      <c r="C197" s="1">
        <v>34000125</v>
      </c>
      <c r="D197" s="1" t="s">
        <v>603</v>
      </c>
      <c r="E197" s="314">
        <v>8450000</v>
      </c>
      <c r="F197" s="314">
        <v>0</v>
      </c>
      <c r="G197" s="42">
        <f t="shared" si="21"/>
        <v>2.8442080815900637E-3</v>
      </c>
      <c r="H197" s="43">
        <f t="shared" si="22"/>
        <v>106950.38509705228</v>
      </c>
      <c r="I197" s="43">
        <v>2254166.666666667</v>
      </c>
      <c r="J197" s="43">
        <v>2633666.666666667</v>
      </c>
      <c r="K197" s="42">
        <f t="shared" si="23"/>
        <v>1.3508625040827126E-2</v>
      </c>
      <c r="L197" s="43">
        <f t="shared" si="24"/>
        <v>773778.15072891105</v>
      </c>
      <c r="M197" s="43">
        <v>8000</v>
      </c>
      <c r="N197" s="44">
        <f t="shared" ref="N197:N260" si="25">H197+L197+M197</f>
        <v>888728.53582596336</v>
      </c>
      <c r="O197" s="321">
        <f t="shared" ref="O197:O260" si="26">P197-N197</f>
        <v>271.46417403663509</v>
      </c>
      <c r="P197" s="322">
        <f t="shared" ref="P197:P260" si="27">ROUNDUP(N197,-3)</f>
        <v>889000</v>
      </c>
    </row>
    <row r="198" spans="1:16" x14ac:dyDescent="0.2">
      <c r="A198" s="1">
        <v>195</v>
      </c>
      <c r="B198" s="1" t="s">
        <v>604</v>
      </c>
      <c r="C198" s="1">
        <v>34000314</v>
      </c>
      <c r="D198" s="1" t="s">
        <v>605</v>
      </c>
      <c r="E198" s="314">
        <v>8350000</v>
      </c>
      <c r="F198" s="314">
        <v>0</v>
      </c>
      <c r="G198" s="42">
        <f t="shared" si="21"/>
        <v>2.8105488143523117E-3</v>
      </c>
      <c r="H198" s="43">
        <f t="shared" si="22"/>
        <v>105684.70006631794</v>
      </c>
      <c r="I198" s="43">
        <v>1050000</v>
      </c>
      <c r="J198" s="43">
        <v>390000</v>
      </c>
      <c r="K198" s="42">
        <f t="shared" si="23"/>
        <v>3.9797633700257903E-3</v>
      </c>
      <c r="L198" s="43">
        <f t="shared" si="24"/>
        <v>227962.05620410509</v>
      </c>
      <c r="M198" s="43">
        <v>0</v>
      </c>
      <c r="N198" s="44">
        <f t="shared" si="25"/>
        <v>333646.75627042301</v>
      </c>
      <c r="O198" s="321">
        <f t="shared" si="26"/>
        <v>353.24372957699234</v>
      </c>
      <c r="P198" s="322">
        <f t="shared" si="27"/>
        <v>334000</v>
      </c>
    </row>
    <row r="199" spans="1:16" x14ac:dyDescent="0.2">
      <c r="A199" s="1">
        <v>196</v>
      </c>
      <c r="B199" s="1" t="s">
        <v>606</v>
      </c>
      <c r="C199" s="1">
        <v>34000104</v>
      </c>
      <c r="D199" s="1" t="s">
        <v>607</v>
      </c>
      <c r="E199" s="314">
        <v>8350000</v>
      </c>
      <c r="F199" s="314">
        <v>0</v>
      </c>
      <c r="G199" s="42">
        <f t="shared" si="21"/>
        <v>2.8105488143523117E-3</v>
      </c>
      <c r="H199" s="43">
        <f t="shared" si="22"/>
        <v>105684.70006631794</v>
      </c>
      <c r="I199" s="43">
        <v>0</v>
      </c>
      <c r="J199" s="43">
        <v>0</v>
      </c>
      <c r="K199" s="42">
        <f t="shared" si="23"/>
        <v>0</v>
      </c>
      <c r="L199" s="43">
        <f t="shared" si="24"/>
        <v>0</v>
      </c>
      <c r="M199" s="43">
        <v>0</v>
      </c>
      <c r="N199" s="44">
        <f t="shared" si="25"/>
        <v>105684.70006631794</v>
      </c>
      <c r="O199" s="321">
        <f t="shared" si="26"/>
        <v>315.29993368206488</v>
      </c>
      <c r="P199" s="322">
        <f t="shared" si="27"/>
        <v>106000</v>
      </c>
    </row>
    <row r="200" spans="1:16" x14ac:dyDescent="0.2">
      <c r="A200" s="1">
        <v>197</v>
      </c>
      <c r="B200" s="1" t="s">
        <v>628</v>
      </c>
      <c r="C200" s="1">
        <v>34000776</v>
      </c>
      <c r="D200" s="1" t="s">
        <v>614</v>
      </c>
      <c r="E200" s="314">
        <v>8250000</v>
      </c>
      <c r="F200" s="314">
        <v>0</v>
      </c>
      <c r="G200" s="42">
        <f t="shared" si="21"/>
        <v>2.7768895471145592E-3</v>
      </c>
      <c r="H200" s="43">
        <f t="shared" si="22"/>
        <v>104419.01503558358</v>
      </c>
      <c r="I200" s="43">
        <v>0</v>
      </c>
      <c r="J200" s="43">
        <v>2347777.7777777775</v>
      </c>
      <c r="K200" s="42">
        <f t="shared" si="23"/>
        <v>6.4886111117781597E-3</v>
      </c>
      <c r="L200" s="43">
        <f t="shared" si="24"/>
        <v>371669.61786981026</v>
      </c>
      <c r="M200" s="43">
        <v>0</v>
      </c>
      <c r="N200" s="44">
        <f t="shared" si="25"/>
        <v>476088.63290539384</v>
      </c>
      <c r="O200" s="321">
        <f t="shared" si="26"/>
        <v>911.36709460616112</v>
      </c>
      <c r="P200" s="322">
        <f t="shared" si="27"/>
        <v>477000</v>
      </c>
    </row>
    <row r="201" spans="1:16" x14ac:dyDescent="0.2">
      <c r="A201" s="1">
        <v>198</v>
      </c>
      <c r="B201" s="1" t="s">
        <v>629</v>
      </c>
      <c r="C201" s="1">
        <v>34000728</v>
      </c>
      <c r="D201" s="1" t="s">
        <v>616</v>
      </c>
      <c r="E201" s="314">
        <v>8250000</v>
      </c>
      <c r="F201" s="314">
        <v>0</v>
      </c>
      <c r="G201" s="42">
        <f t="shared" si="21"/>
        <v>2.7768895471145592E-3</v>
      </c>
      <c r="H201" s="43">
        <f t="shared" si="22"/>
        <v>104419.01503558358</v>
      </c>
      <c r="I201" s="43">
        <v>1770000</v>
      </c>
      <c r="J201" s="43">
        <v>593333.33333333326</v>
      </c>
      <c r="K201" s="42">
        <f t="shared" si="23"/>
        <v>6.5316023827506602E-3</v>
      </c>
      <c r="L201" s="43">
        <f t="shared" si="24"/>
        <v>374132.17094608914</v>
      </c>
      <c r="M201" s="43">
        <v>0</v>
      </c>
      <c r="N201" s="44">
        <f t="shared" si="25"/>
        <v>478551.18598167272</v>
      </c>
      <c r="O201" s="321">
        <f t="shared" si="26"/>
        <v>448.81401832727715</v>
      </c>
      <c r="P201" s="322">
        <f t="shared" si="27"/>
        <v>479000</v>
      </c>
    </row>
    <row r="202" spans="1:16" x14ac:dyDescent="0.2">
      <c r="A202" s="1">
        <v>199</v>
      </c>
      <c r="B202" s="1" t="s">
        <v>630</v>
      </c>
      <c r="C202" s="1">
        <v>34000508</v>
      </c>
      <c r="D202" s="1" t="s">
        <v>631</v>
      </c>
      <c r="E202" s="314">
        <v>8250000</v>
      </c>
      <c r="F202" s="314">
        <v>0</v>
      </c>
      <c r="G202" s="42">
        <f t="shared" si="21"/>
        <v>2.7768895471145592E-3</v>
      </c>
      <c r="H202" s="43">
        <f t="shared" si="22"/>
        <v>104419.01503558358</v>
      </c>
      <c r="I202" s="43">
        <v>0</v>
      </c>
      <c r="J202" s="43">
        <v>0</v>
      </c>
      <c r="K202" s="42">
        <f t="shared" si="23"/>
        <v>0</v>
      </c>
      <c r="L202" s="43">
        <f t="shared" si="24"/>
        <v>0</v>
      </c>
      <c r="M202" s="43">
        <v>0</v>
      </c>
      <c r="N202" s="44">
        <f t="shared" si="25"/>
        <v>104419.01503558358</v>
      </c>
      <c r="O202" s="321">
        <f t="shared" si="26"/>
        <v>580.98496441642055</v>
      </c>
      <c r="P202" s="322">
        <f t="shared" si="27"/>
        <v>105000</v>
      </c>
    </row>
    <row r="203" spans="1:16" x14ac:dyDescent="0.2">
      <c r="A203" s="1">
        <v>200</v>
      </c>
      <c r="B203" s="1" t="s">
        <v>632</v>
      </c>
      <c r="C203" s="1">
        <v>34000311</v>
      </c>
      <c r="D203" s="1" t="s">
        <v>633</v>
      </c>
      <c r="E203" s="314">
        <v>8150000</v>
      </c>
      <c r="F203" s="314">
        <v>0</v>
      </c>
      <c r="G203" s="42">
        <f t="shared" si="21"/>
        <v>2.7432302798768072E-3</v>
      </c>
      <c r="H203" s="43">
        <f t="shared" si="22"/>
        <v>103153.33000484925</v>
      </c>
      <c r="I203" s="43">
        <v>1560833.3333333333</v>
      </c>
      <c r="J203" s="43">
        <v>0</v>
      </c>
      <c r="K203" s="42">
        <f t="shared" si="23"/>
        <v>4.313713421330038E-3</v>
      </c>
      <c r="L203" s="43">
        <f t="shared" si="24"/>
        <v>247090.8167073431</v>
      </c>
      <c r="M203" s="43">
        <v>0</v>
      </c>
      <c r="N203" s="44">
        <f t="shared" si="25"/>
        <v>350244.14671219233</v>
      </c>
      <c r="O203" s="321">
        <f t="shared" si="26"/>
        <v>755.85328780766577</v>
      </c>
      <c r="P203" s="322">
        <f t="shared" si="27"/>
        <v>351000</v>
      </c>
    </row>
    <row r="204" spans="1:16" x14ac:dyDescent="0.2">
      <c r="A204" s="1">
        <v>201</v>
      </c>
      <c r="B204" s="1" t="s">
        <v>634</v>
      </c>
      <c r="C204" s="1">
        <v>34000777</v>
      </c>
      <c r="D204" s="1" t="s">
        <v>615</v>
      </c>
      <c r="E204" s="314">
        <v>8150000</v>
      </c>
      <c r="F204" s="314">
        <v>0</v>
      </c>
      <c r="G204" s="42">
        <f t="shared" si="21"/>
        <v>2.7432302798768072E-3</v>
      </c>
      <c r="H204" s="43">
        <f t="shared" si="22"/>
        <v>103153.33000484925</v>
      </c>
      <c r="I204" s="43">
        <v>0</v>
      </c>
      <c r="J204" s="43">
        <v>1726000</v>
      </c>
      <c r="K204" s="42">
        <f t="shared" si="23"/>
        <v>4.7701885949059126E-3</v>
      </c>
      <c r="L204" s="43">
        <f t="shared" si="24"/>
        <v>273237.85347797599</v>
      </c>
      <c r="M204" s="43">
        <v>0</v>
      </c>
      <c r="N204" s="44">
        <f t="shared" si="25"/>
        <v>376391.18348282523</v>
      </c>
      <c r="O204" s="321">
        <f t="shared" si="26"/>
        <v>608.8165171747678</v>
      </c>
      <c r="P204" s="322">
        <f t="shared" si="27"/>
        <v>377000</v>
      </c>
    </row>
    <row r="205" spans="1:16" x14ac:dyDescent="0.2">
      <c r="A205" s="1">
        <v>202</v>
      </c>
      <c r="B205" s="1" t="s">
        <v>635</v>
      </c>
      <c r="C205" s="1">
        <v>34000162</v>
      </c>
      <c r="D205" s="1" t="s">
        <v>636</v>
      </c>
      <c r="E205" s="314">
        <v>8150000</v>
      </c>
      <c r="F205" s="314">
        <v>4200000</v>
      </c>
      <c r="G205" s="42">
        <f t="shared" si="21"/>
        <v>4.1569195038624008E-3</v>
      </c>
      <c r="H205" s="43">
        <f t="shared" si="22"/>
        <v>156312.1012956918</v>
      </c>
      <c r="I205" s="43">
        <v>0</v>
      </c>
      <c r="J205" s="43">
        <v>0</v>
      </c>
      <c r="K205" s="42">
        <f t="shared" si="23"/>
        <v>0</v>
      </c>
      <c r="L205" s="43">
        <f t="shared" si="24"/>
        <v>0</v>
      </c>
      <c r="M205" s="43">
        <v>8000</v>
      </c>
      <c r="N205" s="44">
        <f t="shared" si="25"/>
        <v>164312.1012956918</v>
      </c>
      <c r="O205" s="321">
        <f t="shared" si="26"/>
        <v>687.89870430820156</v>
      </c>
      <c r="P205" s="322">
        <f t="shared" si="27"/>
        <v>165000</v>
      </c>
    </row>
    <row r="206" spans="1:16" x14ac:dyDescent="0.2">
      <c r="A206" s="1">
        <v>203</v>
      </c>
      <c r="B206" s="1" t="s">
        <v>639</v>
      </c>
      <c r="C206" s="1">
        <v>34000031</v>
      </c>
      <c r="D206" s="1" t="s">
        <v>640</v>
      </c>
      <c r="E206" s="314">
        <v>8050000</v>
      </c>
      <c r="F206" s="314">
        <v>0</v>
      </c>
      <c r="G206" s="42">
        <f t="shared" si="21"/>
        <v>2.7095710126390548E-3</v>
      </c>
      <c r="H206" s="43">
        <f t="shared" si="22"/>
        <v>101887.6449741149</v>
      </c>
      <c r="I206" s="43">
        <v>0</v>
      </c>
      <c r="J206" s="43">
        <v>0</v>
      </c>
      <c r="K206" s="42">
        <f t="shared" si="23"/>
        <v>0</v>
      </c>
      <c r="L206" s="43">
        <f t="shared" si="24"/>
        <v>0</v>
      </c>
      <c r="M206" s="43">
        <v>0</v>
      </c>
      <c r="N206" s="44">
        <f t="shared" si="25"/>
        <v>101887.6449741149</v>
      </c>
      <c r="O206" s="321">
        <f t="shared" si="26"/>
        <v>112.3550258851028</v>
      </c>
      <c r="P206" s="322">
        <f t="shared" si="27"/>
        <v>102000</v>
      </c>
    </row>
    <row r="207" spans="1:16" x14ac:dyDescent="0.2">
      <c r="A207" s="1">
        <v>204</v>
      </c>
      <c r="B207" s="1" t="s">
        <v>641</v>
      </c>
      <c r="C207" s="1">
        <v>34000589</v>
      </c>
      <c r="D207" s="1" t="s">
        <v>642</v>
      </c>
      <c r="E207" s="314">
        <v>8050000</v>
      </c>
      <c r="F207" s="314">
        <v>0</v>
      </c>
      <c r="G207" s="42">
        <f t="shared" si="21"/>
        <v>2.7095710126390548E-3</v>
      </c>
      <c r="H207" s="43">
        <f t="shared" si="22"/>
        <v>101887.6449741149</v>
      </c>
      <c r="I207" s="43">
        <v>1232500</v>
      </c>
      <c r="J207" s="43">
        <v>0</v>
      </c>
      <c r="K207" s="42">
        <f t="shared" si="23"/>
        <v>3.406290523303324E-3</v>
      </c>
      <c r="L207" s="43">
        <f t="shared" si="24"/>
        <v>195113.35713302746</v>
      </c>
      <c r="M207" s="43">
        <v>0</v>
      </c>
      <c r="N207" s="44">
        <f t="shared" si="25"/>
        <v>297001.00210714235</v>
      </c>
      <c r="O207" s="321">
        <f t="shared" si="26"/>
        <v>998.99789285764564</v>
      </c>
      <c r="P207" s="322">
        <f t="shared" si="27"/>
        <v>298000</v>
      </c>
    </row>
    <row r="208" spans="1:16" x14ac:dyDescent="0.2">
      <c r="A208" s="1">
        <v>205</v>
      </c>
      <c r="B208" s="1" t="s">
        <v>643</v>
      </c>
      <c r="C208" s="1">
        <v>34000216</v>
      </c>
      <c r="D208" s="1" t="s">
        <v>644</v>
      </c>
      <c r="E208" s="314">
        <v>8050000</v>
      </c>
      <c r="F208" s="314">
        <v>0</v>
      </c>
      <c r="G208" s="42">
        <f t="shared" si="21"/>
        <v>2.7095710126390548E-3</v>
      </c>
      <c r="H208" s="43">
        <f t="shared" si="22"/>
        <v>101887.6449741149</v>
      </c>
      <c r="I208" s="43">
        <v>625000</v>
      </c>
      <c r="J208" s="43">
        <v>0</v>
      </c>
      <c r="K208" s="42">
        <f t="shared" si="23"/>
        <v>1.7273278515736938E-3</v>
      </c>
      <c r="L208" s="43">
        <f t="shared" si="24"/>
        <v>98941.864671920615</v>
      </c>
      <c r="M208" s="43">
        <v>0</v>
      </c>
      <c r="N208" s="44">
        <f t="shared" si="25"/>
        <v>200829.5096460355</v>
      </c>
      <c r="O208" s="321">
        <f t="shared" si="26"/>
        <v>170.49035396450199</v>
      </c>
      <c r="P208" s="322">
        <f t="shared" si="27"/>
        <v>201000</v>
      </c>
    </row>
    <row r="209" spans="1:16" x14ac:dyDescent="0.2">
      <c r="A209" s="1">
        <v>206</v>
      </c>
      <c r="B209" s="1" t="s">
        <v>645</v>
      </c>
      <c r="C209" s="1">
        <v>34000689</v>
      </c>
      <c r="D209" s="1" t="s">
        <v>646</v>
      </c>
      <c r="E209" s="314">
        <v>7950000</v>
      </c>
      <c r="F209" s="314">
        <v>0</v>
      </c>
      <c r="G209" s="42">
        <f t="shared" si="21"/>
        <v>2.6759117454013027E-3</v>
      </c>
      <c r="H209" s="43">
        <f t="shared" si="22"/>
        <v>100621.95994338056</v>
      </c>
      <c r="I209" s="43">
        <v>1257500</v>
      </c>
      <c r="J209" s="43">
        <v>0</v>
      </c>
      <c r="K209" s="42">
        <f t="shared" si="23"/>
        <v>3.475383637366272E-3</v>
      </c>
      <c r="L209" s="43">
        <f t="shared" si="24"/>
        <v>199071.03171990431</v>
      </c>
      <c r="M209" s="43">
        <v>0</v>
      </c>
      <c r="N209" s="44">
        <f t="shared" si="25"/>
        <v>299692.99166328483</v>
      </c>
      <c r="O209" s="321">
        <f t="shared" si="26"/>
        <v>307.00833671516739</v>
      </c>
      <c r="P209" s="322">
        <f t="shared" si="27"/>
        <v>300000</v>
      </c>
    </row>
    <row r="210" spans="1:16" x14ac:dyDescent="0.2">
      <c r="A210" s="1">
        <v>207</v>
      </c>
      <c r="B210" s="1" t="s">
        <v>647</v>
      </c>
      <c r="C210" s="1">
        <v>34000698</v>
      </c>
      <c r="D210" s="1" t="s">
        <v>648</v>
      </c>
      <c r="E210" s="314">
        <v>7950000</v>
      </c>
      <c r="F210" s="314">
        <v>300000</v>
      </c>
      <c r="G210" s="42">
        <f t="shared" si="21"/>
        <v>2.7768895471145592E-3</v>
      </c>
      <c r="H210" s="43">
        <f t="shared" si="22"/>
        <v>104419.01503558358</v>
      </c>
      <c r="I210" s="43">
        <v>0</v>
      </c>
      <c r="J210" s="43">
        <v>3166666.666666667</v>
      </c>
      <c r="K210" s="42">
        <f t="shared" si="23"/>
        <v>8.7517944479733826E-3</v>
      </c>
      <c r="L210" s="43">
        <f t="shared" si="24"/>
        <v>501305.44767106452</v>
      </c>
      <c r="M210" s="43">
        <v>8000</v>
      </c>
      <c r="N210" s="44">
        <f t="shared" si="25"/>
        <v>613724.46270664805</v>
      </c>
      <c r="O210" s="321">
        <f t="shared" si="26"/>
        <v>275.53729335195385</v>
      </c>
      <c r="P210" s="322">
        <f t="shared" si="27"/>
        <v>614000</v>
      </c>
    </row>
    <row r="211" spans="1:16" x14ac:dyDescent="0.2">
      <c r="A211" s="1">
        <v>208</v>
      </c>
      <c r="B211" s="1" t="s">
        <v>649</v>
      </c>
      <c r="C211" s="1">
        <v>34000574</v>
      </c>
      <c r="D211" s="1" t="s">
        <v>650</v>
      </c>
      <c r="E211" s="314">
        <v>7950000</v>
      </c>
      <c r="F211" s="314">
        <v>0</v>
      </c>
      <c r="G211" s="42">
        <f t="shared" si="21"/>
        <v>2.6759117454013027E-3</v>
      </c>
      <c r="H211" s="43">
        <f t="shared" si="22"/>
        <v>100621.95994338056</v>
      </c>
      <c r="I211" s="43">
        <v>1890000</v>
      </c>
      <c r="J211" s="43">
        <v>3099583.3333333326</v>
      </c>
      <c r="K211" s="42">
        <f t="shared" si="23"/>
        <v>1.3789834015063319E-2</v>
      </c>
      <c r="L211" s="43">
        <f t="shared" si="24"/>
        <v>789885.88629749953</v>
      </c>
      <c r="M211" s="43">
        <v>8000</v>
      </c>
      <c r="N211" s="44">
        <f t="shared" si="25"/>
        <v>898507.84624088008</v>
      </c>
      <c r="O211" s="321">
        <f t="shared" si="26"/>
        <v>492.15375911991578</v>
      </c>
      <c r="P211" s="322">
        <f t="shared" si="27"/>
        <v>899000</v>
      </c>
    </row>
    <row r="212" spans="1:16" x14ac:dyDescent="0.2">
      <c r="A212" s="1">
        <v>209</v>
      </c>
      <c r="B212" s="1" t="s">
        <v>651</v>
      </c>
      <c r="C212" s="1">
        <v>34000601</v>
      </c>
      <c r="D212" s="1" t="s">
        <v>652</v>
      </c>
      <c r="E212" s="314">
        <v>7950000</v>
      </c>
      <c r="F212" s="314">
        <v>0</v>
      </c>
      <c r="G212" s="42">
        <f t="shared" si="21"/>
        <v>2.6759117454013027E-3</v>
      </c>
      <c r="H212" s="43">
        <f t="shared" si="22"/>
        <v>100621.95994338056</v>
      </c>
      <c r="I212" s="43">
        <v>1950000</v>
      </c>
      <c r="J212" s="43">
        <v>0</v>
      </c>
      <c r="K212" s="42">
        <f t="shared" si="23"/>
        <v>5.3892628969099245E-3</v>
      </c>
      <c r="L212" s="43">
        <f t="shared" si="24"/>
        <v>308698.61777639232</v>
      </c>
      <c r="M212" s="43">
        <v>0</v>
      </c>
      <c r="N212" s="44">
        <f t="shared" si="25"/>
        <v>409320.57771977287</v>
      </c>
      <c r="O212" s="321">
        <f t="shared" si="26"/>
        <v>679.42228022712516</v>
      </c>
      <c r="P212" s="322">
        <f t="shared" si="27"/>
        <v>410000</v>
      </c>
    </row>
    <row r="213" spans="1:16" x14ac:dyDescent="0.2">
      <c r="A213" s="1">
        <v>210</v>
      </c>
      <c r="B213" s="1" t="s">
        <v>653</v>
      </c>
      <c r="C213" s="1">
        <v>34000380</v>
      </c>
      <c r="D213" s="1" t="s">
        <v>654</v>
      </c>
      <c r="E213" s="314">
        <v>7850000</v>
      </c>
      <c r="F213" s="314">
        <v>0</v>
      </c>
      <c r="G213" s="42">
        <f t="shared" si="21"/>
        <v>2.6422524781635503E-3</v>
      </c>
      <c r="H213" s="43">
        <f t="shared" si="22"/>
        <v>99356.2749126462</v>
      </c>
      <c r="I213" s="43">
        <v>1955000</v>
      </c>
      <c r="J213" s="43">
        <v>0</v>
      </c>
      <c r="K213" s="42">
        <f t="shared" si="23"/>
        <v>5.4030815197225147E-3</v>
      </c>
      <c r="L213" s="43">
        <f t="shared" si="24"/>
        <v>309490.15269376774</v>
      </c>
      <c r="M213" s="43">
        <v>0</v>
      </c>
      <c r="N213" s="44">
        <f t="shared" si="25"/>
        <v>408846.42760641396</v>
      </c>
      <c r="O213" s="321">
        <f t="shared" si="26"/>
        <v>153.5723935860442</v>
      </c>
      <c r="P213" s="322">
        <f t="shared" si="27"/>
        <v>409000</v>
      </c>
    </row>
    <row r="214" spans="1:16" x14ac:dyDescent="0.2">
      <c r="A214" s="1">
        <v>211</v>
      </c>
      <c r="B214" s="1" t="s">
        <v>655</v>
      </c>
      <c r="C214" s="1">
        <v>34000475</v>
      </c>
      <c r="D214" s="1" t="s">
        <v>656</v>
      </c>
      <c r="E214" s="314">
        <v>7850000</v>
      </c>
      <c r="F214" s="314">
        <v>0</v>
      </c>
      <c r="G214" s="42">
        <f t="shared" si="21"/>
        <v>2.6422524781635503E-3</v>
      </c>
      <c r="H214" s="43">
        <f t="shared" si="22"/>
        <v>99356.2749126462</v>
      </c>
      <c r="I214" s="43">
        <v>0</v>
      </c>
      <c r="J214" s="43">
        <v>0</v>
      </c>
      <c r="K214" s="42">
        <f t="shared" si="23"/>
        <v>0</v>
      </c>
      <c r="L214" s="43">
        <f t="shared" si="24"/>
        <v>0</v>
      </c>
      <c r="M214" s="43">
        <v>0</v>
      </c>
      <c r="N214" s="44">
        <f t="shared" si="25"/>
        <v>99356.2749126462</v>
      </c>
      <c r="O214" s="321">
        <f t="shared" si="26"/>
        <v>643.72508735379961</v>
      </c>
      <c r="P214" s="322">
        <f t="shared" si="27"/>
        <v>100000</v>
      </c>
    </row>
    <row r="215" spans="1:16" x14ac:dyDescent="0.2">
      <c r="A215" s="1">
        <v>212</v>
      </c>
      <c r="B215" s="1" t="s">
        <v>657</v>
      </c>
      <c r="C215" s="1">
        <v>34000680</v>
      </c>
      <c r="D215" s="1" t="s">
        <v>617</v>
      </c>
      <c r="E215" s="314">
        <v>7850000</v>
      </c>
      <c r="F215" s="314">
        <v>0</v>
      </c>
      <c r="G215" s="42">
        <f t="shared" si="21"/>
        <v>2.6422524781635503E-3</v>
      </c>
      <c r="H215" s="43">
        <f t="shared" si="22"/>
        <v>99356.2749126462</v>
      </c>
      <c r="I215" s="43">
        <v>641666.66666666674</v>
      </c>
      <c r="J215" s="43">
        <v>0</v>
      </c>
      <c r="K215" s="42">
        <f t="shared" si="23"/>
        <v>1.7733899276156592E-3</v>
      </c>
      <c r="L215" s="43">
        <f t="shared" si="24"/>
        <v>101580.31439650519</v>
      </c>
      <c r="M215" s="43">
        <v>0</v>
      </c>
      <c r="N215" s="44">
        <f t="shared" si="25"/>
        <v>200936.5893091514</v>
      </c>
      <c r="O215" s="321">
        <f t="shared" si="26"/>
        <v>63.410690848599188</v>
      </c>
      <c r="P215" s="322">
        <f t="shared" si="27"/>
        <v>201000</v>
      </c>
    </row>
    <row r="216" spans="1:16" x14ac:dyDescent="0.2">
      <c r="A216" s="1">
        <v>213</v>
      </c>
      <c r="B216" s="1" t="s">
        <v>658</v>
      </c>
      <c r="C216" s="1">
        <v>34000781</v>
      </c>
      <c r="D216" s="1" t="s">
        <v>659</v>
      </c>
      <c r="E216" s="314">
        <v>7850000</v>
      </c>
      <c r="F216" s="314">
        <v>0</v>
      </c>
      <c r="G216" s="42">
        <f t="shared" si="21"/>
        <v>2.6422524781635503E-3</v>
      </c>
      <c r="H216" s="43">
        <f t="shared" si="22"/>
        <v>99356.2749126462</v>
      </c>
      <c r="I216" s="43">
        <v>0</v>
      </c>
      <c r="J216" s="43">
        <v>0</v>
      </c>
      <c r="K216" s="42">
        <f t="shared" si="23"/>
        <v>0</v>
      </c>
      <c r="L216" s="43">
        <f t="shared" si="24"/>
        <v>0</v>
      </c>
      <c r="M216" s="43">
        <v>0</v>
      </c>
      <c r="N216" s="44">
        <f t="shared" si="25"/>
        <v>99356.2749126462</v>
      </c>
      <c r="O216" s="321">
        <f t="shared" si="26"/>
        <v>643.72508735379961</v>
      </c>
      <c r="P216" s="322">
        <f t="shared" si="27"/>
        <v>100000</v>
      </c>
    </row>
    <row r="217" spans="1:16" x14ac:dyDescent="0.2">
      <c r="A217" s="1">
        <v>214</v>
      </c>
      <c r="B217" s="1" t="s">
        <v>660</v>
      </c>
      <c r="C217" s="1">
        <v>34000250</v>
      </c>
      <c r="D217" s="1" t="s">
        <v>661</v>
      </c>
      <c r="E217" s="314">
        <v>7750000</v>
      </c>
      <c r="F217" s="314">
        <v>0</v>
      </c>
      <c r="G217" s="42">
        <f t="shared" si="21"/>
        <v>2.6085932109257983E-3</v>
      </c>
      <c r="H217" s="43">
        <f t="shared" si="22"/>
        <v>98090.589881911859</v>
      </c>
      <c r="I217" s="43">
        <v>1604166.6666666667</v>
      </c>
      <c r="J217" s="43">
        <v>180250</v>
      </c>
      <c r="K217" s="42">
        <f t="shared" si="23"/>
        <v>4.9316361714330011E-3</v>
      </c>
      <c r="L217" s="43">
        <f t="shared" si="24"/>
        <v>282485.61976264487</v>
      </c>
      <c r="M217" s="43">
        <v>8000</v>
      </c>
      <c r="N217" s="44">
        <f t="shared" si="25"/>
        <v>388576.20964455674</v>
      </c>
      <c r="O217" s="321">
        <f t="shared" si="26"/>
        <v>423.79035544325598</v>
      </c>
      <c r="P217" s="322">
        <f t="shared" si="27"/>
        <v>389000</v>
      </c>
    </row>
    <row r="218" spans="1:16" x14ac:dyDescent="0.2">
      <c r="A218" s="1">
        <v>215</v>
      </c>
      <c r="B218" s="1" t="s">
        <v>662</v>
      </c>
      <c r="C218" s="1">
        <v>34000177</v>
      </c>
      <c r="D218" s="1" t="s">
        <v>663</v>
      </c>
      <c r="E218" s="314">
        <v>7750000</v>
      </c>
      <c r="F218" s="314">
        <v>0</v>
      </c>
      <c r="G218" s="42">
        <f t="shared" si="21"/>
        <v>2.6085932109257983E-3</v>
      </c>
      <c r="H218" s="43">
        <f t="shared" si="22"/>
        <v>98090.589881911859</v>
      </c>
      <c r="I218" s="43">
        <v>0</v>
      </c>
      <c r="J218" s="43">
        <v>0</v>
      </c>
      <c r="K218" s="42">
        <f t="shared" si="23"/>
        <v>0</v>
      </c>
      <c r="L218" s="43">
        <f t="shared" si="24"/>
        <v>0</v>
      </c>
      <c r="M218" s="43">
        <v>0</v>
      </c>
      <c r="N218" s="44">
        <f t="shared" si="25"/>
        <v>98090.589881911859</v>
      </c>
      <c r="O218" s="321">
        <f t="shared" si="26"/>
        <v>909.41011808814073</v>
      </c>
      <c r="P218" s="322">
        <f t="shared" si="27"/>
        <v>99000</v>
      </c>
    </row>
    <row r="219" spans="1:16" x14ac:dyDescent="0.2">
      <c r="A219" s="1">
        <v>216</v>
      </c>
      <c r="B219" s="1" t="s">
        <v>664</v>
      </c>
      <c r="C219" s="1">
        <v>34000736</v>
      </c>
      <c r="D219" s="1" t="s">
        <v>665</v>
      </c>
      <c r="E219" s="314">
        <v>7650000</v>
      </c>
      <c r="F219" s="314">
        <v>0</v>
      </c>
      <c r="G219" s="42">
        <f t="shared" si="21"/>
        <v>2.5749339436880458E-3</v>
      </c>
      <c r="H219" s="43">
        <f t="shared" si="22"/>
        <v>96824.904851177504</v>
      </c>
      <c r="I219" s="43">
        <v>960000</v>
      </c>
      <c r="J219" s="43">
        <v>0</v>
      </c>
      <c r="K219" s="42">
        <f t="shared" si="23"/>
        <v>2.6531755800171938E-3</v>
      </c>
      <c r="L219" s="43">
        <f t="shared" si="24"/>
        <v>151974.70413607007</v>
      </c>
      <c r="M219" s="43">
        <v>0</v>
      </c>
      <c r="N219" s="44">
        <f t="shared" si="25"/>
        <v>248799.60898724757</v>
      </c>
      <c r="O219" s="321">
        <f t="shared" si="26"/>
        <v>200.39101275242865</v>
      </c>
      <c r="P219" s="322">
        <f t="shared" si="27"/>
        <v>249000</v>
      </c>
    </row>
    <row r="220" spans="1:16" x14ac:dyDescent="0.2">
      <c r="A220" s="1">
        <v>217</v>
      </c>
      <c r="B220" s="1" t="s">
        <v>666</v>
      </c>
      <c r="C220" s="1">
        <v>34000300</v>
      </c>
      <c r="D220" s="1" t="s">
        <v>667</v>
      </c>
      <c r="E220" s="314">
        <v>7650000</v>
      </c>
      <c r="F220" s="314">
        <v>0</v>
      </c>
      <c r="G220" s="42">
        <f t="shared" si="21"/>
        <v>2.5749339436880458E-3</v>
      </c>
      <c r="H220" s="43">
        <f t="shared" si="22"/>
        <v>96824.904851177504</v>
      </c>
      <c r="I220" s="43">
        <v>1530000</v>
      </c>
      <c r="J220" s="43">
        <v>147333.33333333334</v>
      </c>
      <c r="K220" s="42">
        <f t="shared" si="23"/>
        <v>4.6356873328633743E-3</v>
      </c>
      <c r="L220" s="43">
        <f t="shared" si="24"/>
        <v>265533.58028218907</v>
      </c>
      <c r="M220" s="43">
        <v>0</v>
      </c>
      <c r="N220" s="44">
        <f t="shared" si="25"/>
        <v>362358.48513336654</v>
      </c>
      <c r="O220" s="321">
        <f t="shared" si="26"/>
        <v>641.51486663345713</v>
      </c>
      <c r="P220" s="322">
        <f t="shared" si="27"/>
        <v>363000</v>
      </c>
    </row>
    <row r="221" spans="1:16" x14ac:dyDescent="0.2">
      <c r="A221" s="1">
        <v>218</v>
      </c>
      <c r="B221" s="1" t="s">
        <v>668</v>
      </c>
      <c r="C221" s="1">
        <v>34000773</v>
      </c>
      <c r="D221" s="1" t="s">
        <v>669</v>
      </c>
      <c r="E221" s="314">
        <v>7650000</v>
      </c>
      <c r="F221" s="314">
        <v>0</v>
      </c>
      <c r="G221" s="42">
        <f t="shared" si="21"/>
        <v>2.5749339436880458E-3</v>
      </c>
      <c r="H221" s="43">
        <f t="shared" si="22"/>
        <v>96824.904851177504</v>
      </c>
      <c r="I221" s="43">
        <v>1050000</v>
      </c>
      <c r="J221" s="43">
        <v>0</v>
      </c>
      <c r="K221" s="42">
        <f t="shared" si="23"/>
        <v>2.9019107906438058E-3</v>
      </c>
      <c r="L221" s="43">
        <f t="shared" si="24"/>
        <v>166222.33264882665</v>
      </c>
      <c r="M221" s="43">
        <v>0</v>
      </c>
      <c r="N221" s="44">
        <f t="shared" si="25"/>
        <v>263047.23750000412</v>
      </c>
      <c r="O221" s="321">
        <f t="shared" si="26"/>
        <v>952.7624999958789</v>
      </c>
      <c r="P221" s="322">
        <f t="shared" si="27"/>
        <v>264000</v>
      </c>
    </row>
    <row r="222" spans="1:16" x14ac:dyDescent="0.2">
      <c r="A222" s="1">
        <v>219</v>
      </c>
      <c r="B222" s="1" t="s">
        <v>670</v>
      </c>
      <c r="C222" s="1">
        <v>34000307</v>
      </c>
      <c r="D222" s="1" t="s">
        <v>671</v>
      </c>
      <c r="E222" s="314">
        <v>7650000</v>
      </c>
      <c r="F222" s="314">
        <v>0</v>
      </c>
      <c r="G222" s="42">
        <f t="shared" si="21"/>
        <v>2.5749339436880458E-3</v>
      </c>
      <c r="H222" s="43">
        <f t="shared" si="22"/>
        <v>96824.904851177504</v>
      </c>
      <c r="I222" s="43">
        <v>834166.66666666663</v>
      </c>
      <c r="J222" s="43">
        <v>0</v>
      </c>
      <c r="K222" s="42">
        <f t="shared" si="23"/>
        <v>2.3054069059003568E-3</v>
      </c>
      <c r="L222" s="43">
        <f t="shared" si="24"/>
        <v>132054.40871545672</v>
      </c>
      <c r="M222" s="43">
        <v>0</v>
      </c>
      <c r="N222" s="44">
        <f t="shared" si="25"/>
        <v>228879.31356663423</v>
      </c>
      <c r="O222" s="321">
        <f t="shared" si="26"/>
        <v>120.68643336577225</v>
      </c>
      <c r="P222" s="322">
        <f t="shared" si="27"/>
        <v>229000</v>
      </c>
    </row>
    <row r="223" spans="1:16" x14ac:dyDescent="0.2">
      <c r="A223" s="1">
        <v>220</v>
      </c>
      <c r="B223" s="1" t="s">
        <v>672</v>
      </c>
      <c r="C223" s="1">
        <v>34000201</v>
      </c>
      <c r="D223" s="1" t="s">
        <v>673</v>
      </c>
      <c r="E223" s="314">
        <v>7650000</v>
      </c>
      <c r="F223" s="314">
        <v>0</v>
      </c>
      <c r="G223" s="42">
        <f t="shared" si="21"/>
        <v>2.5749339436880458E-3</v>
      </c>
      <c r="H223" s="43">
        <f t="shared" si="22"/>
        <v>96824.904851177504</v>
      </c>
      <c r="I223" s="43">
        <v>0</v>
      </c>
      <c r="J223" s="43">
        <v>0</v>
      </c>
      <c r="K223" s="42">
        <f t="shared" si="23"/>
        <v>0</v>
      </c>
      <c r="L223" s="43">
        <f t="shared" si="24"/>
        <v>0</v>
      </c>
      <c r="M223" s="43">
        <v>0</v>
      </c>
      <c r="N223" s="44">
        <f t="shared" si="25"/>
        <v>96824.904851177504</v>
      </c>
      <c r="O223" s="321">
        <f t="shared" si="26"/>
        <v>175.09514882249641</v>
      </c>
      <c r="P223" s="322">
        <f t="shared" si="27"/>
        <v>97000</v>
      </c>
    </row>
    <row r="224" spans="1:16" x14ac:dyDescent="0.2">
      <c r="A224" s="1">
        <v>221</v>
      </c>
      <c r="B224" s="1" t="s">
        <v>674</v>
      </c>
      <c r="C224" s="1">
        <v>34000766</v>
      </c>
      <c r="D224" s="1" t="s">
        <v>675</v>
      </c>
      <c r="E224" s="314">
        <v>7650000</v>
      </c>
      <c r="F224" s="314">
        <v>0</v>
      </c>
      <c r="G224" s="42">
        <f t="shared" si="21"/>
        <v>2.5749339436880458E-3</v>
      </c>
      <c r="H224" s="43">
        <f t="shared" si="22"/>
        <v>96824.904851177504</v>
      </c>
      <c r="I224" s="43">
        <v>1050000</v>
      </c>
      <c r="J224" s="43">
        <v>833333.33333333326</v>
      </c>
      <c r="K224" s="42">
        <f t="shared" si="23"/>
        <v>5.2050145927420638E-3</v>
      </c>
      <c r="L224" s="43">
        <f t="shared" si="24"/>
        <v>298144.81887805415</v>
      </c>
      <c r="M224" s="43">
        <v>8000</v>
      </c>
      <c r="N224" s="44">
        <f t="shared" si="25"/>
        <v>402969.72372923163</v>
      </c>
      <c r="O224" s="321">
        <f t="shared" si="26"/>
        <v>30.276270768372342</v>
      </c>
      <c r="P224" s="322">
        <f t="shared" si="27"/>
        <v>403000</v>
      </c>
    </row>
    <row r="225" spans="1:16" x14ac:dyDescent="0.2">
      <c r="A225" s="1">
        <v>222</v>
      </c>
      <c r="B225" s="1" t="s">
        <v>676</v>
      </c>
      <c r="C225" s="1">
        <v>34000255</v>
      </c>
      <c r="D225" s="1" t="s">
        <v>677</v>
      </c>
      <c r="E225" s="314">
        <v>7650000</v>
      </c>
      <c r="F225" s="314">
        <v>0</v>
      </c>
      <c r="G225" s="42">
        <f t="shared" si="21"/>
        <v>2.5749339436880458E-3</v>
      </c>
      <c r="H225" s="43">
        <f t="shared" si="22"/>
        <v>96824.904851177504</v>
      </c>
      <c r="I225" s="43">
        <v>1050000</v>
      </c>
      <c r="J225" s="43">
        <v>0</v>
      </c>
      <c r="K225" s="42">
        <f t="shared" si="23"/>
        <v>2.9019107906438058E-3</v>
      </c>
      <c r="L225" s="43">
        <f t="shared" si="24"/>
        <v>166222.33264882665</v>
      </c>
      <c r="M225" s="43">
        <v>8000</v>
      </c>
      <c r="N225" s="44">
        <f t="shared" si="25"/>
        <v>271047.23750000412</v>
      </c>
      <c r="O225" s="321">
        <f t="shared" si="26"/>
        <v>952.7624999958789</v>
      </c>
      <c r="P225" s="322">
        <f t="shared" si="27"/>
        <v>272000</v>
      </c>
    </row>
    <row r="226" spans="1:16" x14ac:dyDescent="0.2">
      <c r="A226" s="1">
        <v>223</v>
      </c>
      <c r="B226" s="1" t="s">
        <v>678</v>
      </c>
      <c r="C226" s="1">
        <v>34000536</v>
      </c>
      <c r="D226" s="1" t="s">
        <v>679</v>
      </c>
      <c r="E226" s="314">
        <v>7450000</v>
      </c>
      <c r="F226" s="314">
        <v>0</v>
      </c>
      <c r="G226" s="42">
        <f t="shared" si="21"/>
        <v>2.5076154092125414E-3</v>
      </c>
      <c r="H226" s="43">
        <f t="shared" si="22"/>
        <v>94293.534789708821</v>
      </c>
      <c r="I226" s="43">
        <v>109166.66666666667</v>
      </c>
      <c r="J226" s="43">
        <v>0</v>
      </c>
      <c r="K226" s="42">
        <f t="shared" si="23"/>
        <v>3.0170659807487185E-4</v>
      </c>
      <c r="L226" s="43">
        <f t="shared" si="24"/>
        <v>17281.845696028802</v>
      </c>
      <c r="M226" s="43">
        <v>0</v>
      </c>
      <c r="N226" s="44">
        <f t="shared" si="25"/>
        <v>111575.38048573762</v>
      </c>
      <c r="O226" s="321">
        <f t="shared" si="26"/>
        <v>424.61951426237647</v>
      </c>
      <c r="P226" s="322">
        <f t="shared" si="27"/>
        <v>112000</v>
      </c>
    </row>
    <row r="227" spans="1:16" x14ac:dyDescent="0.2">
      <c r="A227" s="1">
        <v>224</v>
      </c>
      <c r="B227" s="1" t="s">
        <v>680</v>
      </c>
      <c r="C227" s="1">
        <v>34000573</v>
      </c>
      <c r="D227" s="1" t="s">
        <v>681</v>
      </c>
      <c r="E227" s="314">
        <v>7350000</v>
      </c>
      <c r="F227" s="314">
        <v>0</v>
      </c>
      <c r="G227" s="42">
        <f t="shared" si="21"/>
        <v>2.4739561419747894E-3</v>
      </c>
      <c r="H227" s="43">
        <f t="shared" si="22"/>
        <v>93027.84975897448</v>
      </c>
      <c r="I227" s="43">
        <v>1083333.3333333333</v>
      </c>
      <c r="J227" s="43">
        <v>0</v>
      </c>
      <c r="K227" s="42">
        <f t="shared" si="23"/>
        <v>2.9940349427277357E-3</v>
      </c>
      <c r="L227" s="43">
        <f t="shared" si="24"/>
        <v>171499.23209799573</v>
      </c>
      <c r="M227" s="43">
        <v>0</v>
      </c>
      <c r="N227" s="44">
        <f t="shared" si="25"/>
        <v>264527.08185697021</v>
      </c>
      <c r="O227" s="321">
        <f t="shared" si="26"/>
        <v>472.91814302979037</v>
      </c>
      <c r="P227" s="322">
        <f t="shared" si="27"/>
        <v>265000</v>
      </c>
    </row>
    <row r="228" spans="1:16" x14ac:dyDescent="0.2">
      <c r="A228" s="1">
        <v>225</v>
      </c>
      <c r="B228" s="1" t="s">
        <v>682</v>
      </c>
      <c r="C228" s="1">
        <v>34000761</v>
      </c>
      <c r="D228" s="1" t="s">
        <v>683</v>
      </c>
      <c r="E228" s="314">
        <v>7350000</v>
      </c>
      <c r="F228" s="314">
        <v>0</v>
      </c>
      <c r="G228" s="42">
        <f t="shared" si="21"/>
        <v>2.4739561419747894E-3</v>
      </c>
      <c r="H228" s="43">
        <f t="shared" si="22"/>
        <v>93027.84975897448</v>
      </c>
      <c r="I228" s="43">
        <v>1050000</v>
      </c>
      <c r="J228" s="43">
        <v>953333.33333333326</v>
      </c>
      <c r="K228" s="42">
        <f t="shared" si="23"/>
        <v>5.5366615402442131E-3</v>
      </c>
      <c r="L228" s="43">
        <f t="shared" si="24"/>
        <v>317141.65689506289</v>
      </c>
      <c r="M228" s="43">
        <v>0</v>
      </c>
      <c r="N228" s="44">
        <f t="shared" si="25"/>
        <v>410169.5066540374</v>
      </c>
      <c r="O228" s="321">
        <f t="shared" si="26"/>
        <v>830.49334596260451</v>
      </c>
      <c r="P228" s="322">
        <f t="shared" si="27"/>
        <v>411000</v>
      </c>
    </row>
    <row r="229" spans="1:16" x14ac:dyDescent="0.2">
      <c r="A229" s="1">
        <v>226</v>
      </c>
      <c r="B229" s="1" t="s">
        <v>684</v>
      </c>
      <c r="C229" s="1">
        <v>34000263</v>
      </c>
      <c r="D229" s="1" t="s">
        <v>200</v>
      </c>
      <c r="E229" s="314">
        <v>7350000</v>
      </c>
      <c r="F229" s="314">
        <v>0</v>
      </c>
      <c r="G229" s="42">
        <f t="shared" si="21"/>
        <v>2.4739561419747894E-3</v>
      </c>
      <c r="H229" s="43">
        <f t="shared" si="22"/>
        <v>93027.84975897448</v>
      </c>
      <c r="I229" s="43">
        <v>0</v>
      </c>
      <c r="J229" s="43">
        <v>416666.66666666669</v>
      </c>
      <c r="K229" s="42">
        <f t="shared" si="23"/>
        <v>1.1515519010491292E-3</v>
      </c>
      <c r="L229" s="43">
        <f t="shared" si="24"/>
        <v>65961.243114613753</v>
      </c>
      <c r="M229" s="43">
        <v>8000</v>
      </c>
      <c r="N229" s="44">
        <f t="shared" si="25"/>
        <v>166989.09287358823</v>
      </c>
      <c r="O229" s="321">
        <f t="shared" si="26"/>
        <v>10.907126411766512</v>
      </c>
      <c r="P229" s="322">
        <f t="shared" si="27"/>
        <v>167000</v>
      </c>
    </row>
    <row r="230" spans="1:16" x14ac:dyDescent="0.2">
      <c r="A230" s="1">
        <v>227</v>
      </c>
      <c r="B230" s="1" t="s">
        <v>685</v>
      </c>
      <c r="C230" s="1">
        <v>34000116</v>
      </c>
      <c r="D230" s="1" t="s">
        <v>321</v>
      </c>
      <c r="E230" s="314">
        <v>7350000</v>
      </c>
      <c r="F230" s="314">
        <v>0</v>
      </c>
      <c r="G230" s="42">
        <f t="shared" si="21"/>
        <v>2.4739561419747894E-3</v>
      </c>
      <c r="H230" s="43">
        <f t="shared" si="22"/>
        <v>93027.84975897448</v>
      </c>
      <c r="I230" s="43">
        <v>917333.33333333326</v>
      </c>
      <c r="J230" s="43">
        <v>0</v>
      </c>
      <c r="K230" s="42">
        <f t="shared" si="23"/>
        <v>2.5352566653497628E-3</v>
      </c>
      <c r="L230" s="43">
        <f t="shared" si="24"/>
        <v>145220.27284113361</v>
      </c>
      <c r="M230" s="43">
        <v>0</v>
      </c>
      <c r="N230" s="44">
        <f t="shared" si="25"/>
        <v>238248.12260010809</v>
      </c>
      <c r="O230" s="321">
        <f t="shared" si="26"/>
        <v>751.87739989190595</v>
      </c>
      <c r="P230" s="322">
        <f t="shared" si="27"/>
        <v>239000</v>
      </c>
    </row>
    <row r="231" spans="1:16" x14ac:dyDescent="0.2">
      <c r="A231" s="1">
        <v>228</v>
      </c>
      <c r="B231" s="1" t="s">
        <v>686</v>
      </c>
      <c r="C231" s="1">
        <v>34000101</v>
      </c>
      <c r="D231" s="1" t="s">
        <v>687</v>
      </c>
      <c r="E231" s="314">
        <v>7350000</v>
      </c>
      <c r="F231" s="314">
        <v>0</v>
      </c>
      <c r="G231" s="42">
        <f t="shared" si="21"/>
        <v>2.4739561419747894E-3</v>
      </c>
      <c r="H231" s="43">
        <f t="shared" si="22"/>
        <v>93027.84975897448</v>
      </c>
      <c r="I231" s="43">
        <v>2130000</v>
      </c>
      <c r="J231" s="43">
        <v>0</v>
      </c>
      <c r="K231" s="42">
        <f t="shared" si="23"/>
        <v>5.8867333181631485E-3</v>
      </c>
      <c r="L231" s="43">
        <f t="shared" si="24"/>
        <v>337193.87480190548</v>
      </c>
      <c r="M231" s="43">
        <v>0</v>
      </c>
      <c r="N231" s="44">
        <f t="shared" si="25"/>
        <v>430221.72456087999</v>
      </c>
      <c r="O231" s="321">
        <f t="shared" si="26"/>
        <v>778.2754391200142</v>
      </c>
      <c r="P231" s="322">
        <f t="shared" si="27"/>
        <v>431000</v>
      </c>
    </row>
    <row r="232" spans="1:16" x14ac:dyDescent="0.2">
      <c r="A232" s="1">
        <v>229</v>
      </c>
      <c r="B232" s="1" t="s">
        <v>688</v>
      </c>
      <c r="C232" s="1">
        <v>34000592</v>
      </c>
      <c r="D232" s="1" t="s">
        <v>689</v>
      </c>
      <c r="E232" s="314">
        <v>7150000</v>
      </c>
      <c r="F232" s="314">
        <v>0</v>
      </c>
      <c r="G232" s="42">
        <f t="shared" si="21"/>
        <v>2.4066376074992849E-3</v>
      </c>
      <c r="H232" s="43">
        <f t="shared" si="22"/>
        <v>90496.479697505783</v>
      </c>
      <c r="I232" s="43">
        <v>0</v>
      </c>
      <c r="J232" s="43">
        <v>0</v>
      </c>
      <c r="K232" s="42">
        <f t="shared" si="23"/>
        <v>0</v>
      </c>
      <c r="L232" s="43">
        <f t="shared" si="24"/>
        <v>0</v>
      </c>
      <c r="M232" s="43">
        <v>0</v>
      </c>
      <c r="N232" s="44">
        <f t="shared" si="25"/>
        <v>90496.479697505783</v>
      </c>
      <c r="O232" s="321">
        <f t="shared" si="26"/>
        <v>503.52030249421659</v>
      </c>
      <c r="P232" s="322">
        <f t="shared" si="27"/>
        <v>91000</v>
      </c>
    </row>
    <row r="233" spans="1:16" x14ac:dyDescent="0.2">
      <c r="A233" s="1">
        <v>230</v>
      </c>
      <c r="B233" s="1" t="s">
        <v>690</v>
      </c>
      <c r="C233" s="1">
        <v>34000578</v>
      </c>
      <c r="D233" s="1" t="s">
        <v>691</v>
      </c>
      <c r="E233" s="314">
        <v>7150000</v>
      </c>
      <c r="F233" s="314">
        <v>0</v>
      </c>
      <c r="G233" s="42">
        <f t="shared" si="21"/>
        <v>2.4066376074992849E-3</v>
      </c>
      <c r="H233" s="43">
        <f t="shared" si="22"/>
        <v>90496.479697505783</v>
      </c>
      <c r="I233" s="43">
        <v>0</v>
      </c>
      <c r="J233" s="43">
        <v>135208.33333333334</v>
      </c>
      <c r="K233" s="42">
        <f t="shared" si="23"/>
        <v>3.7367859189044248E-4</v>
      </c>
      <c r="L233" s="43">
        <f t="shared" si="24"/>
        <v>21404.423390692165</v>
      </c>
      <c r="M233" s="43">
        <v>0</v>
      </c>
      <c r="N233" s="44">
        <f t="shared" si="25"/>
        <v>111900.90308819796</v>
      </c>
      <c r="O233" s="321">
        <f t="shared" si="26"/>
        <v>99.096911802043905</v>
      </c>
      <c r="P233" s="322">
        <f t="shared" si="27"/>
        <v>112000</v>
      </c>
    </row>
    <row r="234" spans="1:16" x14ac:dyDescent="0.2">
      <c r="A234" s="1">
        <v>231</v>
      </c>
      <c r="B234" s="1" t="s">
        <v>726</v>
      </c>
      <c r="C234" s="1">
        <v>34000533</v>
      </c>
      <c r="D234" s="1" t="s">
        <v>727</v>
      </c>
      <c r="E234" s="314">
        <v>6850000</v>
      </c>
      <c r="F234" s="314">
        <v>0</v>
      </c>
      <c r="G234" s="42">
        <f t="shared" si="21"/>
        <v>2.305659805786028E-3</v>
      </c>
      <c r="H234" s="43">
        <f t="shared" si="22"/>
        <v>86699.424605302731</v>
      </c>
      <c r="I234" s="43">
        <v>0</v>
      </c>
      <c r="J234" s="43">
        <v>0</v>
      </c>
      <c r="K234" s="42">
        <f t="shared" si="23"/>
        <v>0</v>
      </c>
      <c r="L234" s="43">
        <f t="shared" si="24"/>
        <v>0</v>
      </c>
      <c r="M234" s="43">
        <v>0</v>
      </c>
      <c r="N234" s="44">
        <f t="shared" si="25"/>
        <v>86699.424605302731</v>
      </c>
      <c r="O234" s="321">
        <f t="shared" si="26"/>
        <v>300.57539469726908</v>
      </c>
      <c r="P234" s="322">
        <f t="shared" si="27"/>
        <v>87000</v>
      </c>
    </row>
    <row r="235" spans="1:16" x14ac:dyDescent="0.2">
      <c r="A235" s="1">
        <v>232</v>
      </c>
      <c r="B235" s="1" t="s">
        <v>728</v>
      </c>
      <c r="C235" s="1">
        <v>34000862</v>
      </c>
      <c r="D235" s="1" t="s">
        <v>729</v>
      </c>
      <c r="E235" s="314">
        <v>6850000</v>
      </c>
      <c r="F235" s="314">
        <v>0</v>
      </c>
      <c r="G235" s="42">
        <f t="shared" si="21"/>
        <v>2.305659805786028E-3</v>
      </c>
      <c r="H235" s="43">
        <f t="shared" si="22"/>
        <v>86699.424605302731</v>
      </c>
      <c r="I235" s="43">
        <v>962500</v>
      </c>
      <c r="J235" s="43">
        <v>0</v>
      </c>
      <c r="K235" s="42">
        <f t="shared" si="23"/>
        <v>2.6600848914234885E-3</v>
      </c>
      <c r="L235" s="43">
        <f t="shared" si="24"/>
        <v>152370.47159475775</v>
      </c>
      <c r="M235" s="43">
        <v>8000</v>
      </c>
      <c r="N235" s="44">
        <f t="shared" si="25"/>
        <v>247069.8962000605</v>
      </c>
      <c r="O235" s="321">
        <f t="shared" si="26"/>
        <v>930.10379993950482</v>
      </c>
      <c r="P235" s="322">
        <f t="shared" si="27"/>
        <v>248000</v>
      </c>
    </row>
    <row r="236" spans="1:16" x14ac:dyDescent="0.2">
      <c r="A236" s="1">
        <v>233</v>
      </c>
      <c r="B236" s="1" t="s">
        <v>730</v>
      </c>
      <c r="C236" s="1">
        <v>34000071</v>
      </c>
      <c r="D236" s="1" t="s">
        <v>731</v>
      </c>
      <c r="E236" s="314">
        <v>6750000</v>
      </c>
      <c r="F236" s="314">
        <v>0</v>
      </c>
      <c r="G236" s="42">
        <f t="shared" si="21"/>
        <v>2.272000538548276E-3</v>
      </c>
      <c r="H236" s="43">
        <f t="shared" si="22"/>
        <v>85433.739574568404</v>
      </c>
      <c r="I236" s="43">
        <v>0</v>
      </c>
      <c r="J236" s="43">
        <v>0</v>
      </c>
      <c r="K236" s="42">
        <f t="shared" si="23"/>
        <v>0</v>
      </c>
      <c r="L236" s="43">
        <f t="shared" si="24"/>
        <v>0</v>
      </c>
      <c r="M236" s="43">
        <v>0</v>
      </c>
      <c r="N236" s="44">
        <f t="shared" si="25"/>
        <v>85433.739574568404</v>
      </c>
      <c r="O236" s="321">
        <f t="shared" si="26"/>
        <v>566.26042543159565</v>
      </c>
      <c r="P236" s="322">
        <f t="shared" si="27"/>
        <v>86000</v>
      </c>
    </row>
    <row r="237" spans="1:16" x14ac:dyDescent="0.2">
      <c r="A237" s="1">
        <v>234</v>
      </c>
      <c r="B237" s="1" t="s">
        <v>732</v>
      </c>
      <c r="C237" s="1">
        <v>34000515</v>
      </c>
      <c r="D237" s="1" t="s">
        <v>733</v>
      </c>
      <c r="E237" s="314">
        <v>6750000</v>
      </c>
      <c r="F237" s="314">
        <v>0</v>
      </c>
      <c r="G237" s="42">
        <f t="shared" si="21"/>
        <v>2.272000538548276E-3</v>
      </c>
      <c r="H237" s="43">
        <f t="shared" si="22"/>
        <v>85433.739574568404</v>
      </c>
      <c r="I237" s="43">
        <v>144000</v>
      </c>
      <c r="J237" s="43">
        <v>0</v>
      </c>
      <c r="K237" s="42">
        <f t="shared" si="23"/>
        <v>3.9797633700257908E-4</v>
      </c>
      <c r="L237" s="43">
        <f t="shared" si="24"/>
        <v>22796.205620410514</v>
      </c>
      <c r="M237" s="43">
        <v>0</v>
      </c>
      <c r="N237" s="44">
        <f t="shared" si="25"/>
        <v>108229.94519497892</v>
      </c>
      <c r="O237" s="321">
        <f t="shared" si="26"/>
        <v>770.05480502107821</v>
      </c>
      <c r="P237" s="322">
        <f t="shared" si="27"/>
        <v>109000</v>
      </c>
    </row>
    <row r="238" spans="1:16" x14ac:dyDescent="0.2">
      <c r="A238" s="1">
        <v>235</v>
      </c>
      <c r="B238" s="1" t="s">
        <v>734</v>
      </c>
      <c r="C238" s="1">
        <v>34000372</v>
      </c>
      <c r="D238" s="1" t="s">
        <v>735</v>
      </c>
      <c r="E238" s="314">
        <v>6750000</v>
      </c>
      <c r="F238" s="314">
        <v>0</v>
      </c>
      <c r="G238" s="42">
        <f t="shared" si="21"/>
        <v>2.272000538548276E-3</v>
      </c>
      <c r="H238" s="43">
        <f t="shared" si="22"/>
        <v>85433.739574568404</v>
      </c>
      <c r="I238" s="43">
        <v>0</v>
      </c>
      <c r="J238" s="43">
        <v>0</v>
      </c>
      <c r="K238" s="42">
        <f t="shared" si="23"/>
        <v>0</v>
      </c>
      <c r="L238" s="43">
        <f t="shared" si="24"/>
        <v>0</v>
      </c>
      <c r="M238" s="43">
        <v>0</v>
      </c>
      <c r="N238" s="44">
        <f t="shared" si="25"/>
        <v>85433.739574568404</v>
      </c>
      <c r="O238" s="321">
        <f t="shared" si="26"/>
        <v>566.26042543159565</v>
      </c>
      <c r="P238" s="322">
        <f t="shared" si="27"/>
        <v>86000</v>
      </c>
    </row>
    <row r="239" spans="1:16" x14ac:dyDescent="0.2">
      <c r="A239" s="1">
        <v>236</v>
      </c>
      <c r="B239" s="1" t="s">
        <v>736</v>
      </c>
      <c r="C239" s="1">
        <v>34000645</v>
      </c>
      <c r="D239" s="1" t="s">
        <v>737</v>
      </c>
      <c r="E239" s="314">
        <v>6750000</v>
      </c>
      <c r="F239" s="314">
        <v>0</v>
      </c>
      <c r="G239" s="42">
        <f t="shared" si="21"/>
        <v>2.272000538548276E-3</v>
      </c>
      <c r="H239" s="43">
        <f t="shared" si="22"/>
        <v>85433.739574568404</v>
      </c>
      <c r="I239" s="43">
        <v>687500</v>
      </c>
      <c r="J239" s="43">
        <v>394490.00000000006</v>
      </c>
      <c r="K239" s="42">
        <f t="shared" si="23"/>
        <v>2.9903223393987536E-3</v>
      </c>
      <c r="L239" s="43">
        <f t="shared" si="24"/>
        <v>171286.57305019425</v>
      </c>
      <c r="M239" s="43">
        <v>8000</v>
      </c>
      <c r="N239" s="44">
        <f t="shared" si="25"/>
        <v>264720.31262476265</v>
      </c>
      <c r="O239" s="321">
        <f t="shared" si="26"/>
        <v>279.68737523735035</v>
      </c>
      <c r="P239" s="322">
        <f t="shared" si="27"/>
        <v>265000</v>
      </c>
    </row>
    <row r="240" spans="1:16" x14ac:dyDescent="0.2">
      <c r="A240" s="1">
        <v>237</v>
      </c>
      <c r="B240" s="1" t="s">
        <v>738</v>
      </c>
      <c r="C240" s="1">
        <v>34000413</v>
      </c>
      <c r="D240" s="1" t="s">
        <v>739</v>
      </c>
      <c r="E240" s="314">
        <v>6750000</v>
      </c>
      <c r="F240" s="314">
        <v>0</v>
      </c>
      <c r="G240" s="42">
        <f t="shared" si="21"/>
        <v>2.272000538548276E-3</v>
      </c>
      <c r="H240" s="43">
        <f t="shared" si="22"/>
        <v>85433.739574568404</v>
      </c>
      <c r="I240" s="43">
        <v>1555000</v>
      </c>
      <c r="J240" s="43">
        <v>0</v>
      </c>
      <c r="K240" s="42">
        <f t="shared" si="23"/>
        <v>4.2975916947153503E-3</v>
      </c>
      <c r="L240" s="43">
        <f t="shared" si="24"/>
        <v>246167.35930373851</v>
      </c>
      <c r="M240" s="43">
        <v>0</v>
      </c>
      <c r="N240" s="44">
        <f t="shared" si="25"/>
        <v>331601.09887830692</v>
      </c>
      <c r="O240" s="321">
        <f t="shared" si="26"/>
        <v>398.90112169308122</v>
      </c>
      <c r="P240" s="322">
        <f t="shared" si="27"/>
        <v>332000</v>
      </c>
    </row>
    <row r="241" spans="1:16" x14ac:dyDescent="0.2">
      <c r="A241" s="1">
        <v>238</v>
      </c>
      <c r="B241" s="1" t="s">
        <v>740</v>
      </c>
      <c r="C241" s="1">
        <v>34000401</v>
      </c>
      <c r="D241" s="1" t="s">
        <v>741</v>
      </c>
      <c r="E241" s="314">
        <v>6750000</v>
      </c>
      <c r="F241" s="314">
        <v>0</v>
      </c>
      <c r="G241" s="42">
        <f t="shared" si="21"/>
        <v>2.272000538548276E-3</v>
      </c>
      <c r="H241" s="43">
        <f t="shared" si="22"/>
        <v>85433.739574568404</v>
      </c>
      <c r="I241" s="43">
        <v>0</v>
      </c>
      <c r="J241" s="43">
        <v>0</v>
      </c>
      <c r="K241" s="42">
        <f t="shared" si="23"/>
        <v>0</v>
      </c>
      <c r="L241" s="43">
        <f t="shared" si="24"/>
        <v>0</v>
      </c>
      <c r="M241" s="43">
        <v>0</v>
      </c>
      <c r="N241" s="44">
        <f t="shared" si="25"/>
        <v>85433.739574568404</v>
      </c>
      <c r="O241" s="321">
        <f t="shared" si="26"/>
        <v>566.26042543159565</v>
      </c>
      <c r="P241" s="322">
        <f t="shared" si="27"/>
        <v>86000</v>
      </c>
    </row>
    <row r="242" spans="1:16" x14ac:dyDescent="0.2">
      <c r="A242" s="1">
        <v>239</v>
      </c>
      <c r="B242" s="1" t="s">
        <v>742</v>
      </c>
      <c r="C242" s="1">
        <v>34000500</v>
      </c>
      <c r="D242" s="1" t="s">
        <v>743</v>
      </c>
      <c r="E242" s="314">
        <v>6750000</v>
      </c>
      <c r="F242" s="314">
        <v>0</v>
      </c>
      <c r="G242" s="42">
        <f t="shared" si="21"/>
        <v>2.272000538548276E-3</v>
      </c>
      <c r="H242" s="43">
        <f t="shared" si="22"/>
        <v>85433.739574568404</v>
      </c>
      <c r="I242" s="43">
        <v>0</v>
      </c>
      <c r="J242" s="43">
        <v>0</v>
      </c>
      <c r="K242" s="42">
        <f t="shared" si="23"/>
        <v>0</v>
      </c>
      <c r="L242" s="43">
        <f t="shared" si="24"/>
        <v>0</v>
      </c>
      <c r="M242" s="43">
        <v>0</v>
      </c>
      <c r="N242" s="44">
        <f t="shared" si="25"/>
        <v>85433.739574568404</v>
      </c>
      <c r="O242" s="321">
        <f t="shared" si="26"/>
        <v>566.26042543159565</v>
      </c>
      <c r="P242" s="322">
        <f t="shared" si="27"/>
        <v>86000</v>
      </c>
    </row>
    <row r="243" spans="1:16" x14ac:dyDescent="0.2">
      <c r="A243" s="1">
        <v>240</v>
      </c>
      <c r="B243" s="1" t="s">
        <v>744</v>
      </c>
      <c r="C243" s="1">
        <v>34000418</v>
      </c>
      <c r="D243" s="1" t="s">
        <v>745</v>
      </c>
      <c r="E243" s="314">
        <v>6750000</v>
      </c>
      <c r="F243" s="314">
        <v>0</v>
      </c>
      <c r="G243" s="42">
        <f t="shared" si="21"/>
        <v>2.272000538548276E-3</v>
      </c>
      <c r="H243" s="43">
        <f t="shared" si="22"/>
        <v>85433.739574568404</v>
      </c>
      <c r="I243" s="43">
        <v>486833.33333333331</v>
      </c>
      <c r="J243" s="43">
        <v>0</v>
      </c>
      <c r="K243" s="42">
        <f t="shared" si="23"/>
        <v>1.3454732411858025E-3</v>
      </c>
      <c r="L243" s="43">
        <f t="shared" si="24"/>
        <v>77069.116455114694</v>
      </c>
      <c r="M243" s="43">
        <v>0</v>
      </c>
      <c r="N243" s="44">
        <f t="shared" si="25"/>
        <v>162502.85602968308</v>
      </c>
      <c r="O243" s="321">
        <f t="shared" si="26"/>
        <v>497.14397031691624</v>
      </c>
      <c r="P243" s="322">
        <f t="shared" si="27"/>
        <v>163000</v>
      </c>
    </row>
    <row r="244" spans="1:16" x14ac:dyDescent="0.2">
      <c r="A244" s="1">
        <v>241</v>
      </c>
      <c r="B244" s="1" t="s">
        <v>746</v>
      </c>
      <c r="C244" s="1">
        <v>34000479</v>
      </c>
      <c r="D244" s="1" t="s">
        <v>747</v>
      </c>
      <c r="E244" s="314">
        <v>6750000</v>
      </c>
      <c r="F244" s="314">
        <v>0</v>
      </c>
      <c r="G244" s="42">
        <f t="shared" si="21"/>
        <v>2.272000538548276E-3</v>
      </c>
      <c r="H244" s="43">
        <f t="shared" si="22"/>
        <v>85433.739574568404</v>
      </c>
      <c r="I244" s="43">
        <v>436666.66666666669</v>
      </c>
      <c r="J244" s="43">
        <v>0</v>
      </c>
      <c r="K244" s="42">
        <f t="shared" si="23"/>
        <v>1.2068263922994874E-3</v>
      </c>
      <c r="L244" s="43">
        <f t="shared" si="24"/>
        <v>69127.382784115209</v>
      </c>
      <c r="M244" s="43">
        <v>0</v>
      </c>
      <c r="N244" s="44">
        <f t="shared" si="25"/>
        <v>154561.12235868361</v>
      </c>
      <c r="O244" s="321">
        <f t="shared" si="26"/>
        <v>438.87764131638687</v>
      </c>
      <c r="P244" s="322">
        <f t="shared" si="27"/>
        <v>155000</v>
      </c>
    </row>
    <row r="245" spans="1:16" x14ac:dyDescent="0.2">
      <c r="A245" s="1">
        <v>242</v>
      </c>
      <c r="B245" s="1" t="s">
        <v>748</v>
      </c>
      <c r="C245" s="1">
        <v>34000238</v>
      </c>
      <c r="D245" s="1" t="s">
        <v>749</v>
      </c>
      <c r="E245" s="314">
        <v>6750000</v>
      </c>
      <c r="F245" s="314">
        <v>0</v>
      </c>
      <c r="G245" s="42">
        <f t="shared" si="21"/>
        <v>2.272000538548276E-3</v>
      </c>
      <c r="H245" s="43">
        <f t="shared" si="22"/>
        <v>85433.739574568404</v>
      </c>
      <c r="I245" s="43">
        <v>1409166.6666666665</v>
      </c>
      <c r="J245" s="43">
        <v>0</v>
      </c>
      <c r="K245" s="42">
        <f t="shared" si="23"/>
        <v>3.8945485293481546E-3</v>
      </c>
      <c r="L245" s="43">
        <f t="shared" si="24"/>
        <v>223080.92421362366</v>
      </c>
      <c r="M245" s="43">
        <v>8000</v>
      </c>
      <c r="N245" s="44">
        <f t="shared" si="25"/>
        <v>316514.66378819209</v>
      </c>
      <c r="O245" s="321">
        <f t="shared" si="26"/>
        <v>485.33621180790942</v>
      </c>
      <c r="P245" s="322">
        <f t="shared" si="27"/>
        <v>317000</v>
      </c>
    </row>
    <row r="246" spans="1:16" x14ac:dyDescent="0.2">
      <c r="A246" s="1">
        <v>243</v>
      </c>
      <c r="B246" s="1" t="s">
        <v>750</v>
      </c>
      <c r="C246" s="1">
        <v>34000143</v>
      </c>
      <c r="D246" s="1" t="s">
        <v>751</v>
      </c>
      <c r="E246" s="314">
        <v>6750000</v>
      </c>
      <c r="F246" s="314">
        <v>0</v>
      </c>
      <c r="G246" s="42">
        <f t="shared" si="21"/>
        <v>2.272000538548276E-3</v>
      </c>
      <c r="H246" s="43">
        <f t="shared" si="22"/>
        <v>85433.739574568404</v>
      </c>
      <c r="I246" s="43">
        <v>1920000</v>
      </c>
      <c r="J246" s="43">
        <v>0</v>
      </c>
      <c r="K246" s="42">
        <f t="shared" si="23"/>
        <v>5.3063511600343876E-3</v>
      </c>
      <c r="L246" s="43">
        <f t="shared" si="24"/>
        <v>303949.40827214014</v>
      </c>
      <c r="M246" s="43">
        <v>0</v>
      </c>
      <c r="N246" s="44">
        <f t="shared" si="25"/>
        <v>389383.14784670854</v>
      </c>
      <c r="O246" s="321">
        <f t="shared" si="26"/>
        <v>616.85215329146013</v>
      </c>
      <c r="P246" s="322">
        <f t="shared" si="27"/>
        <v>390000</v>
      </c>
    </row>
    <row r="247" spans="1:16" x14ac:dyDescent="0.2">
      <c r="A247" s="1">
        <v>244</v>
      </c>
      <c r="B247" s="1" t="s">
        <v>752</v>
      </c>
      <c r="C247" s="1">
        <v>34000787</v>
      </c>
      <c r="D247" s="1" t="s">
        <v>753</v>
      </c>
      <c r="E247" s="314">
        <v>6750000</v>
      </c>
      <c r="F247" s="314">
        <v>0</v>
      </c>
      <c r="G247" s="42">
        <f t="shared" si="21"/>
        <v>2.272000538548276E-3</v>
      </c>
      <c r="H247" s="43">
        <f t="shared" si="22"/>
        <v>85433.739574568404</v>
      </c>
      <c r="I247" s="43">
        <v>1455000</v>
      </c>
      <c r="J247" s="43">
        <v>0</v>
      </c>
      <c r="K247" s="42">
        <f t="shared" si="23"/>
        <v>4.0212192384635592E-3</v>
      </c>
      <c r="L247" s="43">
        <f t="shared" si="24"/>
        <v>230336.66095623121</v>
      </c>
      <c r="M247" s="43">
        <v>0</v>
      </c>
      <c r="N247" s="44">
        <f t="shared" si="25"/>
        <v>315770.40053079964</v>
      </c>
      <c r="O247" s="321">
        <f t="shared" si="26"/>
        <v>229.59946920035873</v>
      </c>
      <c r="P247" s="322">
        <f t="shared" si="27"/>
        <v>316000</v>
      </c>
    </row>
    <row r="248" spans="1:16" x14ac:dyDescent="0.2">
      <c r="A248" s="1">
        <v>245</v>
      </c>
      <c r="B248" s="1" t="s">
        <v>754</v>
      </c>
      <c r="C248" s="1">
        <v>34000658</v>
      </c>
      <c r="D248" s="1" t="s">
        <v>755</v>
      </c>
      <c r="E248" s="314">
        <v>6750000</v>
      </c>
      <c r="F248" s="314">
        <v>0</v>
      </c>
      <c r="G248" s="42">
        <f t="shared" si="21"/>
        <v>2.272000538548276E-3</v>
      </c>
      <c r="H248" s="43">
        <f t="shared" si="22"/>
        <v>85433.739574568404</v>
      </c>
      <c r="I248" s="43">
        <v>1410000</v>
      </c>
      <c r="J248" s="43">
        <v>0</v>
      </c>
      <c r="K248" s="42">
        <f t="shared" si="23"/>
        <v>3.8968516331502534E-3</v>
      </c>
      <c r="L248" s="43">
        <f t="shared" si="24"/>
        <v>223212.84669985293</v>
      </c>
      <c r="M248" s="43">
        <v>0</v>
      </c>
      <c r="N248" s="44">
        <f t="shared" si="25"/>
        <v>308646.58627442131</v>
      </c>
      <c r="O248" s="321">
        <f t="shared" si="26"/>
        <v>353.41372557869181</v>
      </c>
      <c r="P248" s="322">
        <f t="shared" si="27"/>
        <v>309000</v>
      </c>
    </row>
    <row r="249" spans="1:16" x14ac:dyDescent="0.2">
      <c r="A249" s="1">
        <v>246</v>
      </c>
      <c r="B249" s="1" t="s">
        <v>756</v>
      </c>
      <c r="C249" s="1">
        <v>34000755</v>
      </c>
      <c r="D249" s="1" t="s">
        <v>757</v>
      </c>
      <c r="E249" s="314">
        <v>6750000</v>
      </c>
      <c r="F249" s="314">
        <v>0</v>
      </c>
      <c r="G249" s="42">
        <f t="shared" si="21"/>
        <v>2.272000538548276E-3</v>
      </c>
      <c r="H249" s="43">
        <f t="shared" si="22"/>
        <v>85433.739574568404</v>
      </c>
      <c r="I249" s="43">
        <v>0</v>
      </c>
      <c r="J249" s="43">
        <v>0</v>
      </c>
      <c r="K249" s="42">
        <f t="shared" si="23"/>
        <v>0</v>
      </c>
      <c r="L249" s="43">
        <f t="shared" si="24"/>
        <v>0</v>
      </c>
      <c r="M249" s="43">
        <v>0</v>
      </c>
      <c r="N249" s="44">
        <f t="shared" si="25"/>
        <v>85433.739574568404</v>
      </c>
      <c r="O249" s="321">
        <f t="shared" si="26"/>
        <v>566.26042543159565</v>
      </c>
      <c r="P249" s="322">
        <f t="shared" si="27"/>
        <v>86000</v>
      </c>
    </row>
    <row r="250" spans="1:16" x14ac:dyDescent="0.2">
      <c r="A250" s="1">
        <v>247</v>
      </c>
      <c r="B250" s="1" t="s">
        <v>758</v>
      </c>
      <c r="C250" s="1">
        <v>34000030</v>
      </c>
      <c r="D250" s="1" t="s">
        <v>759</v>
      </c>
      <c r="E250" s="314">
        <v>6750000</v>
      </c>
      <c r="F250" s="314">
        <v>0</v>
      </c>
      <c r="G250" s="42">
        <f t="shared" si="21"/>
        <v>2.272000538548276E-3</v>
      </c>
      <c r="H250" s="43">
        <f t="shared" si="22"/>
        <v>85433.739574568404</v>
      </c>
      <c r="I250" s="43">
        <v>0</v>
      </c>
      <c r="J250" s="43">
        <v>0</v>
      </c>
      <c r="K250" s="42">
        <f t="shared" si="23"/>
        <v>0</v>
      </c>
      <c r="L250" s="43">
        <f t="shared" si="24"/>
        <v>0</v>
      </c>
      <c r="M250" s="43">
        <v>0</v>
      </c>
      <c r="N250" s="44">
        <f t="shared" si="25"/>
        <v>85433.739574568404</v>
      </c>
      <c r="O250" s="321">
        <f t="shared" si="26"/>
        <v>566.26042543159565</v>
      </c>
      <c r="P250" s="322">
        <f t="shared" si="27"/>
        <v>86000</v>
      </c>
    </row>
    <row r="251" spans="1:16" x14ac:dyDescent="0.2">
      <c r="A251" s="1">
        <v>248</v>
      </c>
      <c r="B251" s="1" t="s">
        <v>760</v>
      </c>
      <c r="C251" s="1">
        <v>34000440</v>
      </c>
      <c r="D251" s="1" t="s">
        <v>761</v>
      </c>
      <c r="E251" s="314">
        <v>6750000</v>
      </c>
      <c r="F251" s="314">
        <v>0</v>
      </c>
      <c r="G251" s="42">
        <f t="shared" si="21"/>
        <v>2.272000538548276E-3</v>
      </c>
      <c r="H251" s="43">
        <f t="shared" si="22"/>
        <v>85433.739574568404</v>
      </c>
      <c r="I251" s="43">
        <v>0</v>
      </c>
      <c r="J251" s="43">
        <v>0</v>
      </c>
      <c r="K251" s="42">
        <f t="shared" si="23"/>
        <v>0</v>
      </c>
      <c r="L251" s="43">
        <f t="shared" si="24"/>
        <v>0</v>
      </c>
      <c r="M251" s="43">
        <v>8000</v>
      </c>
      <c r="N251" s="44">
        <f t="shared" si="25"/>
        <v>93433.739574568404</v>
      </c>
      <c r="O251" s="321">
        <f t="shared" si="26"/>
        <v>566.26042543159565</v>
      </c>
      <c r="P251" s="322">
        <f t="shared" si="27"/>
        <v>94000</v>
      </c>
    </row>
    <row r="252" spans="1:16" x14ac:dyDescent="0.2">
      <c r="A252" s="1">
        <v>249</v>
      </c>
      <c r="B252" s="1" t="s">
        <v>762</v>
      </c>
      <c r="C252" s="1">
        <v>34000332</v>
      </c>
      <c r="D252" s="1" t="s">
        <v>763</v>
      </c>
      <c r="E252" s="314">
        <v>6750000</v>
      </c>
      <c r="F252" s="314">
        <v>0</v>
      </c>
      <c r="G252" s="42">
        <f t="shared" si="21"/>
        <v>2.272000538548276E-3</v>
      </c>
      <c r="H252" s="43">
        <f t="shared" si="22"/>
        <v>85433.739574568404</v>
      </c>
      <c r="I252" s="43">
        <v>0</v>
      </c>
      <c r="J252" s="43">
        <v>0</v>
      </c>
      <c r="K252" s="42">
        <f t="shared" si="23"/>
        <v>0</v>
      </c>
      <c r="L252" s="43">
        <f t="shared" si="24"/>
        <v>0</v>
      </c>
      <c r="M252" s="43">
        <v>0</v>
      </c>
      <c r="N252" s="44">
        <f t="shared" si="25"/>
        <v>85433.739574568404</v>
      </c>
      <c r="O252" s="321">
        <f t="shared" si="26"/>
        <v>566.26042543159565</v>
      </c>
      <c r="P252" s="322">
        <f t="shared" si="27"/>
        <v>86000</v>
      </c>
    </row>
    <row r="253" spans="1:16" x14ac:dyDescent="0.2">
      <c r="A253" s="1">
        <v>250</v>
      </c>
      <c r="B253" s="1" t="s">
        <v>764</v>
      </c>
      <c r="C253" s="1">
        <v>34000617</v>
      </c>
      <c r="D253" s="1" t="s">
        <v>765</v>
      </c>
      <c r="E253" s="314">
        <v>6750000</v>
      </c>
      <c r="F253" s="314">
        <v>0</v>
      </c>
      <c r="G253" s="42">
        <f t="shared" si="21"/>
        <v>2.272000538548276E-3</v>
      </c>
      <c r="H253" s="43">
        <f t="shared" si="22"/>
        <v>85433.739574568404</v>
      </c>
      <c r="I253" s="43">
        <v>0</v>
      </c>
      <c r="J253" s="43">
        <v>0</v>
      </c>
      <c r="K253" s="42">
        <f t="shared" si="23"/>
        <v>0</v>
      </c>
      <c r="L253" s="43">
        <f t="shared" si="24"/>
        <v>0</v>
      </c>
      <c r="M253" s="43">
        <v>0</v>
      </c>
      <c r="N253" s="44">
        <f t="shared" si="25"/>
        <v>85433.739574568404</v>
      </c>
      <c r="O253" s="321">
        <f t="shared" si="26"/>
        <v>566.26042543159565</v>
      </c>
      <c r="P253" s="322">
        <f t="shared" si="27"/>
        <v>86000</v>
      </c>
    </row>
    <row r="254" spans="1:16" x14ac:dyDescent="0.2">
      <c r="A254" s="1">
        <v>251</v>
      </c>
      <c r="B254" s="1" t="s">
        <v>766</v>
      </c>
      <c r="C254" s="1">
        <v>34000383</v>
      </c>
      <c r="D254" s="1" t="s">
        <v>767</v>
      </c>
      <c r="E254" s="314">
        <v>6550000</v>
      </c>
      <c r="F254" s="314">
        <v>0</v>
      </c>
      <c r="G254" s="42">
        <f t="shared" si="21"/>
        <v>2.2046820040727715E-3</v>
      </c>
      <c r="H254" s="43">
        <f t="shared" si="22"/>
        <v>82902.369513099708</v>
      </c>
      <c r="I254" s="43">
        <v>0</v>
      </c>
      <c r="J254" s="43">
        <v>0</v>
      </c>
      <c r="K254" s="42">
        <f t="shared" si="23"/>
        <v>0</v>
      </c>
      <c r="L254" s="43">
        <f t="shared" si="24"/>
        <v>0</v>
      </c>
      <c r="M254" s="43">
        <v>0</v>
      </c>
      <c r="N254" s="44">
        <f t="shared" si="25"/>
        <v>82902.369513099708</v>
      </c>
      <c r="O254" s="321">
        <f t="shared" si="26"/>
        <v>97.630486900292453</v>
      </c>
      <c r="P254" s="322">
        <f t="shared" si="27"/>
        <v>83000</v>
      </c>
    </row>
    <row r="255" spans="1:16" x14ac:dyDescent="0.2">
      <c r="A255" s="1">
        <v>252</v>
      </c>
      <c r="B255" s="1" t="s">
        <v>768</v>
      </c>
      <c r="C255" s="1">
        <v>34000889</v>
      </c>
      <c r="D255" s="1" t="s">
        <v>769</v>
      </c>
      <c r="E255" s="314">
        <v>6550000</v>
      </c>
      <c r="F255" s="314">
        <v>0</v>
      </c>
      <c r="G255" s="42">
        <f t="shared" si="21"/>
        <v>2.2046820040727715E-3</v>
      </c>
      <c r="H255" s="43">
        <f t="shared" si="22"/>
        <v>82902.369513099708</v>
      </c>
      <c r="I255" s="43">
        <v>0</v>
      </c>
      <c r="J255" s="43">
        <v>0</v>
      </c>
      <c r="K255" s="42">
        <f t="shared" si="23"/>
        <v>0</v>
      </c>
      <c r="L255" s="43">
        <f t="shared" si="24"/>
        <v>0</v>
      </c>
      <c r="M255" s="43">
        <v>0</v>
      </c>
      <c r="N255" s="44">
        <f t="shared" si="25"/>
        <v>82902.369513099708</v>
      </c>
      <c r="O255" s="321">
        <f t="shared" si="26"/>
        <v>97.630486900292453</v>
      </c>
      <c r="P255" s="322">
        <f t="shared" si="27"/>
        <v>83000</v>
      </c>
    </row>
    <row r="256" spans="1:16" x14ac:dyDescent="0.2">
      <c r="A256" s="1">
        <v>253</v>
      </c>
      <c r="B256" s="1" t="s">
        <v>770</v>
      </c>
      <c r="C256" s="1">
        <v>34000335</v>
      </c>
      <c r="D256" s="1" t="s">
        <v>771</v>
      </c>
      <c r="E256" s="314">
        <v>6550000</v>
      </c>
      <c r="F256" s="314">
        <v>0</v>
      </c>
      <c r="G256" s="42">
        <f t="shared" si="21"/>
        <v>2.2046820040727715E-3</v>
      </c>
      <c r="H256" s="43">
        <f t="shared" si="22"/>
        <v>82902.369513099708</v>
      </c>
      <c r="I256" s="43">
        <v>960000</v>
      </c>
      <c r="J256" s="43">
        <v>0</v>
      </c>
      <c r="K256" s="42">
        <f t="shared" si="23"/>
        <v>2.6531755800171938E-3</v>
      </c>
      <c r="L256" s="43">
        <f t="shared" si="24"/>
        <v>151974.70413607007</v>
      </c>
      <c r="M256" s="43">
        <v>8000</v>
      </c>
      <c r="N256" s="44">
        <f t="shared" si="25"/>
        <v>242877.07364916976</v>
      </c>
      <c r="O256" s="321">
        <f t="shared" si="26"/>
        <v>122.92635083023924</v>
      </c>
      <c r="P256" s="322">
        <f t="shared" si="27"/>
        <v>243000</v>
      </c>
    </row>
    <row r="257" spans="1:16" x14ac:dyDescent="0.2">
      <c r="A257" s="1">
        <v>254</v>
      </c>
      <c r="B257" s="1" t="s">
        <v>772</v>
      </c>
      <c r="C257" s="1">
        <v>34000094</v>
      </c>
      <c r="D257" s="1" t="s">
        <v>773</v>
      </c>
      <c r="E257" s="314">
        <v>6550000</v>
      </c>
      <c r="F257" s="314">
        <v>0</v>
      </c>
      <c r="G257" s="42">
        <f t="shared" si="21"/>
        <v>2.2046820040727715E-3</v>
      </c>
      <c r="H257" s="43">
        <f t="shared" si="22"/>
        <v>82902.369513099708</v>
      </c>
      <c r="I257" s="43">
        <v>1244166.6666666665</v>
      </c>
      <c r="J257" s="43">
        <v>0</v>
      </c>
      <c r="K257" s="42">
        <f t="shared" si="23"/>
        <v>3.4385339765326994E-3</v>
      </c>
      <c r="L257" s="43">
        <f t="shared" si="24"/>
        <v>196960.27194023662</v>
      </c>
      <c r="M257" s="43">
        <v>8000</v>
      </c>
      <c r="N257" s="44">
        <f t="shared" si="25"/>
        <v>287862.64145333634</v>
      </c>
      <c r="O257" s="321">
        <f t="shared" si="26"/>
        <v>137.35854666365776</v>
      </c>
      <c r="P257" s="322">
        <f t="shared" si="27"/>
        <v>288000</v>
      </c>
    </row>
    <row r="258" spans="1:16" x14ac:dyDescent="0.2">
      <c r="A258" s="1">
        <v>255</v>
      </c>
      <c r="B258" s="1" t="s">
        <v>774</v>
      </c>
      <c r="C258" s="1">
        <v>34000023</v>
      </c>
      <c r="D258" s="1" t="s">
        <v>697</v>
      </c>
      <c r="E258" s="314">
        <v>6550000</v>
      </c>
      <c r="F258" s="314">
        <v>0</v>
      </c>
      <c r="G258" s="42">
        <f t="shared" si="21"/>
        <v>2.2046820040727715E-3</v>
      </c>
      <c r="H258" s="43">
        <f t="shared" si="22"/>
        <v>82902.369513099708</v>
      </c>
      <c r="I258" s="43">
        <v>0</v>
      </c>
      <c r="J258" s="43">
        <v>2483333.3333333335</v>
      </c>
      <c r="K258" s="42">
        <f t="shared" si="23"/>
        <v>6.8632493302528104E-3</v>
      </c>
      <c r="L258" s="43">
        <f t="shared" si="24"/>
        <v>393129.00896309793</v>
      </c>
      <c r="M258" s="43">
        <v>0</v>
      </c>
      <c r="N258" s="44">
        <f t="shared" si="25"/>
        <v>476031.37847619766</v>
      </c>
      <c r="O258" s="321">
        <f t="shared" si="26"/>
        <v>968.62152380234329</v>
      </c>
      <c r="P258" s="322">
        <f t="shared" si="27"/>
        <v>477000</v>
      </c>
    </row>
    <row r="259" spans="1:16" x14ac:dyDescent="0.2">
      <c r="A259" s="1">
        <v>256</v>
      </c>
      <c r="B259" s="1" t="s">
        <v>775</v>
      </c>
      <c r="C259" s="1">
        <v>34000938</v>
      </c>
      <c r="D259" s="1" t="s">
        <v>776</v>
      </c>
      <c r="E259" s="314">
        <v>6350000</v>
      </c>
      <c r="F259" s="314">
        <v>0</v>
      </c>
      <c r="G259" s="42">
        <f t="shared" si="21"/>
        <v>2.1373634695972667E-3</v>
      </c>
      <c r="H259" s="43">
        <f t="shared" si="22"/>
        <v>80370.999451630996</v>
      </c>
      <c r="I259" s="43">
        <v>0</v>
      </c>
      <c r="J259" s="43">
        <v>180500</v>
      </c>
      <c r="K259" s="42">
        <f t="shared" si="23"/>
        <v>4.9885228353448283E-4</v>
      </c>
      <c r="L259" s="43">
        <f t="shared" si="24"/>
        <v>28574.410517250679</v>
      </c>
      <c r="M259" s="43">
        <v>0</v>
      </c>
      <c r="N259" s="44">
        <f t="shared" si="25"/>
        <v>108945.40996888168</v>
      </c>
      <c r="O259" s="321">
        <f t="shared" si="26"/>
        <v>54.590031118321349</v>
      </c>
      <c r="P259" s="322">
        <f t="shared" si="27"/>
        <v>109000</v>
      </c>
    </row>
    <row r="260" spans="1:16" x14ac:dyDescent="0.2">
      <c r="A260" s="1">
        <v>257</v>
      </c>
      <c r="B260" s="1" t="s">
        <v>777</v>
      </c>
      <c r="C260" s="1">
        <v>34000965</v>
      </c>
      <c r="D260" s="1" t="s">
        <v>778</v>
      </c>
      <c r="E260" s="314">
        <v>6350000</v>
      </c>
      <c r="F260" s="314">
        <v>0</v>
      </c>
      <c r="G260" s="42">
        <f t="shared" ref="G260:G323" si="28">(E260+F260)/$E$346</f>
        <v>2.1373634695972667E-3</v>
      </c>
      <c r="H260" s="43">
        <f t="shared" ref="H260:H323" si="29">G260*$H$3</f>
        <v>80370.999451630996</v>
      </c>
      <c r="I260" s="43">
        <v>0</v>
      </c>
      <c r="J260" s="43">
        <v>0</v>
      </c>
      <c r="K260" s="42">
        <f t="shared" ref="K260:K323" si="30">(I260+J260)/($I$345+$J$345)</f>
        <v>0</v>
      </c>
      <c r="L260" s="43">
        <f t="shared" ref="L260:L323" si="31">K260*$L$3</f>
        <v>0</v>
      </c>
      <c r="M260" s="43">
        <v>0</v>
      </c>
      <c r="N260" s="44">
        <f t="shared" si="25"/>
        <v>80370.999451630996</v>
      </c>
      <c r="O260" s="321">
        <f t="shared" si="26"/>
        <v>629.00054836900381</v>
      </c>
      <c r="P260" s="322">
        <f t="shared" si="27"/>
        <v>81000</v>
      </c>
    </row>
    <row r="261" spans="1:16" x14ac:dyDescent="0.2">
      <c r="A261" s="1">
        <v>258</v>
      </c>
      <c r="B261" s="1" t="s">
        <v>779</v>
      </c>
      <c r="C261" s="1">
        <v>34000860</v>
      </c>
      <c r="D261" s="1" t="s">
        <v>780</v>
      </c>
      <c r="E261" s="314">
        <v>6350000</v>
      </c>
      <c r="F261" s="314">
        <v>0</v>
      </c>
      <c r="G261" s="42">
        <f t="shared" si="28"/>
        <v>2.1373634695972667E-3</v>
      </c>
      <c r="H261" s="43">
        <f t="shared" si="29"/>
        <v>80370.999451630996</v>
      </c>
      <c r="I261" s="43">
        <v>750000</v>
      </c>
      <c r="J261" s="43">
        <v>0</v>
      </c>
      <c r="K261" s="42">
        <f t="shared" si="30"/>
        <v>2.0727934218884325E-3</v>
      </c>
      <c r="L261" s="43">
        <f t="shared" si="31"/>
        <v>118730.23760630474</v>
      </c>
      <c r="M261" s="43">
        <v>0</v>
      </c>
      <c r="N261" s="44">
        <f t="shared" ref="N261:N324" si="32">H261+L261+M261</f>
        <v>199101.23705793574</v>
      </c>
      <c r="O261" s="321">
        <f t="shared" ref="O261:O324" si="33">P261-N261</f>
        <v>898.76294206426246</v>
      </c>
      <c r="P261" s="322">
        <f t="shared" ref="P261:P324" si="34">ROUNDUP(N261,-3)</f>
        <v>200000</v>
      </c>
    </row>
    <row r="262" spans="1:16" x14ac:dyDescent="0.2">
      <c r="A262" s="1">
        <v>259</v>
      </c>
      <c r="B262" s="1" t="s">
        <v>781</v>
      </c>
      <c r="C262" s="1">
        <v>34000410</v>
      </c>
      <c r="D262" s="1" t="s">
        <v>782</v>
      </c>
      <c r="E262" s="314">
        <v>6150000</v>
      </c>
      <c r="F262" s="314">
        <v>0</v>
      </c>
      <c r="G262" s="42">
        <f t="shared" si="28"/>
        <v>2.0700449351217622E-3</v>
      </c>
      <c r="H262" s="43">
        <f t="shared" si="29"/>
        <v>77839.629390162299</v>
      </c>
      <c r="I262" s="43">
        <v>0</v>
      </c>
      <c r="J262" s="43">
        <v>0</v>
      </c>
      <c r="K262" s="42">
        <f t="shared" si="30"/>
        <v>0</v>
      </c>
      <c r="L262" s="43">
        <f t="shared" si="31"/>
        <v>0</v>
      </c>
      <c r="M262" s="43">
        <v>0</v>
      </c>
      <c r="N262" s="44">
        <f t="shared" si="32"/>
        <v>77839.629390162299</v>
      </c>
      <c r="O262" s="321">
        <f t="shared" si="33"/>
        <v>160.37060983770061</v>
      </c>
      <c r="P262" s="322">
        <f t="shared" si="34"/>
        <v>78000</v>
      </c>
    </row>
    <row r="263" spans="1:16" x14ac:dyDescent="0.2">
      <c r="A263" s="1">
        <v>260</v>
      </c>
      <c r="B263" s="1" t="s">
        <v>783</v>
      </c>
      <c r="C263" s="1">
        <v>34000010</v>
      </c>
      <c r="D263" s="1" t="s">
        <v>784</v>
      </c>
      <c r="E263" s="314">
        <v>5950000</v>
      </c>
      <c r="F263" s="314">
        <v>0</v>
      </c>
      <c r="G263" s="42">
        <f t="shared" si="28"/>
        <v>2.0027264006462577E-3</v>
      </c>
      <c r="H263" s="43">
        <f t="shared" si="29"/>
        <v>75308.259328693617</v>
      </c>
      <c r="I263" s="43">
        <v>0</v>
      </c>
      <c r="J263" s="43">
        <v>0</v>
      </c>
      <c r="K263" s="42">
        <f t="shared" si="30"/>
        <v>0</v>
      </c>
      <c r="L263" s="43">
        <f t="shared" si="31"/>
        <v>0</v>
      </c>
      <c r="M263" s="43">
        <v>0</v>
      </c>
      <c r="N263" s="44">
        <f t="shared" si="32"/>
        <v>75308.259328693617</v>
      </c>
      <c r="O263" s="321">
        <f t="shared" si="33"/>
        <v>691.74067130638286</v>
      </c>
      <c r="P263" s="322">
        <f t="shared" si="34"/>
        <v>76000</v>
      </c>
    </row>
    <row r="264" spans="1:16" x14ac:dyDescent="0.2">
      <c r="A264" s="1">
        <v>261</v>
      </c>
      <c r="B264" s="1" t="s">
        <v>785</v>
      </c>
      <c r="C264" s="1">
        <v>34000014</v>
      </c>
      <c r="D264" s="1" t="s">
        <v>698</v>
      </c>
      <c r="E264" s="314">
        <v>5750000</v>
      </c>
      <c r="F264" s="314">
        <v>0</v>
      </c>
      <c r="G264" s="42">
        <f t="shared" si="28"/>
        <v>1.9354078661707535E-3</v>
      </c>
      <c r="H264" s="43">
        <f t="shared" si="29"/>
        <v>72776.88926722492</v>
      </c>
      <c r="I264" s="43">
        <v>0</v>
      </c>
      <c r="J264" s="43">
        <v>2475000</v>
      </c>
      <c r="K264" s="42">
        <f t="shared" si="30"/>
        <v>6.8402182922318276E-3</v>
      </c>
      <c r="L264" s="43">
        <f t="shared" si="31"/>
        <v>391809.78410080564</v>
      </c>
      <c r="M264" s="43">
        <v>8000</v>
      </c>
      <c r="N264" s="44">
        <f t="shared" si="32"/>
        <v>472586.67336803058</v>
      </c>
      <c r="O264" s="321">
        <f t="shared" si="33"/>
        <v>413.32663196942303</v>
      </c>
      <c r="P264" s="322">
        <f t="shared" si="34"/>
        <v>473000</v>
      </c>
    </row>
    <row r="265" spans="1:16" x14ac:dyDescent="0.2">
      <c r="A265" s="1">
        <v>262</v>
      </c>
      <c r="B265" s="1" t="s">
        <v>786</v>
      </c>
      <c r="C265" s="1">
        <v>34000528</v>
      </c>
      <c r="D265" s="1" t="s">
        <v>787</v>
      </c>
      <c r="E265" s="314">
        <v>5750000</v>
      </c>
      <c r="F265" s="314">
        <v>0</v>
      </c>
      <c r="G265" s="42">
        <f t="shared" si="28"/>
        <v>1.9354078661707535E-3</v>
      </c>
      <c r="H265" s="43">
        <f t="shared" si="29"/>
        <v>72776.88926722492</v>
      </c>
      <c r="I265" s="43">
        <v>0</v>
      </c>
      <c r="J265" s="43">
        <v>1446666.6666666665</v>
      </c>
      <c r="K265" s="42">
        <f t="shared" si="30"/>
        <v>3.9981882004425763E-3</v>
      </c>
      <c r="L265" s="43">
        <f t="shared" si="31"/>
        <v>229017.43609393892</v>
      </c>
      <c r="M265" s="43">
        <v>0</v>
      </c>
      <c r="N265" s="44">
        <f t="shared" si="32"/>
        <v>301794.32536116382</v>
      </c>
      <c r="O265" s="321">
        <f t="shared" si="33"/>
        <v>205.67463883617893</v>
      </c>
      <c r="P265" s="322">
        <f t="shared" si="34"/>
        <v>302000</v>
      </c>
    </row>
    <row r="266" spans="1:16" x14ac:dyDescent="0.2">
      <c r="A266" s="1">
        <v>263</v>
      </c>
      <c r="B266" s="1" t="s">
        <v>788</v>
      </c>
      <c r="C266" s="1">
        <v>34000895</v>
      </c>
      <c r="D266" s="1" t="s">
        <v>789</v>
      </c>
      <c r="E266" s="314">
        <v>5750000</v>
      </c>
      <c r="F266" s="314">
        <v>0</v>
      </c>
      <c r="G266" s="42">
        <f t="shared" si="28"/>
        <v>1.9354078661707535E-3</v>
      </c>
      <c r="H266" s="43">
        <f t="shared" si="29"/>
        <v>72776.88926722492</v>
      </c>
      <c r="I266" s="43">
        <v>1088000</v>
      </c>
      <c r="J266" s="43">
        <v>103125</v>
      </c>
      <c r="K266" s="42">
        <f t="shared" si="30"/>
        <v>3.2919414195291458E-3</v>
      </c>
      <c r="L266" s="43">
        <f t="shared" si="31"/>
        <v>188563.40569174633</v>
      </c>
      <c r="M266" s="43">
        <v>0</v>
      </c>
      <c r="N266" s="44">
        <f t="shared" si="32"/>
        <v>261340.29495897127</v>
      </c>
      <c r="O266" s="321">
        <f t="shared" si="33"/>
        <v>659.70504102873383</v>
      </c>
      <c r="P266" s="322">
        <f t="shared" si="34"/>
        <v>262000</v>
      </c>
    </row>
    <row r="267" spans="1:16" x14ac:dyDescent="0.2">
      <c r="A267" s="1">
        <v>264</v>
      </c>
      <c r="B267" s="1" t="s">
        <v>790</v>
      </c>
      <c r="C267" s="1">
        <v>34000902</v>
      </c>
      <c r="D267" s="1" t="s">
        <v>791</v>
      </c>
      <c r="E267" s="314">
        <v>5750000</v>
      </c>
      <c r="F267" s="314">
        <v>0</v>
      </c>
      <c r="G267" s="42">
        <f t="shared" si="28"/>
        <v>1.9354078661707535E-3</v>
      </c>
      <c r="H267" s="43">
        <f t="shared" si="29"/>
        <v>72776.88926722492</v>
      </c>
      <c r="I267" s="43">
        <v>0</v>
      </c>
      <c r="J267" s="43">
        <v>0</v>
      </c>
      <c r="K267" s="42">
        <f t="shared" si="30"/>
        <v>0</v>
      </c>
      <c r="L267" s="43">
        <f t="shared" si="31"/>
        <v>0</v>
      </c>
      <c r="M267" s="43">
        <v>8000</v>
      </c>
      <c r="N267" s="44">
        <f t="shared" si="32"/>
        <v>80776.88926722492</v>
      </c>
      <c r="O267" s="321">
        <f t="shared" si="33"/>
        <v>223.11073277507967</v>
      </c>
      <c r="P267" s="322">
        <f t="shared" si="34"/>
        <v>81000</v>
      </c>
    </row>
    <row r="268" spans="1:16" x14ac:dyDescent="0.2">
      <c r="A268" s="1">
        <v>265</v>
      </c>
      <c r="B268" s="1" t="s">
        <v>792</v>
      </c>
      <c r="C268" s="1">
        <v>34000808</v>
      </c>
      <c r="D268" s="1" t="s">
        <v>793</v>
      </c>
      <c r="E268" s="314">
        <v>5750000</v>
      </c>
      <c r="F268" s="314">
        <v>0</v>
      </c>
      <c r="G268" s="42">
        <f t="shared" si="28"/>
        <v>1.9354078661707535E-3</v>
      </c>
      <c r="H268" s="43">
        <f t="shared" si="29"/>
        <v>72776.88926722492</v>
      </c>
      <c r="I268" s="43">
        <v>0</v>
      </c>
      <c r="J268" s="43">
        <v>0</v>
      </c>
      <c r="K268" s="42">
        <f t="shared" si="30"/>
        <v>0</v>
      </c>
      <c r="L268" s="43">
        <f t="shared" si="31"/>
        <v>0</v>
      </c>
      <c r="M268" s="43">
        <v>0</v>
      </c>
      <c r="N268" s="44">
        <f t="shared" si="32"/>
        <v>72776.88926722492</v>
      </c>
      <c r="O268" s="321">
        <f t="shared" si="33"/>
        <v>223.11073277507967</v>
      </c>
      <c r="P268" s="322">
        <f t="shared" si="34"/>
        <v>73000</v>
      </c>
    </row>
    <row r="269" spans="1:16" x14ac:dyDescent="0.2">
      <c r="A269" s="1">
        <v>266</v>
      </c>
      <c r="B269" s="1" t="s">
        <v>794</v>
      </c>
      <c r="C269" s="1">
        <v>34000898</v>
      </c>
      <c r="D269" s="1" t="s">
        <v>795</v>
      </c>
      <c r="E269" s="314">
        <v>5550000</v>
      </c>
      <c r="F269" s="314">
        <v>0</v>
      </c>
      <c r="G269" s="42">
        <f t="shared" si="28"/>
        <v>1.868089331695249E-3</v>
      </c>
      <c r="H269" s="43">
        <f t="shared" si="29"/>
        <v>70245.519205756238</v>
      </c>
      <c r="I269" s="43">
        <v>0</v>
      </c>
      <c r="J269" s="43">
        <v>0</v>
      </c>
      <c r="K269" s="42">
        <f t="shared" si="30"/>
        <v>0</v>
      </c>
      <c r="L269" s="43">
        <f t="shared" si="31"/>
        <v>0</v>
      </c>
      <c r="M269" s="43">
        <v>0</v>
      </c>
      <c r="N269" s="44">
        <f t="shared" si="32"/>
        <v>70245.519205756238</v>
      </c>
      <c r="O269" s="321">
        <f t="shared" si="33"/>
        <v>754.48079424376192</v>
      </c>
      <c r="P269" s="322">
        <f t="shared" si="34"/>
        <v>71000</v>
      </c>
    </row>
    <row r="270" spans="1:16" x14ac:dyDescent="0.2">
      <c r="A270" s="1">
        <v>267</v>
      </c>
      <c r="B270" s="1" t="s">
        <v>796</v>
      </c>
      <c r="C270" s="1">
        <v>34000473</v>
      </c>
      <c r="D270" s="1" t="s">
        <v>797</v>
      </c>
      <c r="E270" s="314">
        <v>5150000</v>
      </c>
      <c r="F270" s="314">
        <v>0</v>
      </c>
      <c r="G270" s="42">
        <f t="shared" si="28"/>
        <v>1.7334522627442401E-3</v>
      </c>
      <c r="H270" s="43">
        <f t="shared" si="29"/>
        <v>65182.779082818852</v>
      </c>
      <c r="I270" s="43">
        <v>2150000.0000000005</v>
      </c>
      <c r="J270" s="43">
        <v>0</v>
      </c>
      <c r="K270" s="42">
        <f t="shared" si="30"/>
        <v>5.9420078094135085E-3</v>
      </c>
      <c r="L270" s="43">
        <f t="shared" si="31"/>
        <v>340360.01447140705</v>
      </c>
      <c r="M270" s="43">
        <v>0</v>
      </c>
      <c r="N270" s="44">
        <f t="shared" si="32"/>
        <v>405542.79355422588</v>
      </c>
      <c r="O270" s="321">
        <f t="shared" si="33"/>
        <v>457.20644577412168</v>
      </c>
      <c r="P270" s="322">
        <f t="shared" si="34"/>
        <v>406000</v>
      </c>
    </row>
    <row r="271" spans="1:16" x14ac:dyDescent="0.2">
      <c r="A271" s="1">
        <v>268</v>
      </c>
      <c r="B271" s="1" t="s">
        <v>810</v>
      </c>
      <c r="C271" s="1">
        <v>34000159</v>
      </c>
      <c r="D271" s="1" t="s">
        <v>811</v>
      </c>
      <c r="E271" s="314">
        <v>4750000</v>
      </c>
      <c r="F271" s="314">
        <v>0</v>
      </c>
      <c r="G271" s="42">
        <f t="shared" si="28"/>
        <v>1.5988151937932312E-3</v>
      </c>
      <c r="H271" s="43">
        <f t="shared" si="29"/>
        <v>60120.038959881465</v>
      </c>
      <c r="I271" s="43">
        <v>1800000</v>
      </c>
      <c r="J271" s="43">
        <v>1625555.5555555555</v>
      </c>
      <c r="K271" s="42">
        <f t="shared" si="30"/>
        <v>9.4672920291585735E-3</v>
      </c>
      <c r="L271" s="43">
        <f t="shared" si="31"/>
        <v>542289.36672627775</v>
      </c>
      <c r="M271" s="43">
        <v>8000</v>
      </c>
      <c r="N271" s="44">
        <f t="shared" si="32"/>
        <v>610409.40568615915</v>
      </c>
      <c r="O271" s="321">
        <f t="shared" si="33"/>
        <v>590.59431384084746</v>
      </c>
      <c r="P271" s="322">
        <f t="shared" si="34"/>
        <v>611000</v>
      </c>
    </row>
    <row r="272" spans="1:16" x14ac:dyDescent="0.2">
      <c r="A272" s="1">
        <v>269</v>
      </c>
      <c r="B272" s="1" t="s">
        <v>812</v>
      </c>
      <c r="C272" s="1">
        <v>34000770</v>
      </c>
      <c r="D272" s="1" t="s">
        <v>813</v>
      </c>
      <c r="E272" s="314">
        <v>4750000</v>
      </c>
      <c r="F272" s="314">
        <v>0</v>
      </c>
      <c r="G272" s="42">
        <f t="shared" si="28"/>
        <v>1.5988151937932312E-3</v>
      </c>
      <c r="H272" s="43">
        <f t="shared" si="29"/>
        <v>60120.038959881465</v>
      </c>
      <c r="I272" s="43">
        <v>0</v>
      </c>
      <c r="J272" s="43">
        <v>0</v>
      </c>
      <c r="K272" s="42">
        <f t="shared" si="30"/>
        <v>0</v>
      </c>
      <c r="L272" s="43">
        <f t="shared" si="31"/>
        <v>0</v>
      </c>
      <c r="M272" s="43">
        <v>0</v>
      </c>
      <c r="N272" s="44">
        <f t="shared" si="32"/>
        <v>60120.038959881465</v>
      </c>
      <c r="O272" s="321">
        <f t="shared" si="33"/>
        <v>879.96104011853458</v>
      </c>
      <c r="P272" s="322">
        <f t="shared" si="34"/>
        <v>61000</v>
      </c>
    </row>
    <row r="273" spans="1:16" x14ac:dyDescent="0.2">
      <c r="A273" s="1">
        <v>270</v>
      </c>
      <c r="B273" s="1" t="s">
        <v>1232</v>
      </c>
      <c r="C273" s="1">
        <v>34000636</v>
      </c>
      <c r="D273" s="1" t="s">
        <v>1233</v>
      </c>
      <c r="E273" s="314">
        <v>4350000</v>
      </c>
      <c r="F273" s="314">
        <v>0</v>
      </c>
      <c r="G273" s="42">
        <f t="shared" si="28"/>
        <v>1.4641781248422223E-3</v>
      </c>
      <c r="H273" s="43">
        <f t="shared" si="29"/>
        <v>55057.298836944079</v>
      </c>
      <c r="I273" s="43">
        <v>0</v>
      </c>
      <c r="J273" s="43">
        <v>0</v>
      </c>
      <c r="K273" s="42">
        <f t="shared" si="30"/>
        <v>0</v>
      </c>
      <c r="L273" s="43">
        <f t="shared" si="31"/>
        <v>0</v>
      </c>
      <c r="M273" s="43">
        <v>0</v>
      </c>
      <c r="N273" s="44">
        <f t="shared" si="32"/>
        <v>55057.298836944079</v>
      </c>
      <c r="O273" s="321">
        <f t="shared" si="33"/>
        <v>942.70116305592092</v>
      </c>
      <c r="P273" s="322">
        <f t="shared" si="34"/>
        <v>56000</v>
      </c>
    </row>
    <row r="274" spans="1:16" x14ac:dyDescent="0.2">
      <c r="A274" s="1">
        <v>271</v>
      </c>
      <c r="B274" s="1" t="s">
        <v>1234</v>
      </c>
      <c r="C274" s="1">
        <v>34000074</v>
      </c>
      <c r="D274" s="1" t="s">
        <v>1235</v>
      </c>
      <c r="E274" s="314">
        <v>4350000</v>
      </c>
      <c r="F274" s="314">
        <v>0</v>
      </c>
      <c r="G274" s="42">
        <f t="shared" si="28"/>
        <v>1.4641781248422223E-3</v>
      </c>
      <c r="H274" s="43">
        <f t="shared" si="29"/>
        <v>55057.298836944079</v>
      </c>
      <c r="I274" s="43">
        <v>594000</v>
      </c>
      <c r="J274" s="43">
        <v>0</v>
      </c>
      <c r="K274" s="42">
        <f t="shared" si="30"/>
        <v>1.6416523901356386E-3</v>
      </c>
      <c r="L274" s="43">
        <f t="shared" si="31"/>
        <v>94034.348184193354</v>
      </c>
      <c r="M274" s="43">
        <v>8000</v>
      </c>
      <c r="N274" s="44">
        <f t="shared" si="32"/>
        <v>157091.64702113744</v>
      </c>
      <c r="O274" s="321">
        <f t="shared" si="33"/>
        <v>908.35297886256012</v>
      </c>
      <c r="P274" s="322">
        <f t="shared" si="34"/>
        <v>158000</v>
      </c>
    </row>
    <row r="275" spans="1:16" x14ac:dyDescent="0.2">
      <c r="A275" s="1">
        <v>272</v>
      </c>
      <c r="B275" s="1" t="s">
        <v>1236</v>
      </c>
      <c r="C275" s="1">
        <v>34000011</v>
      </c>
      <c r="D275" s="1" t="s">
        <v>1237</v>
      </c>
      <c r="E275" s="314">
        <v>4150000</v>
      </c>
      <c r="F275" s="314">
        <v>0</v>
      </c>
      <c r="G275" s="42">
        <f t="shared" si="28"/>
        <v>1.3968595903667176E-3</v>
      </c>
      <c r="H275" s="43">
        <f t="shared" si="29"/>
        <v>52525.928775475375</v>
      </c>
      <c r="I275" s="43">
        <v>0</v>
      </c>
      <c r="J275" s="43">
        <v>0</v>
      </c>
      <c r="K275" s="42">
        <f t="shared" si="30"/>
        <v>0</v>
      </c>
      <c r="L275" s="43">
        <f t="shared" si="31"/>
        <v>0</v>
      </c>
      <c r="M275" s="43">
        <v>0</v>
      </c>
      <c r="N275" s="44">
        <f t="shared" si="32"/>
        <v>52525.928775475375</v>
      </c>
      <c r="O275" s="321">
        <f t="shared" si="33"/>
        <v>474.07122452462499</v>
      </c>
      <c r="P275" s="322">
        <f t="shared" si="34"/>
        <v>53000</v>
      </c>
    </row>
    <row r="276" spans="1:16" x14ac:dyDescent="0.2">
      <c r="A276" s="1">
        <v>273</v>
      </c>
      <c r="B276" s="1" t="s">
        <v>1238</v>
      </c>
      <c r="C276" s="1">
        <v>34000206</v>
      </c>
      <c r="D276" s="1" t="s">
        <v>1239</v>
      </c>
      <c r="E276" s="314">
        <v>4150000</v>
      </c>
      <c r="F276" s="314">
        <v>0</v>
      </c>
      <c r="G276" s="42">
        <f t="shared" si="28"/>
        <v>1.3968595903667176E-3</v>
      </c>
      <c r="H276" s="43">
        <f t="shared" si="29"/>
        <v>52525.928775475375</v>
      </c>
      <c r="I276" s="43">
        <v>1345000</v>
      </c>
      <c r="J276" s="43">
        <v>0</v>
      </c>
      <c r="K276" s="42">
        <f t="shared" si="30"/>
        <v>3.7172095365865889E-3</v>
      </c>
      <c r="L276" s="43">
        <f t="shared" si="31"/>
        <v>212922.89277397317</v>
      </c>
      <c r="M276" s="43">
        <v>0</v>
      </c>
      <c r="N276" s="44">
        <f t="shared" si="32"/>
        <v>265448.82154944853</v>
      </c>
      <c r="O276" s="321">
        <f t="shared" si="33"/>
        <v>551.17845055146609</v>
      </c>
      <c r="P276" s="322">
        <f t="shared" si="34"/>
        <v>266000</v>
      </c>
    </row>
    <row r="277" spans="1:16" x14ac:dyDescent="0.2">
      <c r="A277" s="1">
        <v>274</v>
      </c>
      <c r="B277" s="1" t="s">
        <v>1240</v>
      </c>
      <c r="C277" s="1">
        <v>34000635</v>
      </c>
      <c r="D277" s="1" t="s">
        <v>245</v>
      </c>
      <c r="E277" s="314">
        <v>3950000</v>
      </c>
      <c r="F277" s="314">
        <v>0</v>
      </c>
      <c r="G277" s="42">
        <f t="shared" si="28"/>
        <v>1.3295410558912132E-3</v>
      </c>
      <c r="H277" s="43">
        <f t="shared" si="29"/>
        <v>49994.558714006685</v>
      </c>
      <c r="I277" s="43">
        <v>2280833.3333333335</v>
      </c>
      <c r="J277" s="43">
        <v>0</v>
      </c>
      <c r="K277" s="42">
        <f t="shared" si="30"/>
        <v>6.303595106342934E-3</v>
      </c>
      <c r="L277" s="43">
        <f t="shared" si="31"/>
        <v>361071.84480939567</v>
      </c>
      <c r="M277" s="43">
        <v>0</v>
      </c>
      <c r="N277" s="44">
        <f t="shared" si="32"/>
        <v>411066.40352340235</v>
      </c>
      <c r="O277" s="321">
        <f t="shared" si="33"/>
        <v>933.59647659765324</v>
      </c>
      <c r="P277" s="322">
        <f t="shared" si="34"/>
        <v>412000</v>
      </c>
    </row>
    <row r="278" spans="1:16" x14ac:dyDescent="0.2">
      <c r="A278" s="1">
        <v>275</v>
      </c>
      <c r="B278" s="1" t="s">
        <v>1241</v>
      </c>
      <c r="C278" s="1">
        <v>34000759</v>
      </c>
      <c r="D278" s="1" t="s">
        <v>1242</v>
      </c>
      <c r="E278" s="314">
        <v>3950000</v>
      </c>
      <c r="F278" s="314">
        <v>0</v>
      </c>
      <c r="G278" s="42">
        <f t="shared" si="28"/>
        <v>1.3295410558912132E-3</v>
      </c>
      <c r="H278" s="43">
        <f t="shared" si="29"/>
        <v>49994.558714006685</v>
      </c>
      <c r="I278" s="43">
        <v>614166.66666666663</v>
      </c>
      <c r="J278" s="43">
        <v>0</v>
      </c>
      <c r="K278" s="42">
        <f t="shared" si="30"/>
        <v>1.6973875021464163E-3</v>
      </c>
      <c r="L278" s="43">
        <f t="shared" si="31"/>
        <v>97226.872350940655</v>
      </c>
      <c r="M278" s="43">
        <v>0</v>
      </c>
      <c r="N278" s="44">
        <f t="shared" si="32"/>
        <v>147221.43106494733</v>
      </c>
      <c r="O278" s="321">
        <f t="shared" si="33"/>
        <v>778.56893505266635</v>
      </c>
      <c r="P278" s="322">
        <f t="shared" si="34"/>
        <v>148000</v>
      </c>
    </row>
    <row r="279" spans="1:16" x14ac:dyDescent="0.2">
      <c r="A279" s="1">
        <v>276</v>
      </c>
      <c r="B279" s="1" t="s">
        <v>1243</v>
      </c>
      <c r="C279" s="1">
        <v>34000762</v>
      </c>
      <c r="D279" s="1" t="s">
        <v>1244</v>
      </c>
      <c r="E279" s="314">
        <v>3950000</v>
      </c>
      <c r="F279" s="314">
        <v>0</v>
      </c>
      <c r="G279" s="42">
        <f t="shared" si="28"/>
        <v>1.3295410558912132E-3</v>
      </c>
      <c r="H279" s="43">
        <f t="shared" si="29"/>
        <v>49994.558714006685</v>
      </c>
      <c r="I279" s="43">
        <v>0</v>
      </c>
      <c r="J279" s="43">
        <v>0</v>
      </c>
      <c r="K279" s="42">
        <f t="shared" si="30"/>
        <v>0</v>
      </c>
      <c r="L279" s="43">
        <f t="shared" si="31"/>
        <v>0</v>
      </c>
      <c r="M279" s="43">
        <v>8000</v>
      </c>
      <c r="N279" s="44">
        <f t="shared" si="32"/>
        <v>57994.558714006685</v>
      </c>
      <c r="O279" s="321">
        <f t="shared" si="33"/>
        <v>5.4412859933145228</v>
      </c>
      <c r="P279" s="322">
        <f t="shared" si="34"/>
        <v>58000</v>
      </c>
    </row>
    <row r="280" spans="1:16" x14ac:dyDescent="0.2">
      <c r="A280" s="1">
        <v>277</v>
      </c>
      <c r="B280" s="1" t="s">
        <v>1245</v>
      </c>
      <c r="C280" s="1">
        <v>34000999</v>
      </c>
      <c r="D280" s="1" t="s">
        <v>1246</v>
      </c>
      <c r="E280" s="314">
        <v>3750000</v>
      </c>
      <c r="F280" s="314">
        <v>0</v>
      </c>
      <c r="G280" s="42">
        <f t="shared" si="28"/>
        <v>1.2622225214157087E-3</v>
      </c>
      <c r="H280" s="43">
        <f t="shared" si="29"/>
        <v>47463.188652537989</v>
      </c>
      <c r="I280" s="43">
        <v>0</v>
      </c>
      <c r="J280" s="43">
        <v>900999.99999999988</v>
      </c>
      <c r="K280" s="42">
        <f t="shared" si="30"/>
        <v>2.4901158308286366E-3</v>
      </c>
      <c r="L280" s="43">
        <f t="shared" si="31"/>
        <v>142634.59211104075</v>
      </c>
      <c r="M280" s="43">
        <v>0</v>
      </c>
      <c r="N280" s="44">
        <f t="shared" si="32"/>
        <v>190097.78076357875</v>
      </c>
      <c r="O280" s="321">
        <f t="shared" si="33"/>
        <v>902.2192364212533</v>
      </c>
      <c r="P280" s="322">
        <f t="shared" si="34"/>
        <v>191000</v>
      </c>
    </row>
    <row r="281" spans="1:16" x14ac:dyDescent="0.2">
      <c r="A281" s="1">
        <v>278</v>
      </c>
      <c r="B281" s="1" t="s">
        <v>1247</v>
      </c>
      <c r="C281" s="1">
        <v>34000958</v>
      </c>
      <c r="D281" s="1" t="s">
        <v>1248</v>
      </c>
      <c r="E281" s="314">
        <v>3750000</v>
      </c>
      <c r="F281" s="314">
        <v>0</v>
      </c>
      <c r="G281" s="42">
        <f t="shared" si="28"/>
        <v>1.2622225214157087E-3</v>
      </c>
      <c r="H281" s="43">
        <f t="shared" si="29"/>
        <v>47463.188652537989</v>
      </c>
      <c r="I281" s="43">
        <v>0</v>
      </c>
      <c r="J281" s="43">
        <v>0</v>
      </c>
      <c r="K281" s="42">
        <f t="shared" si="30"/>
        <v>0</v>
      </c>
      <c r="L281" s="43">
        <f t="shared" si="31"/>
        <v>0</v>
      </c>
      <c r="M281" s="43">
        <v>0</v>
      </c>
      <c r="N281" s="44">
        <f t="shared" si="32"/>
        <v>47463.188652537989</v>
      </c>
      <c r="O281" s="321">
        <f t="shared" si="33"/>
        <v>536.81134746201133</v>
      </c>
      <c r="P281" s="322">
        <f t="shared" si="34"/>
        <v>48000</v>
      </c>
    </row>
    <row r="282" spans="1:16" x14ac:dyDescent="0.2">
      <c r="A282" s="1">
        <v>279</v>
      </c>
      <c r="B282" s="1" t="s">
        <v>1249</v>
      </c>
      <c r="C282" s="1">
        <v>34000927</v>
      </c>
      <c r="D282" s="1" t="s">
        <v>1250</v>
      </c>
      <c r="E282" s="314">
        <v>3750000</v>
      </c>
      <c r="F282" s="314">
        <v>0</v>
      </c>
      <c r="G282" s="42">
        <f t="shared" si="28"/>
        <v>1.2622225214157087E-3</v>
      </c>
      <c r="H282" s="43">
        <f t="shared" si="29"/>
        <v>47463.188652537989</v>
      </c>
      <c r="I282" s="43">
        <v>614166.66666666663</v>
      </c>
      <c r="J282" s="43">
        <v>0</v>
      </c>
      <c r="K282" s="42">
        <f t="shared" si="30"/>
        <v>1.6973875021464163E-3</v>
      </c>
      <c r="L282" s="43">
        <f t="shared" si="31"/>
        <v>97226.872350940655</v>
      </c>
      <c r="M282" s="43">
        <v>0</v>
      </c>
      <c r="N282" s="44">
        <f t="shared" si="32"/>
        <v>144690.06100347865</v>
      </c>
      <c r="O282" s="321">
        <f t="shared" si="33"/>
        <v>309.9389965213486</v>
      </c>
      <c r="P282" s="322">
        <f t="shared" si="34"/>
        <v>145000</v>
      </c>
    </row>
    <row r="283" spans="1:16" x14ac:dyDescent="0.2">
      <c r="A283" s="1">
        <v>280</v>
      </c>
      <c r="B283" s="1" t="s">
        <v>1251</v>
      </c>
      <c r="C283" s="1">
        <v>34000778</v>
      </c>
      <c r="D283" s="1" t="s">
        <v>1252</v>
      </c>
      <c r="E283" s="314">
        <v>3750000</v>
      </c>
      <c r="F283" s="314">
        <v>0</v>
      </c>
      <c r="G283" s="42">
        <f t="shared" si="28"/>
        <v>1.2622225214157087E-3</v>
      </c>
      <c r="H283" s="43">
        <f t="shared" si="29"/>
        <v>47463.188652537989</v>
      </c>
      <c r="I283" s="43">
        <v>854166.66666666674</v>
      </c>
      <c r="J283" s="43">
        <v>0</v>
      </c>
      <c r="K283" s="42">
        <f t="shared" si="30"/>
        <v>2.360681397150715E-3</v>
      </c>
      <c r="L283" s="43">
        <f t="shared" si="31"/>
        <v>135220.54838495818</v>
      </c>
      <c r="M283" s="43">
        <v>0</v>
      </c>
      <c r="N283" s="44">
        <f t="shared" si="32"/>
        <v>182683.73703749618</v>
      </c>
      <c r="O283" s="321">
        <f t="shared" si="33"/>
        <v>316.26296250382438</v>
      </c>
      <c r="P283" s="322">
        <f t="shared" si="34"/>
        <v>183000</v>
      </c>
    </row>
    <row r="284" spans="1:16" x14ac:dyDescent="0.2">
      <c r="A284" s="1">
        <v>281</v>
      </c>
      <c r="B284" s="1" t="s">
        <v>1253</v>
      </c>
      <c r="C284" s="1">
        <v>34000583</v>
      </c>
      <c r="D284" s="1" t="s">
        <v>844</v>
      </c>
      <c r="E284" s="314">
        <v>3550000</v>
      </c>
      <c r="F284" s="314">
        <v>0</v>
      </c>
      <c r="G284" s="42">
        <f t="shared" si="28"/>
        <v>1.1949039869402042E-3</v>
      </c>
      <c r="H284" s="43">
        <f t="shared" si="29"/>
        <v>44931.818591069299</v>
      </c>
      <c r="I284" s="43">
        <v>0</v>
      </c>
      <c r="J284" s="43">
        <v>5643055.5555555578</v>
      </c>
      <c r="K284" s="42">
        <f t="shared" si="30"/>
        <v>1.5595851246542046E-2</v>
      </c>
      <c r="L284" s="43">
        <f t="shared" si="31"/>
        <v>893335.10258225258</v>
      </c>
      <c r="M284" s="43">
        <v>0</v>
      </c>
      <c r="N284" s="44">
        <f t="shared" si="32"/>
        <v>938266.9211733219</v>
      </c>
      <c r="O284" s="321">
        <f t="shared" si="33"/>
        <v>733.0788266781019</v>
      </c>
      <c r="P284" s="322">
        <f t="shared" si="34"/>
        <v>939000</v>
      </c>
    </row>
    <row r="285" spans="1:16" x14ac:dyDescent="0.2">
      <c r="A285" s="1">
        <v>282</v>
      </c>
      <c r="B285" s="1" t="s">
        <v>1254</v>
      </c>
      <c r="C285" s="1">
        <v>34000187</v>
      </c>
      <c r="D285" s="1" t="s">
        <v>1255</v>
      </c>
      <c r="E285" s="314">
        <v>3550000</v>
      </c>
      <c r="F285" s="314">
        <v>0</v>
      </c>
      <c r="G285" s="42">
        <f t="shared" si="28"/>
        <v>1.1949039869402042E-3</v>
      </c>
      <c r="H285" s="43">
        <f t="shared" si="29"/>
        <v>44931.818591069299</v>
      </c>
      <c r="I285" s="43">
        <v>0</v>
      </c>
      <c r="J285" s="43">
        <v>0</v>
      </c>
      <c r="K285" s="42">
        <f t="shared" si="30"/>
        <v>0</v>
      </c>
      <c r="L285" s="43">
        <f t="shared" si="31"/>
        <v>0</v>
      </c>
      <c r="M285" s="43">
        <v>0</v>
      </c>
      <c r="N285" s="44">
        <f t="shared" si="32"/>
        <v>44931.818591069299</v>
      </c>
      <c r="O285" s="321">
        <f t="shared" si="33"/>
        <v>68.181408930700854</v>
      </c>
      <c r="P285" s="322">
        <f t="shared" si="34"/>
        <v>45000</v>
      </c>
    </row>
    <row r="286" spans="1:16" x14ac:dyDescent="0.2">
      <c r="A286" s="1">
        <v>283</v>
      </c>
      <c r="B286" s="1" t="s">
        <v>1256</v>
      </c>
      <c r="C286" s="1">
        <v>34000786</v>
      </c>
      <c r="D286" s="1" t="s">
        <v>1257</v>
      </c>
      <c r="E286" s="314">
        <v>3550000</v>
      </c>
      <c r="F286" s="314">
        <v>0</v>
      </c>
      <c r="G286" s="42">
        <f t="shared" si="28"/>
        <v>1.1949039869402042E-3</v>
      </c>
      <c r="H286" s="43">
        <f t="shared" si="29"/>
        <v>44931.818591069299</v>
      </c>
      <c r="I286" s="43">
        <v>0</v>
      </c>
      <c r="J286" s="43">
        <v>0</v>
      </c>
      <c r="K286" s="42">
        <f t="shared" si="30"/>
        <v>0</v>
      </c>
      <c r="L286" s="43">
        <f t="shared" si="31"/>
        <v>0</v>
      </c>
      <c r="M286" s="43">
        <v>0</v>
      </c>
      <c r="N286" s="44">
        <f t="shared" si="32"/>
        <v>44931.818591069299</v>
      </c>
      <c r="O286" s="321">
        <f t="shared" si="33"/>
        <v>68.181408930700854</v>
      </c>
      <c r="P286" s="322">
        <f t="shared" si="34"/>
        <v>45000</v>
      </c>
    </row>
    <row r="287" spans="1:16" x14ac:dyDescent="0.2">
      <c r="A287" s="1">
        <v>284</v>
      </c>
      <c r="B287" s="1" t="s">
        <v>1258</v>
      </c>
      <c r="C287" s="1">
        <v>34000934</v>
      </c>
      <c r="D287" s="1" t="s">
        <v>1259</v>
      </c>
      <c r="E287" s="314">
        <v>3350000</v>
      </c>
      <c r="F287" s="314">
        <v>0</v>
      </c>
      <c r="G287" s="42">
        <f t="shared" si="28"/>
        <v>1.1275854524646998E-3</v>
      </c>
      <c r="H287" s="43">
        <f t="shared" si="29"/>
        <v>42400.44852960061</v>
      </c>
      <c r="I287" s="43">
        <v>240000</v>
      </c>
      <c r="J287" s="43">
        <v>0</v>
      </c>
      <c r="K287" s="42">
        <f t="shared" si="30"/>
        <v>6.6329389500429845E-4</v>
      </c>
      <c r="L287" s="43">
        <f t="shared" si="31"/>
        <v>37993.676034017517</v>
      </c>
      <c r="M287" s="43">
        <v>8000</v>
      </c>
      <c r="N287" s="44">
        <f t="shared" si="32"/>
        <v>88394.124563618127</v>
      </c>
      <c r="O287" s="321">
        <f t="shared" si="33"/>
        <v>605.87543638187344</v>
      </c>
      <c r="P287" s="322">
        <f t="shared" si="34"/>
        <v>89000</v>
      </c>
    </row>
    <row r="288" spans="1:16" x14ac:dyDescent="0.2">
      <c r="A288" s="1">
        <v>285</v>
      </c>
      <c r="B288" s="1" t="s">
        <v>1260</v>
      </c>
      <c r="C288" s="1">
        <v>34000427</v>
      </c>
      <c r="D288" s="1" t="s">
        <v>1261</v>
      </c>
      <c r="E288" s="314">
        <v>3150000</v>
      </c>
      <c r="F288" s="314">
        <v>0</v>
      </c>
      <c r="G288" s="42">
        <f t="shared" si="28"/>
        <v>1.0602669179891953E-3</v>
      </c>
      <c r="H288" s="43">
        <f t="shared" si="29"/>
        <v>39869.078468131913</v>
      </c>
      <c r="I288" s="43">
        <v>0</v>
      </c>
      <c r="J288" s="43">
        <v>0</v>
      </c>
      <c r="K288" s="42">
        <f t="shared" si="30"/>
        <v>0</v>
      </c>
      <c r="L288" s="43">
        <f t="shared" si="31"/>
        <v>0</v>
      </c>
      <c r="M288" s="43">
        <v>0</v>
      </c>
      <c r="N288" s="44">
        <f t="shared" si="32"/>
        <v>39869.078468131913</v>
      </c>
      <c r="O288" s="321">
        <f t="shared" si="33"/>
        <v>130.92153186808719</v>
      </c>
      <c r="P288" s="322">
        <f t="shared" si="34"/>
        <v>40000</v>
      </c>
    </row>
    <row r="289" spans="1:16" x14ac:dyDescent="0.2">
      <c r="A289" s="1">
        <v>286</v>
      </c>
      <c r="B289" s="1" t="s">
        <v>1262</v>
      </c>
      <c r="C289" s="1">
        <v>34000605</v>
      </c>
      <c r="D289" s="1" t="s">
        <v>1263</v>
      </c>
      <c r="E289" s="314">
        <v>3150000</v>
      </c>
      <c r="F289" s="314">
        <v>0</v>
      </c>
      <c r="G289" s="42">
        <f t="shared" si="28"/>
        <v>1.0602669179891953E-3</v>
      </c>
      <c r="H289" s="43">
        <f t="shared" si="29"/>
        <v>39869.078468131913</v>
      </c>
      <c r="I289" s="43">
        <v>486000</v>
      </c>
      <c r="J289" s="43">
        <v>0</v>
      </c>
      <c r="K289" s="42">
        <f t="shared" si="30"/>
        <v>1.3431701373837043E-3</v>
      </c>
      <c r="L289" s="43">
        <f t="shared" si="31"/>
        <v>76937.193968885476</v>
      </c>
      <c r="M289" s="43">
        <v>0</v>
      </c>
      <c r="N289" s="44">
        <f t="shared" si="32"/>
        <v>116806.27243701738</v>
      </c>
      <c r="O289" s="321">
        <f t="shared" si="33"/>
        <v>193.72756298261811</v>
      </c>
      <c r="P289" s="322">
        <f t="shared" si="34"/>
        <v>117000</v>
      </c>
    </row>
    <row r="290" spans="1:16" x14ac:dyDescent="0.2">
      <c r="A290" s="1">
        <v>287</v>
      </c>
      <c r="B290" s="1" t="s">
        <v>1264</v>
      </c>
      <c r="C290" s="1">
        <v>34000987</v>
      </c>
      <c r="D290" s="1" t="s">
        <v>1265</v>
      </c>
      <c r="E290" s="314">
        <v>2950000</v>
      </c>
      <c r="F290" s="314">
        <v>0</v>
      </c>
      <c r="G290" s="42">
        <f t="shared" si="28"/>
        <v>9.9294838351369086E-4</v>
      </c>
      <c r="H290" s="43">
        <f t="shared" si="29"/>
        <v>37337.708406663223</v>
      </c>
      <c r="I290" s="43">
        <v>0</v>
      </c>
      <c r="J290" s="43">
        <v>0</v>
      </c>
      <c r="K290" s="42">
        <f t="shared" si="30"/>
        <v>0</v>
      </c>
      <c r="L290" s="43">
        <f t="shared" si="31"/>
        <v>0</v>
      </c>
      <c r="M290" s="43">
        <v>0</v>
      </c>
      <c r="N290" s="44">
        <f t="shared" si="32"/>
        <v>37337.708406663223</v>
      </c>
      <c r="O290" s="321">
        <f t="shared" si="33"/>
        <v>662.29159333677671</v>
      </c>
      <c r="P290" s="322">
        <f t="shared" si="34"/>
        <v>38000</v>
      </c>
    </row>
    <row r="291" spans="1:16" x14ac:dyDescent="0.2">
      <c r="A291" s="1">
        <v>288</v>
      </c>
      <c r="B291" s="1" t="s">
        <v>1266</v>
      </c>
      <c r="C291" s="1">
        <v>34000687</v>
      </c>
      <c r="D291" s="1" t="s">
        <v>1267</v>
      </c>
      <c r="E291" s="314">
        <v>2750000</v>
      </c>
      <c r="F291" s="314">
        <v>0</v>
      </c>
      <c r="G291" s="42">
        <f t="shared" si="28"/>
        <v>9.2562984903818641E-4</v>
      </c>
      <c r="H291" s="43">
        <f t="shared" si="29"/>
        <v>34806.338345194526</v>
      </c>
      <c r="I291" s="43">
        <v>0</v>
      </c>
      <c r="J291" s="43">
        <v>0</v>
      </c>
      <c r="K291" s="42">
        <f t="shared" si="30"/>
        <v>0</v>
      </c>
      <c r="L291" s="43">
        <f t="shared" si="31"/>
        <v>0</v>
      </c>
      <c r="M291" s="43">
        <v>0</v>
      </c>
      <c r="N291" s="44">
        <f t="shared" si="32"/>
        <v>34806.338345194526</v>
      </c>
      <c r="O291" s="321">
        <f t="shared" si="33"/>
        <v>193.66165480547352</v>
      </c>
      <c r="P291" s="322">
        <f t="shared" si="34"/>
        <v>35000</v>
      </c>
    </row>
    <row r="292" spans="1:16" x14ac:dyDescent="0.2">
      <c r="A292" s="1">
        <v>289</v>
      </c>
      <c r="B292" s="1" t="s">
        <v>1268</v>
      </c>
      <c r="C292" s="1">
        <v>34001047</v>
      </c>
      <c r="D292" s="1" t="s">
        <v>1269</v>
      </c>
      <c r="E292" s="314">
        <v>2750000</v>
      </c>
      <c r="F292" s="314">
        <v>0</v>
      </c>
      <c r="G292" s="42">
        <f t="shared" si="28"/>
        <v>9.2562984903818641E-4</v>
      </c>
      <c r="H292" s="43">
        <f t="shared" si="29"/>
        <v>34806.338345194526</v>
      </c>
      <c r="I292" s="43">
        <v>0</v>
      </c>
      <c r="J292" s="43">
        <v>0</v>
      </c>
      <c r="K292" s="42">
        <f t="shared" si="30"/>
        <v>0</v>
      </c>
      <c r="L292" s="43">
        <f t="shared" si="31"/>
        <v>0</v>
      </c>
      <c r="M292" s="43">
        <v>0</v>
      </c>
      <c r="N292" s="44">
        <f t="shared" si="32"/>
        <v>34806.338345194526</v>
      </c>
      <c r="O292" s="321">
        <f t="shared" si="33"/>
        <v>193.66165480547352</v>
      </c>
      <c r="P292" s="322">
        <f t="shared" si="34"/>
        <v>35000</v>
      </c>
    </row>
    <row r="293" spans="1:16" x14ac:dyDescent="0.2">
      <c r="A293" s="1">
        <v>290</v>
      </c>
      <c r="B293" s="1" t="s">
        <v>1270</v>
      </c>
      <c r="C293" s="1">
        <v>34000273</v>
      </c>
      <c r="D293" s="1" t="s">
        <v>1271</v>
      </c>
      <c r="E293" s="314">
        <v>2750000</v>
      </c>
      <c r="F293" s="314">
        <v>0</v>
      </c>
      <c r="G293" s="42">
        <f t="shared" si="28"/>
        <v>9.2562984903818641E-4</v>
      </c>
      <c r="H293" s="43">
        <f t="shared" si="29"/>
        <v>34806.338345194526</v>
      </c>
      <c r="I293" s="43">
        <v>480000</v>
      </c>
      <c r="J293" s="43">
        <v>0</v>
      </c>
      <c r="K293" s="42">
        <f t="shared" si="30"/>
        <v>1.3265877900085969E-3</v>
      </c>
      <c r="L293" s="43">
        <f t="shared" si="31"/>
        <v>75987.352068035034</v>
      </c>
      <c r="M293" s="43">
        <v>0</v>
      </c>
      <c r="N293" s="44">
        <f t="shared" si="32"/>
        <v>110793.69041322956</v>
      </c>
      <c r="O293" s="321">
        <f t="shared" si="33"/>
        <v>206.30958677043964</v>
      </c>
      <c r="P293" s="322">
        <f t="shared" si="34"/>
        <v>111000</v>
      </c>
    </row>
    <row r="294" spans="1:16" x14ac:dyDescent="0.2">
      <c r="A294" s="1">
        <v>291</v>
      </c>
      <c r="B294" s="1" t="s">
        <v>1272</v>
      </c>
      <c r="C294" s="1">
        <v>34000088</v>
      </c>
      <c r="D294" s="1" t="s">
        <v>1273</v>
      </c>
      <c r="E294" s="314">
        <v>2750000</v>
      </c>
      <c r="F294" s="314">
        <v>0</v>
      </c>
      <c r="G294" s="42">
        <f t="shared" si="28"/>
        <v>9.2562984903818641E-4</v>
      </c>
      <c r="H294" s="43">
        <f t="shared" si="29"/>
        <v>34806.338345194526</v>
      </c>
      <c r="I294" s="43">
        <v>0</v>
      </c>
      <c r="J294" s="43">
        <v>0</v>
      </c>
      <c r="K294" s="42">
        <f t="shared" si="30"/>
        <v>0</v>
      </c>
      <c r="L294" s="43">
        <f t="shared" si="31"/>
        <v>0</v>
      </c>
      <c r="M294" s="43">
        <v>0</v>
      </c>
      <c r="N294" s="44">
        <f t="shared" si="32"/>
        <v>34806.338345194526</v>
      </c>
      <c r="O294" s="321">
        <f t="shared" si="33"/>
        <v>193.66165480547352</v>
      </c>
      <c r="P294" s="322">
        <f t="shared" si="34"/>
        <v>35000</v>
      </c>
    </row>
    <row r="295" spans="1:16" x14ac:dyDescent="0.2">
      <c r="A295" s="1">
        <v>292</v>
      </c>
      <c r="B295" s="1" t="s">
        <v>1274</v>
      </c>
      <c r="C295" s="1">
        <v>34000121</v>
      </c>
      <c r="D295" s="1" t="s">
        <v>1275</v>
      </c>
      <c r="E295" s="314">
        <v>2750000</v>
      </c>
      <c r="F295" s="314">
        <v>0</v>
      </c>
      <c r="G295" s="42">
        <f t="shared" si="28"/>
        <v>9.2562984903818641E-4</v>
      </c>
      <c r="H295" s="43">
        <f t="shared" si="29"/>
        <v>34806.338345194526</v>
      </c>
      <c r="I295" s="43">
        <v>0</v>
      </c>
      <c r="J295" s="43">
        <v>0</v>
      </c>
      <c r="K295" s="42">
        <f t="shared" si="30"/>
        <v>0</v>
      </c>
      <c r="L295" s="43">
        <f t="shared" si="31"/>
        <v>0</v>
      </c>
      <c r="M295" s="43">
        <v>0</v>
      </c>
      <c r="N295" s="44">
        <f t="shared" si="32"/>
        <v>34806.338345194526</v>
      </c>
      <c r="O295" s="321">
        <f t="shared" si="33"/>
        <v>193.66165480547352</v>
      </c>
      <c r="P295" s="322">
        <f t="shared" si="34"/>
        <v>35000</v>
      </c>
    </row>
    <row r="296" spans="1:16" x14ac:dyDescent="0.2">
      <c r="A296" s="1">
        <v>293</v>
      </c>
      <c r="B296" s="1" t="s">
        <v>1276</v>
      </c>
      <c r="C296" s="1">
        <v>34000254</v>
      </c>
      <c r="D296" s="1" t="s">
        <v>1277</v>
      </c>
      <c r="E296" s="314">
        <v>2350000</v>
      </c>
      <c r="F296" s="314">
        <v>0</v>
      </c>
      <c r="G296" s="42">
        <f t="shared" si="28"/>
        <v>7.9099278008717749E-4</v>
      </c>
      <c r="H296" s="43">
        <f t="shared" si="29"/>
        <v>29743.598222257144</v>
      </c>
      <c r="I296" s="43">
        <v>0</v>
      </c>
      <c r="J296" s="43">
        <v>0</v>
      </c>
      <c r="K296" s="42">
        <f t="shared" si="30"/>
        <v>0</v>
      </c>
      <c r="L296" s="43">
        <f t="shared" si="31"/>
        <v>0</v>
      </c>
      <c r="M296" s="43">
        <v>0</v>
      </c>
      <c r="N296" s="44">
        <f t="shared" si="32"/>
        <v>29743.598222257144</v>
      </c>
      <c r="O296" s="321">
        <f t="shared" si="33"/>
        <v>256.40177774285621</v>
      </c>
      <c r="P296" s="322">
        <f t="shared" si="34"/>
        <v>30000</v>
      </c>
    </row>
    <row r="297" spans="1:16" x14ac:dyDescent="0.2">
      <c r="A297" s="1">
        <v>294</v>
      </c>
      <c r="B297" s="1" t="s">
        <v>1278</v>
      </c>
      <c r="C297" s="1">
        <v>34000789</v>
      </c>
      <c r="D297" s="1" t="s">
        <v>1279</v>
      </c>
      <c r="E297" s="314">
        <v>2350000</v>
      </c>
      <c r="F297" s="314">
        <v>0</v>
      </c>
      <c r="G297" s="42">
        <f t="shared" si="28"/>
        <v>7.9099278008717749E-4</v>
      </c>
      <c r="H297" s="43">
        <f t="shared" si="29"/>
        <v>29743.598222257144</v>
      </c>
      <c r="I297" s="43">
        <v>0</v>
      </c>
      <c r="J297" s="43">
        <v>0</v>
      </c>
      <c r="K297" s="42">
        <f t="shared" si="30"/>
        <v>0</v>
      </c>
      <c r="L297" s="43">
        <f t="shared" si="31"/>
        <v>0</v>
      </c>
      <c r="M297" s="43">
        <v>0</v>
      </c>
      <c r="N297" s="44">
        <f t="shared" si="32"/>
        <v>29743.598222257144</v>
      </c>
      <c r="O297" s="321">
        <f t="shared" si="33"/>
        <v>256.40177774285621</v>
      </c>
      <c r="P297" s="322">
        <f t="shared" si="34"/>
        <v>30000</v>
      </c>
    </row>
    <row r="298" spans="1:16" x14ac:dyDescent="0.2">
      <c r="A298" s="1">
        <v>295</v>
      </c>
      <c r="B298" s="1" t="s">
        <v>1280</v>
      </c>
      <c r="C298" s="1">
        <v>34000962</v>
      </c>
      <c r="D298" s="1" t="s">
        <v>1281</v>
      </c>
      <c r="E298" s="314">
        <v>2150000</v>
      </c>
      <c r="F298" s="314">
        <v>0</v>
      </c>
      <c r="G298" s="42">
        <f t="shared" si="28"/>
        <v>7.2367424561167303E-4</v>
      </c>
      <c r="H298" s="43">
        <f t="shared" si="29"/>
        <v>27212.228160788451</v>
      </c>
      <c r="I298" s="43">
        <v>360000</v>
      </c>
      <c r="J298" s="43">
        <v>0</v>
      </c>
      <c r="K298" s="42">
        <f t="shared" si="30"/>
        <v>9.9494084250644757E-4</v>
      </c>
      <c r="L298" s="43">
        <f t="shared" si="31"/>
        <v>56990.514051026272</v>
      </c>
      <c r="M298" s="43">
        <v>0</v>
      </c>
      <c r="N298" s="44">
        <f t="shared" si="32"/>
        <v>84202.742211814722</v>
      </c>
      <c r="O298" s="321">
        <f t="shared" si="33"/>
        <v>797.2577881852776</v>
      </c>
      <c r="P298" s="322">
        <f t="shared" si="34"/>
        <v>85000</v>
      </c>
    </row>
    <row r="299" spans="1:16" x14ac:dyDescent="0.2">
      <c r="A299" s="1">
        <v>296</v>
      </c>
      <c r="B299" s="1" t="s">
        <v>1282</v>
      </c>
      <c r="C299" s="1">
        <v>34000423</v>
      </c>
      <c r="D299" s="1" t="s">
        <v>1283</v>
      </c>
      <c r="E299" s="314">
        <v>2150000</v>
      </c>
      <c r="F299" s="314">
        <v>0</v>
      </c>
      <c r="G299" s="42">
        <f t="shared" si="28"/>
        <v>7.2367424561167303E-4</v>
      </c>
      <c r="H299" s="43">
        <f t="shared" si="29"/>
        <v>27212.228160788451</v>
      </c>
      <c r="I299" s="43">
        <v>0</v>
      </c>
      <c r="J299" s="43">
        <v>0</v>
      </c>
      <c r="K299" s="42">
        <f t="shared" si="30"/>
        <v>0</v>
      </c>
      <c r="L299" s="43">
        <f t="shared" si="31"/>
        <v>0</v>
      </c>
      <c r="M299" s="43">
        <v>0</v>
      </c>
      <c r="N299" s="44">
        <f t="shared" si="32"/>
        <v>27212.228160788451</v>
      </c>
      <c r="O299" s="321">
        <f t="shared" si="33"/>
        <v>787.77183921154938</v>
      </c>
      <c r="P299" s="322">
        <f t="shared" si="34"/>
        <v>28000</v>
      </c>
    </row>
    <row r="300" spans="1:16" x14ac:dyDescent="0.2">
      <c r="A300" s="1">
        <v>297</v>
      </c>
      <c r="B300" s="1" t="s">
        <v>1284</v>
      </c>
      <c r="C300" s="1">
        <v>34001039</v>
      </c>
      <c r="D300" s="1" t="s">
        <v>1285</v>
      </c>
      <c r="E300" s="314">
        <v>2150000</v>
      </c>
      <c r="F300" s="314">
        <v>0</v>
      </c>
      <c r="G300" s="42">
        <f t="shared" si="28"/>
        <v>7.2367424561167303E-4</v>
      </c>
      <c r="H300" s="43">
        <f t="shared" si="29"/>
        <v>27212.228160788451</v>
      </c>
      <c r="I300" s="43">
        <v>0</v>
      </c>
      <c r="J300" s="43">
        <v>0</v>
      </c>
      <c r="K300" s="42">
        <f t="shared" si="30"/>
        <v>0</v>
      </c>
      <c r="L300" s="43">
        <f t="shared" si="31"/>
        <v>0</v>
      </c>
      <c r="M300" s="43">
        <v>0</v>
      </c>
      <c r="N300" s="44">
        <f t="shared" si="32"/>
        <v>27212.228160788451</v>
      </c>
      <c r="O300" s="321">
        <f t="shared" si="33"/>
        <v>787.77183921154938</v>
      </c>
      <c r="P300" s="322">
        <f t="shared" si="34"/>
        <v>28000</v>
      </c>
    </row>
    <row r="301" spans="1:16" x14ac:dyDescent="0.2">
      <c r="A301" s="1">
        <v>298</v>
      </c>
      <c r="B301" s="1" t="s">
        <v>1286</v>
      </c>
      <c r="C301" s="1">
        <v>34000935</v>
      </c>
      <c r="D301" s="1" t="s">
        <v>1287</v>
      </c>
      <c r="E301" s="314">
        <v>2150000</v>
      </c>
      <c r="F301" s="314">
        <v>0</v>
      </c>
      <c r="G301" s="42">
        <f t="shared" si="28"/>
        <v>7.2367424561167303E-4</v>
      </c>
      <c r="H301" s="43">
        <f t="shared" si="29"/>
        <v>27212.228160788451</v>
      </c>
      <c r="I301" s="43">
        <v>0</v>
      </c>
      <c r="J301" s="43">
        <v>0</v>
      </c>
      <c r="K301" s="42">
        <f t="shared" si="30"/>
        <v>0</v>
      </c>
      <c r="L301" s="43">
        <f t="shared" si="31"/>
        <v>0</v>
      </c>
      <c r="M301" s="43">
        <v>0</v>
      </c>
      <c r="N301" s="44">
        <f t="shared" si="32"/>
        <v>27212.228160788451</v>
      </c>
      <c r="O301" s="321">
        <f t="shared" si="33"/>
        <v>787.77183921154938</v>
      </c>
      <c r="P301" s="322">
        <f t="shared" si="34"/>
        <v>28000</v>
      </c>
    </row>
    <row r="302" spans="1:16" x14ac:dyDescent="0.2">
      <c r="A302" s="1">
        <v>299</v>
      </c>
      <c r="B302" s="1" t="s">
        <v>1288</v>
      </c>
      <c r="C302" s="1">
        <v>34001033</v>
      </c>
      <c r="D302" s="1" t="s">
        <v>1289</v>
      </c>
      <c r="E302" s="314">
        <v>2150000</v>
      </c>
      <c r="F302" s="314">
        <v>0</v>
      </c>
      <c r="G302" s="42">
        <f t="shared" si="28"/>
        <v>7.2367424561167303E-4</v>
      </c>
      <c r="H302" s="43">
        <f t="shared" si="29"/>
        <v>27212.228160788451</v>
      </c>
      <c r="I302" s="43">
        <v>0</v>
      </c>
      <c r="J302" s="43">
        <v>0</v>
      </c>
      <c r="K302" s="42">
        <f t="shared" si="30"/>
        <v>0</v>
      </c>
      <c r="L302" s="43">
        <f t="shared" si="31"/>
        <v>0</v>
      </c>
      <c r="M302" s="43">
        <v>0</v>
      </c>
      <c r="N302" s="44">
        <f t="shared" si="32"/>
        <v>27212.228160788451</v>
      </c>
      <c r="O302" s="321">
        <f t="shared" si="33"/>
        <v>787.77183921154938</v>
      </c>
      <c r="P302" s="322">
        <f t="shared" si="34"/>
        <v>28000</v>
      </c>
    </row>
    <row r="303" spans="1:16" x14ac:dyDescent="0.2">
      <c r="A303" s="1">
        <v>300</v>
      </c>
      <c r="B303" s="1" t="s">
        <v>1290</v>
      </c>
      <c r="C303" s="1">
        <v>34001074</v>
      </c>
      <c r="D303" s="1" t="s">
        <v>1291</v>
      </c>
      <c r="E303" s="314">
        <v>2150000</v>
      </c>
      <c r="F303" s="314">
        <v>0</v>
      </c>
      <c r="G303" s="42">
        <f t="shared" si="28"/>
        <v>7.2367424561167303E-4</v>
      </c>
      <c r="H303" s="43">
        <f t="shared" si="29"/>
        <v>27212.228160788451</v>
      </c>
      <c r="I303" s="43">
        <v>0</v>
      </c>
      <c r="J303" s="43">
        <v>0</v>
      </c>
      <c r="K303" s="42">
        <f t="shared" si="30"/>
        <v>0</v>
      </c>
      <c r="L303" s="43">
        <f t="shared" si="31"/>
        <v>0</v>
      </c>
      <c r="M303" s="43">
        <v>8000</v>
      </c>
      <c r="N303" s="44">
        <f t="shared" si="32"/>
        <v>35212.228160788451</v>
      </c>
      <c r="O303" s="321">
        <f t="shared" si="33"/>
        <v>787.77183921154938</v>
      </c>
      <c r="P303" s="322">
        <f t="shared" si="34"/>
        <v>36000</v>
      </c>
    </row>
    <row r="304" spans="1:16" x14ac:dyDescent="0.2">
      <c r="A304" s="1">
        <v>301</v>
      </c>
      <c r="B304" s="1" t="s">
        <v>1292</v>
      </c>
      <c r="C304" s="1">
        <v>34000946</v>
      </c>
      <c r="D304" s="1" t="s">
        <v>1293</v>
      </c>
      <c r="E304" s="314">
        <v>2150000</v>
      </c>
      <c r="F304" s="314">
        <v>0</v>
      </c>
      <c r="G304" s="42">
        <f t="shared" si="28"/>
        <v>7.2367424561167303E-4</v>
      </c>
      <c r="H304" s="43">
        <f t="shared" si="29"/>
        <v>27212.228160788451</v>
      </c>
      <c r="I304" s="43">
        <v>0</v>
      </c>
      <c r="J304" s="43">
        <v>0</v>
      </c>
      <c r="K304" s="42">
        <f t="shared" si="30"/>
        <v>0</v>
      </c>
      <c r="L304" s="43">
        <f t="shared" si="31"/>
        <v>0</v>
      </c>
      <c r="M304" s="43">
        <v>0</v>
      </c>
      <c r="N304" s="44">
        <f t="shared" si="32"/>
        <v>27212.228160788451</v>
      </c>
      <c r="O304" s="321">
        <f t="shared" si="33"/>
        <v>787.77183921154938</v>
      </c>
      <c r="P304" s="322">
        <f t="shared" si="34"/>
        <v>28000</v>
      </c>
    </row>
    <row r="305" spans="1:16" x14ac:dyDescent="0.2">
      <c r="A305" s="1">
        <v>302</v>
      </c>
      <c r="B305" s="1" t="s">
        <v>1294</v>
      </c>
      <c r="C305" s="1">
        <v>34001031</v>
      </c>
      <c r="D305" s="1" t="s">
        <v>1295</v>
      </c>
      <c r="E305" s="314">
        <v>2150000</v>
      </c>
      <c r="F305" s="314">
        <v>0</v>
      </c>
      <c r="G305" s="42">
        <f t="shared" si="28"/>
        <v>7.2367424561167303E-4</v>
      </c>
      <c r="H305" s="43">
        <f t="shared" si="29"/>
        <v>27212.228160788451</v>
      </c>
      <c r="I305" s="43">
        <v>0</v>
      </c>
      <c r="J305" s="43">
        <v>0</v>
      </c>
      <c r="K305" s="42">
        <f t="shared" si="30"/>
        <v>0</v>
      </c>
      <c r="L305" s="43">
        <f t="shared" si="31"/>
        <v>0</v>
      </c>
      <c r="M305" s="43">
        <v>0</v>
      </c>
      <c r="N305" s="44">
        <f t="shared" si="32"/>
        <v>27212.228160788451</v>
      </c>
      <c r="O305" s="321">
        <f t="shared" si="33"/>
        <v>787.77183921154938</v>
      </c>
      <c r="P305" s="322">
        <f t="shared" si="34"/>
        <v>28000</v>
      </c>
    </row>
    <row r="306" spans="1:16" x14ac:dyDescent="0.2">
      <c r="A306" s="1">
        <v>303</v>
      </c>
      <c r="B306" s="1" t="s">
        <v>1296</v>
      </c>
      <c r="C306" s="1">
        <v>34000930</v>
      </c>
      <c r="D306" s="1" t="s">
        <v>1297</v>
      </c>
      <c r="E306" s="314">
        <v>1950000</v>
      </c>
      <c r="F306" s="314">
        <v>0</v>
      </c>
      <c r="G306" s="42">
        <f t="shared" si="28"/>
        <v>6.5635571113616857E-4</v>
      </c>
      <c r="H306" s="43">
        <f t="shared" si="29"/>
        <v>24680.858099319757</v>
      </c>
      <c r="I306" s="43">
        <v>0</v>
      </c>
      <c r="J306" s="43">
        <v>0</v>
      </c>
      <c r="K306" s="42">
        <f t="shared" si="30"/>
        <v>0</v>
      </c>
      <c r="L306" s="43">
        <f t="shared" si="31"/>
        <v>0</v>
      </c>
      <c r="M306" s="43">
        <v>0</v>
      </c>
      <c r="N306" s="44">
        <f t="shared" si="32"/>
        <v>24680.858099319757</v>
      </c>
      <c r="O306" s="321">
        <f t="shared" si="33"/>
        <v>319.14190068024254</v>
      </c>
      <c r="P306" s="322">
        <f t="shared" si="34"/>
        <v>25000</v>
      </c>
    </row>
    <row r="307" spans="1:16" x14ac:dyDescent="0.2">
      <c r="A307" s="1">
        <v>304</v>
      </c>
      <c r="B307" s="1" t="s">
        <v>1298</v>
      </c>
      <c r="C307" s="1">
        <v>34000067</v>
      </c>
      <c r="D307" s="1" t="s">
        <v>1299</v>
      </c>
      <c r="E307" s="314">
        <v>1750000</v>
      </c>
      <c r="F307" s="314">
        <v>0</v>
      </c>
      <c r="G307" s="42">
        <f t="shared" si="28"/>
        <v>5.8903717666066412E-4</v>
      </c>
      <c r="H307" s="43">
        <f t="shared" si="29"/>
        <v>22149.488037851064</v>
      </c>
      <c r="I307" s="43">
        <v>840000</v>
      </c>
      <c r="J307" s="43">
        <v>0</v>
      </c>
      <c r="K307" s="42">
        <f t="shared" si="30"/>
        <v>2.3215286325150445E-3</v>
      </c>
      <c r="L307" s="43">
        <f t="shared" si="31"/>
        <v>132977.86611906131</v>
      </c>
      <c r="M307" s="43">
        <v>0</v>
      </c>
      <c r="N307" s="44">
        <f t="shared" si="32"/>
        <v>155127.35415691236</v>
      </c>
      <c r="O307" s="321">
        <f t="shared" si="33"/>
        <v>872.64584308763733</v>
      </c>
      <c r="P307" s="322">
        <f t="shared" si="34"/>
        <v>156000</v>
      </c>
    </row>
    <row r="308" spans="1:16" x14ac:dyDescent="0.2">
      <c r="A308" s="1">
        <v>305</v>
      </c>
      <c r="B308" s="1" t="s">
        <v>1300</v>
      </c>
      <c r="C308" s="1">
        <v>34001014</v>
      </c>
      <c r="D308" s="1" t="s">
        <v>1301</v>
      </c>
      <c r="E308" s="314">
        <v>1550000</v>
      </c>
      <c r="F308" s="314">
        <v>0</v>
      </c>
      <c r="G308" s="42">
        <f t="shared" si="28"/>
        <v>5.2171864218515966E-4</v>
      </c>
      <c r="H308" s="43">
        <f t="shared" si="29"/>
        <v>19618.117976382371</v>
      </c>
      <c r="I308" s="43">
        <v>0</v>
      </c>
      <c r="J308" s="43">
        <v>0</v>
      </c>
      <c r="K308" s="42">
        <f t="shared" si="30"/>
        <v>0</v>
      </c>
      <c r="L308" s="43">
        <f t="shared" si="31"/>
        <v>0</v>
      </c>
      <c r="M308" s="43">
        <v>0</v>
      </c>
      <c r="N308" s="44">
        <f t="shared" si="32"/>
        <v>19618.117976382371</v>
      </c>
      <c r="O308" s="321">
        <f t="shared" si="33"/>
        <v>381.88202361762887</v>
      </c>
      <c r="P308" s="322">
        <f t="shared" si="34"/>
        <v>20000</v>
      </c>
    </row>
    <row r="309" spans="1:16" x14ac:dyDescent="0.2">
      <c r="A309" s="1">
        <v>306</v>
      </c>
      <c r="B309" s="1" t="s">
        <v>1302</v>
      </c>
      <c r="C309" s="1">
        <v>34001061</v>
      </c>
      <c r="D309" s="1" t="s">
        <v>1303</v>
      </c>
      <c r="E309" s="314">
        <v>1550000</v>
      </c>
      <c r="F309" s="314">
        <v>0</v>
      </c>
      <c r="G309" s="42">
        <f t="shared" si="28"/>
        <v>5.2171864218515966E-4</v>
      </c>
      <c r="H309" s="43">
        <f t="shared" si="29"/>
        <v>19618.117976382371</v>
      </c>
      <c r="I309" s="43">
        <v>0</v>
      </c>
      <c r="J309" s="43">
        <v>0</v>
      </c>
      <c r="K309" s="42">
        <f t="shared" si="30"/>
        <v>0</v>
      </c>
      <c r="L309" s="43">
        <f t="shared" si="31"/>
        <v>0</v>
      </c>
      <c r="M309" s="43">
        <v>0</v>
      </c>
      <c r="N309" s="44">
        <f t="shared" si="32"/>
        <v>19618.117976382371</v>
      </c>
      <c r="O309" s="321">
        <f t="shared" si="33"/>
        <v>381.88202361762887</v>
      </c>
      <c r="P309" s="322">
        <f t="shared" si="34"/>
        <v>20000</v>
      </c>
    </row>
    <row r="310" spans="1:16" x14ac:dyDescent="0.2">
      <c r="A310" s="1">
        <v>307</v>
      </c>
      <c r="B310" s="1" t="s">
        <v>1304</v>
      </c>
      <c r="C310" s="1">
        <v>34001068</v>
      </c>
      <c r="D310" s="1" t="s">
        <v>1305</v>
      </c>
      <c r="E310" s="314">
        <v>1550000</v>
      </c>
      <c r="F310" s="314">
        <v>0</v>
      </c>
      <c r="G310" s="42">
        <f t="shared" si="28"/>
        <v>5.2171864218515966E-4</v>
      </c>
      <c r="H310" s="43">
        <f t="shared" si="29"/>
        <v>19618.117976382371</v>
      </c>
      <c r="I310" s="43">
        <v>0</v>
      </c>
      <c r="J310" s="43">
        <v>0</v>
      </c>
      <c r="K310" s="42">
        <f t="shared" si="30"/>
        <v>0</v>
      </c>
      <c r="L310" s="43">
        <f t="shared" si="31"/>
        <v>0</v>
      </c>
      <c r="M310" s="43">
        <v>0</v>
      </c>
      <c r="N310" s="44">
        <f t="shared" si="32"/>
        <v>19618.117976382371</v>
      </c>
      <c r="O310" s="321">
        <f t="shared" si="33"/>
        <v>381.88202361762887</v>
      </c>
      <c r="P310" s="322">
        <f t="shared" si="34"/>
        <v>20000</v>
      </c>
    </row>
    <row r="311" spans="1:16" x14ac:dyDescent="0.2">
      <c r="A311" s="1">
        <v>308</v>
      </c>
      <c r="B311" s="1" t="s">
        <v>1306</v>
      </c>
      <c r="C311" s="1">
        <v>34000322</v>
      </c>
      <c r="D311" s="1" t="s">
        <v>1307</v>
      </c>
      <c r="E311" s="314">
        <v>1350000</v>
      </c>
      <c r="F311" s="314">
        <v>0</v>
      </c>
      <c r="G311" s="42">
        <f t="shared" si="28"/>
        <v>4.5440010770965515E-4</v>
      </c>
      <c r="H311" s="43">
        <f t="shared" si="29"/>
        <v>17086.747914913678</v>
      </c>
      <c r="I311" s="43">
        <v>0</v>
      </c>
      <c r="J311" s="43">
        <v>0</v>
      </c>
      <c r="K311" s="42">
        <f t="shared" si="30"/>
        <v>0</v>
      </c>
      <c r="L311" s="43">
        <f t="shared" si="31"/>
        <v>0</v>
      </c>
      <c r="M311" s="43">
        <v>0</v>
      </c>
      <c r="N311" s="44">
        <f t="shared" si="32"/>
        <v>17086.747914913678</v>
      </c>
      <c r="O311" s="321">
        <f t="shared" si="33"/>
        <v>913.25208508632204</v>
      </c>
      <c r="P311" s="322">
        <f t="shared" si="34"/>
        <v>18000</v>
      </c>
    </row>
    <row r="312" spans="1:16" x14ac:dyDescent="0.2">
      <c r="A312" s="1">
        <v>309</v>
      </c>
      <c r="B312" s="1" t="s">
        <v>1308</v>
      </c>
      <c r="C312" s="1">
        <v>34000991</v>
      </c>
      <c r="D312" s="1" t="s">
        <v>1309</v>
      </c>
      <c r="E312" s="314">
        <v>1150000</v>
      </c>
      <c r="F312" s="314">
        <v>0</v>
      </c>
      <c r="G312" s="42">
        <f t="shared" si="28"/>
        <v>3.8708157323415069E-4</v>
      </c>
      <c r="H312" s="43">
        <f t="shared" si="29"/>
        <v>14555.377853444985</v>
      </c>
      <c r="I312" s="43">
        <v>0</v>
      </c>
      <c r="J312" s="43">
        <v>0</v>
      </c>
      <c r="K312" s="42">
        <f t="shared" si="30"/>
        <v>0</v>
      </c>
      <c r="L312" s="43">
        <f t="shared" si="31"/>
        <v>0</v>
      </c>
      <c r="M312" s="43">
        <v>0</v>
      </c>
      <c r="N312" s="44">
        <f t="shared" si="32"/>
        <v>14555.377853444985</v>
      </c>
      <c r="O312" s="321">
        <f t="shared" si="33"/>
        <v>444.62214655501521</v>
      </c>
      <c r="P312" s="322">
        <f t="shared" si="34"/>
        <v>15000</v>
      </c>
    </row>
    <row r="313" spans="1:16" x14ac:dyDescent="0.2">
      <c r="A313" s="1">
        <v>310</v>
      </c>
      <c r="B313" s="1" t="s">
        <v>1310</v>
      </c>
      <c r="C313" s="1">
        <v>34000949</v>
      </c>
      <c r="D313" s="1" t="s">
        <v>1311</v>
      </c>
      <c r="E313" s="314">
        <v>950000</v>
      </c>
      <c r="F313" s="314">
        <v>0</v>
      </c>
      <c r="G313" s="42">
        <f t="shared" si="28"/>
        <v>3.1976303875864623E-4</v>
      </c>
      <c r="H313" s="43">
        <f t="shared" si="29"/>
        <v>12024.007791976292</v>
      </c>
      <c r="I313" s="43">
        <v>60000</v>
      </c>
      <c r="J313" s="43">
        <v>0</v>
      </c>
      <c r="K313" s="42">
        <f t="shared" si="30"/>
        <v>1.6582347375107461E-4</v>
      </c>
      <c r="L313" s="43">
        <f t="shared" si="31"/>
        <v>9498.4190085043792</v>
      </c>
      <c r="M313" s="43">
        <v>0</v>
      </c>
      <c r="N313" s="44">
        <f t="shared" si="32"/>
        <v>21522.426800480673</v>
      </c>
      <c r="O313" s="321">
        <f t="shared" si="33"/>
        <v>477.57319951932732</v>
      </c>
      <c r="P313" s="322">
        <f t="shared" si="34"/>
        <v>22000</v>
      </c>
    </row>
    <row r="314" spans="1:16" x14ac:dyDescent="0.2">
      <c r="A314" s="1">
        <v>311</v>
      </c>
      <c r="B314" s="1" t="s">
        <v>1312</v>
      </c>
      <c r="C314" s="1">
        <v>34001098</v>
      </c>
      <c r="D314" s="1" t="s">
        <v>1313</v>
      </c>
      <c r="E314" s="314">
        <v>950000</v>
      </c>
      <c r="F314" s="314">
        <v>0</v>
      </c>
      <c r="G314" s="42">
        <f t="shared" si="28"/>
        <v>3.1976303875864623E-4</v>
      </c>
      <c r="H314" s="43">
        <f t="shared" si="29"/>
        <v>12024.007791976292</v>
      </c>
      <c r="I314" s="43">
        <v>0</v>
      </c>
      <c r="J314" s="43">
        <v>0</v>
      </c>
      <c r="K314" s="42">
        <f t="shared" si="30"/>
        <v>0</v>
      </c>
      <c r="L314" s="43">
        <f t="shared" si="31"/>
        <v>0</v>
      </c>
      <c r="M314" s="43">
        <v>0</v>
      </c>
      <c r="N314" s="44">
        <f t="shared" si="32"/>
        <v>12024.007791976292</v>
      </c>
      <c r="O314" s="321">
        <f t="shared" si="33"/>
        <v>975.99220802370837</v>
      </c>
      <c r="P314" s="322">
        <f t="shared" si="34"/>
        <v>13000</v>
      </c>
    </row>
    <row r="315" spans="1:16" x14ac:dyDescent="0.2">
      <c r="A315" s="1">
        <v>312</v>
      </c>
      <c r="B315" s="1" t="s">
        <v>1314</v>
      </c>
      <c r="C315" s="1">
        <v>34001094</v>
      </c>
      <c r="D315" s="1" t="s">
        <v>1315</v>
      </c>
      <c r="E315" s="314">
        <v>950000</v>
      </c>
      <c r="F315" s="314">
        <v>0</v>
      </c>
      <c r="G315" s="42">
        <f t="shared" si="28"/>
        <v>3.1976303875864623E-4</v>
      </c>
      <c r="H315" s="43">
        <f t="shared" si="29"/>
        <v>12024.007791976292</v>
      </c>
      <c r="I315" s="43">
        <v>0</v>
      </c>
      <c r="J315" s="43">
        <v>0</v>
      </c>
      <c r="K315" s="42">
        <f t="shared" si="30"/>
        <v>0</v>
      </c>
      <c r="L315" s="43">
        <f t="shared" si="31"/>
        <v>0</v>
      </c>
      <c r="M315" s="43">
        <v>8000</v>
      </c>
      <c r="N315" s="44">
        <f t="shared" si="32"/>
        <v>20024.007791976292</v>
      </c>
      <c r="O315" s="321">
        <f t="shared" si="33"/>
        <v>975.99220802370837</v>
      </c>
      <c r="P315" s="322">
        <f t="shared" si="34"/>
        <v>21000</v>
      </c>
    </row>
    <row r="316" spans="1:16" x14ac:dyDescent="0.2">
      <c r="A316" s="1">
        <v>313</v>
      </c>
      <c r="B316" s="1" t="s">
        <v>1316</v>
      </c>
      <c r="C316" s="1">
        <v>34001008</v>
      </c>
      <c r="D316" s="1" t="s">
        <v>1317</v>
      </c>
      <c r="E316" s="314">
        <v>950000</v>
      </c>
      <c r="F316" s="314">
        <v>0</v>
      </c>
      <c r="G316" s="42">
        <f t="shared" si="28"/>
        <v>3.1976303875864623E-4</v>
      </c>
      <c r="H316" s="43">
        <f t="shared" si="29"/>
        <v>12024.007791976292</v>
      </c>
      <c r="I316" s="43">
        <v>0</v>
      </c>
      <c r="J316" s="43">
        <v>0</v>
      </c>
      <c r="K316" s="42">
        <f t="shared" si="30"/>
        <v>0</v>
      </c>
      <c r="L316" s="43">
        <f t="shared" si="31"/>
        <v>0</v>
      </c>
      <c r="M316" s="43">
        <v>0</v>
      </c>
      <c r="N316" s="44">
        <f t="shared" si="32"/>
        <v>12024.007791976292</v>
      </c>
      <c r="O316" s="321">
        <f t="shared" si="33"/>
        <v>975.99220802370837</v>
      </c>
      <c r="P316" s="322">
        <f t="shared" si="34"/>
        <v>13000</v>
      </c>
    </row>
    <row r="317" spans="1:16" x14ac:dyDescent="0.2">
      <c r="A317" s="1">
        <v>314</v>
      </c>
      <c r="B317" s="1" t="s">
        <v>1318</v>
      </c>
      <c r="C317" s="1">
        <v>34001057</v>
      </c>
      <c r="D317" s="1" t="s">
        <v>1319</v>
      </c>
      <c r="E317" s="314">
        <v>950000</v>
      </c>
      <c r="F317" s="314">
        <v>0</v>
      </c>
      <c r="G317" s="42">
        <f t="shared" si="28"/>
        <v>3.1976303875864623E-4</v>
      </c>
      <c r="H317" s="43">
        <f t="shared" si="29"/>
        <v>12024.007791976292</v>
      </c>
      <c r="I317" s="43">
        <v>0</v>
      </c>
      <c r="J317" s="43">
        <v>0</v>
      </c>
      <c r="K317" s="42">
        <f t="shared" si="30"/>
        <v>0</v>
      </c>
      <c r="L317" s="43">
        <f t="shared" si="31"/>
        <v>0</v>
      </c>
      <c r="M317" s="43">
        <v>0</v>
      </c>
      <c r="N317" s="44">
        <f t="shared" si="32"/>
        <v>12024.007791976292</v>
      </c>
      <c r="O317" s="321">
        <f t="shared" si="33"/>
        <v>975.99220802370837</v>
      </c>
      <c r="P317" s="322">
        <f t="shared" si="34"/>
        <v>13000</v>
      </c>
    </row>
    <row r="318" spans="1:16" x14ac:dyDescent="0.2">
      <c r="A318" s="1">
        <v>315</v>
      </c>
      <c r="B318" s="1" t="s">
        <v>1320</v>
      </c>
      <c r="C318" s="1">
        <v>34000477</v>
      </c>
      <c r="D318" s="1" t="s">
        <v>1321</v>
      </c>
      <c r="E318" s="314">
        <v>950000</v>
      </c>
      <c r="F318" s="314">
        <v>0</v>
      </c>
      <c r="G318" s="42">
        <f t="shared" si="28"/>
        <v>3.1976303875864623E-4</v>
      </c>
      <c r="H318" s="43">
        <f t="shared" si="29"/>
        <v>12024.007791976292</v>
      </c>
      <c r="I318" s="43">
        <v>0</v>
      </c>
      <c r="J318" s="43">
        <v>0</v>
      </c>
      <c r="K318" s="42">
        <f t="shared" si="30"/>
        <v>0</v>
      </c>
      <c r="L318" s="43">
        <f t="shared" si="31"/>
        <v>0</v>
      </c>
      <c r="M318" s="43">
        <v>0</v>
      </c>
      <c r="N318" s="44">
        <f t="shared" si="32"/>
        <v>12024.007791976292</v>
      </c>
      <c r="O318" s="321">
        <f t="shared" si="33"/>
        <v>975.99220802370837</v>
      </c>
      <c r="P318" s="322">
        <f t="shared" si="34"/>
        <v>13000</v>
      </c>
    </row>
    <row r="319" spans="1:16" x14ac:dyDescent="0.2">
      <c r="A319" s="1">
        <v>316</v>
      </c>
      <c r="B319" s="1" t="s">
        <v>1322</v>
      </c>
      <c r="C319" s="1">
        <v>34000956</v>
      </c>
      <c r="D319" s="1" t="s">
        <v>1323</v>
      </c>
      <c r="E319" s="314">
        <v>550000</v>
      </c>
      <c r="F319" s="314">
        <v>0</v>
      </c>
      <c r="G319" s="42">
        <f t="shared" si="28"/>
        <v>1.8512596980763729E-4</v>
      </c>
      <c r="H319" s="43">
        <f t="shared" si="29"/>
        <v>6961.2676690389062</v>
      </c>
      <c r="I319" s="43">
        <v>0</v>
      </c>
      <c r="J319" s="43">
        <v>0</v>
      </c>
      <c r="K319" s="42">
        <f t="shared" si="30"/>
        <v>0</v>
      </c>
      <c r="L319" s="43">
        <f t="shared" si="31"/>
        <v>0</v>
      </c>
      <c r="M319" s="43">
        <v>0</v>
      </c>
      <c r="N319" s="44">
        <f t="shared" si="32"/>
        <v>6961.2676690389062</v>
      </c>
      <c r="O319" s="321">
        <f t="shared" si="33"/>
        <v>38.732330961093794</v>
      </c>
      <c r="P319" s="322">
        <f t="shared" si="34"/>
        <v>7000</v>
      </c>
    </row>
    <row r="320" spans="1:16" x14ac:dyDescent="0.2">
      <c r="A320" s="1">
        <v>317</v>
      </c>
      <c r="B320" s="1" t="s">
        <v>1324</v>
      </c>
      <c r="C320" s="1">
        <v>34000779</v>
      </c>
      <c r="D320" s="1" t="s">
        <v>1325</v>
      </c>
      <c r="E320" s="314">
        <v>350000</v>
      </c>
      <c r="F320" s="314">
        <v>0</v>
      </c>
      <c r="G320" s="42">
        <f t="shared" si="28"/>
        <v>1.1780743533213282E-4</v>
      </c>
      <c r="H320" s="43">
        <f t="shared" si="29"/>
        <v>4429.897607570213</v>
      </c>
      <c r="I320" s="43">
        <v>0</v>
      </c>
      <c r="J320" s="43">
        <v>0</v>
      </c>
      <c r="K320" s="42">
        <f t="shared" si="30"/>
        <v>0</v>
      </c>
      <c r="L320" s="43">
        <f t="shared" si="31"/>
        <v>0</v>
      </c>
      <c r="M320" s="43">
        <v>0</v>
      </c>
      <c r="N320" s="44">
        <f t="shared" si="32"/>
        <v>4429.897607570213</v>
      </c>
      <c r="O320" s="321">
        <f t="shared" si="33"/>
        <v>570.10239242978696</v>
      </c>
      <c r="P320" s="322">
        <f t="shared" si="34"/>
        <v>5000</v>
      </c>
    </row>
    <row r="321" spans="1:16" x14ac:dyDescent="0.2">
      <c r="A321" s="1">
        <v>318</v>
      </c>
      <c r="B321" s="1" t="s">
        <v>1326</v>
      </c>
      <c r="C321" s="1">
        <v>34000214</v>
      </c>
      <c r="D321" s="1" t="s">
        <v>1327</v>
      </c>
      <c r="E321" s="314">
        <v>350000</v>
      </c>
      <c r="F321" s="314">
        <v>0</v>
      </c>
      <c r="G321" s="42">
        <f t="shared" si="28"/>
        <v>1.1780743533213282E-4</v>
      </c>
      <c r="H321" s="43">
        <f t="shared" si="29"/>
        <v>4429.897607570213</v>
      </c>
      <c r="I321" s="43">
        <v>0</v>
      </c>
      <c r="J321" s="43">
        <v>0</v>
      </c>
      <c r="K321" s="42">
        <f t="shared" si="30"/>
        <v>0</v>
      </c>
      <c r="L321" s="43">
        <f t="shared" si="31"/>
        <v>0</v>
      </c>
      <c r="M321" s="43">
        <v>0</v>
      </c>
      <c r="N321" s="44">
        <f t="shared" si="32"/>
        <v>4429.897607570213</v>
      </c>
      <c r="O321" s="321">
        <f t="shared" si="33"/>
        <v>570.10239242978696</v>
      </c>
      <c r="P321" s="322">
        <f t="shared" si="34"/>
        <v>5000</v>
      </c>
    </row>
    <row r="322" spans="1:16" ht="15" x14ac:dyDescent="0.2">
      <c r="A322" s="1">
        <v>319</v>
      </c>
      <c r="B322" s="140" t="s">
        <v>1328</v>
      </c>
      <c r="C322" s="141" t="s">
        <v>1329</v>
      </c>
      <c r="D322" s="313" t="s">
        <v>1330</v>
      </c>
      <c r="E322" s="314">
        <v>1950000</v>
      </c>
      <c r="F322" s="314">
        <v>0</v>
      </c>
      <c r="G322" s="42">
        <f t="shared" si="28"/>
        <v>6.5635571113616857E-4</v>
      </c>
      <c r="H322" s="43">
        <f t="shared" si="29"/>
        <v>24680.858099319757</v>
      </c>
      <c r="I322" s="43">
        <v>0</v>
      </c>
      <c r="J322" s="43">
        <v>0</v>
      </c>
      <c r="K322" s="42">
        <f t="shared" si="30"/>
        <v>0</v>
      </c>
      <c r="L322" s="43">
        <f t="shared" si="31"/>
        <v>0</v>
      </c>
      <c r="M322" s="43">
        <v>0</v>
      </c>
      <c r="N322" s="44">
        <f t="shared" si="32"/>
        <v>24680.858099319757</v>
      </c>
      <c r="O322" s="321">
        <f t="shared" si="33"/>
        <v>319.14190068024254</v>
      </c>
      <c r="P322" s="322">
        <f t="shared" si="34"/>
        <v>25000</v>
      </c>
    </row>
    <row r="323" spans="1:16" ht="15" x14ac:dyDescent="0.2">
      <c r="A323" s="1">
        <v>320</v>
      </c>
      <c r="B323" s="140" t="s">
        <v>1331</v>
      </c>
      <c r="C323" s="141" t="s">
        <v>1329</v>
      </c>
      <c r="D323" s="313" t="s">
        <v>1332</v>
      </c>
      <c r="E323" s="314">
        <v>1950000</v>
      </c>
      <c r="F323" s="314">
        <v>0</v>
      </c>
      <c r="G323" s="42">
        <f t="shared" si="28"/>
        <v>6.5635571113616857E-4</v>
      </c>
      <c r="H323" s="43">
        <f t="shared" si="29"/>
        <v>24680.858099319757</v>
      </c>
      <c r="I323" s="43">
        <v>0</v>
      </c>
      <c r="J323" s="43">
        <v>0</v>
      </c>
      <c r="K323" s="42">
        <f t="shared" si="30"/>
        <v>0</v>
      </c>
      <c r="L323" s="43">
        <f t="shared" si="31"/>
        <v>0</v>
      </c>
      <c r="M323" s="43">
        <v>0</v>
      </c>
      <c r="N323" s="44">
        <f t="shared" si="32"/>
        <v>24680.858099319757</v>
      </c>
      <c r="O323" s="321">
        <f t="shared" si="33"/>
        <v>319.14190068024254</v>
      </c>
      <c r="P323" s="322">
        <f t="shared" si="34"/>
        <v>25000</v>
      </c>
    </row>
    <row r="324" spans="1:16" x14ac:dyDescent="0.2">
      <c r="A324" s="1">
        <v>321</v>
      </c>
      <c r="B324" s="140" t="s">
        <v>1333</v>
      </c>
      <c r="C324" s="140" t="s">
        <v>1334</v>
      </c>
      <c r="D324" s="142" t="s">
        <v>784</v>
      </c>
      <c r="E324" s="314">
        <v>1950000</v>
      </c>
      <c r="F324" s="314">
        <v>0</v>
      </c>
      <c r="G324" s="42">
        <f t="shared" ref="G324:G344" si="35">(E324+F324)/$E$346</f>
        <v>6.5635571113616857E-4</v>
      </c>
      <c r="H324" s="43">
        <f t="shared" ref="H324:H344" si="36">G324*$H$3</f>
        <v>24680.858099319757</v>
      </c>
      <c r="I324" s="43">
        <v>0</v>
      </c>
      <c r="J324" s="43">
        <v>0</v>
      </c>
      <c r="K324" s="42">
        <f t="shared" ref="K324:K344" si="37">(I324+J324)/($I$345+$J$345)</f>
        <v>0</v>
      </c>
      <c r="L324" s="43">
        <f t="shared" ref="L324:L344" si="38">K324*$L$3</f>
        <v>0</v>
      </c>
      <c r="M324" s="43">
        <v>0</v>
      </c>
      <c r="N324" s="44">
        <f t="shared" si="32"/>
        <v>24680.858099319757</v>
      </c>
      <c r="O324" s="321">
        <f t="shared" si="33"/>
        <v>319.14190068024254</v>
      </c>
      <c r="P324" s="322">
        <f t="shared" si="34"/>
        <v>25000</v>
      </c>
    </row>
    <row r="325" spans="1:16" x14ac:dyDescent="0.2">
      <c r="A325" s="1">
        <v>322</v>
      </c>
      <c r="B325" s="140" t="s">
        <v>1335</v>
      </c>
      <c r="C325" s="140" t="s">
        <v>1329</v>
      </c>
      <c r="D325" s="142" t="s">
        <v>1336</v>
      </c>
      <c r="E325" s="314">
        <v>1750000</v>
      </c>
      <c r="F325" s="314">
        <v>0</v>
      </c>
      <c r="G325" s="42">
        <f t="shared" si="35"/>
        <v>5.8903717666066412E-4</v>
      </c>
      <c r="H325" s="43">
        <f t="shared" si="36"/>
        <v>22149.488037851064</v>
      </c>
      <c r="I325" s="43">
        <v>0</v>
      </c>
      <c r="J325" s="43">
        <v>0</v>
      </c>
      <c r="K325" s="42">
        <f t="shared" si="37"/>
        <v>0</v>
      </c>
      <c r="L325" s="43">
        <f t="shared" si="38"/>
        <v>0</v>
      </c>
      <c r="M325" s="43">
        <v>0</v>
      </c>
      <c r="N325" s="44">
        <f t="shared" ref="N325:N344" si="39">H325+L325+M325</f>
        <v>22149.488037851064</v>
      </c>
      <c r="O325" s="321">
        <f t="shared" ref="O325:O344" si="40">P325-N325</f>
        <v>850.51196214893571</v>
      </c>
      <c r="P325" s="322">
        <f t="shared" ref="P325:P344" si="41">ROUNDUP(N325,-3)</f>
        <v>23000</v>
      </c>
    </row>
    <row r="326" spans="1:16" x14ac:dyDescent="0.2">
      <c r="A326" s="1">
        <v>323</v>
      </c>
      <c r="B326" s="140" t="s">
        <v>1337</v>
      </c>
      <c r="C326" s="140" t="s">
        <v>1329</v>
      </c>
      <c r="D326" s="142" t="s">
        <v>1338</v>
      </c>
      <c r="E326" s="314">
        <v>1750000</v>
      </c>
      <c r="F326" s="314">
        <v>0</v>
      </c>
      <c r="G326" s="42">
        <f t="shared" si="35"/>
        <v>5.8903717666066412E-4</v>
      </c>
      <c r="H326" s="43">
        <f t="shared" si="36"/>
        <v>22149.488037851064</v>
      </c>
      <c r="I326" s="43">
        <v>0</v>
      </c>
      <c r="J326" s="43">
        <v>0</v>
      </c>
      <c r="K326" s="42">
        <f t="shared" si="37"/>
        <v>0</v>
      </c>
      <c r="L326" s="43">
        <f t="shared" si="38"/>
        <v>0</v>
      </c>
      <c r="M326" s="43">
        <v>0</v>
      </c>
      <c r="N326" s="44">
        <f t="shared" si="39"/>
        <v>22149.488037851064</v>
      </c>
      <c r="O326" s="321">
        <f t="shared" si="40"/>
        <v>850.51196214893571</v>
      </c>
      <c r="P326" s="322">
        <f t="shared" si="41"/>
        <v>23000</v>
      </c>
    </row>
    <row r="327" spans="1:16" x14ac:dyDescent="0.2">
      <c r="A327" s="1">
        <v>324</v>
      </c>
      <c r="B327" s="140" t="s">
        <v>1339</v>
      </c>
      <c r="C327" s="140" t="s">
        <v>1329</v>
      </c>
      <c r="D327" s="142" t="s">
        <v>1340</v>
      </c>
      <c r="E327" s="314">
        <v>1750000</v>
      </c>
      <c r="F327" s="314">
        <v>0</v>
      </c>
      <c r="G327" s="42">
        <f t="shared" si="35"/>
        <v>5.8903717666066412E-4</v>
      </c>
      <c r="H327" s="43">
        <f t="shared" si="36"/>
        <v>22149.488037851064</v>
      </c>
      <c r="I327" s="43">
        <v>0</v>
      </c>
      <c r="J327" s="43">
        <v>0</v>
      </c>
      <c r="K327" s="42">
        <f t="shared" si="37"/>
        <v>0</v>
      </c>
      <c r="L327" s="43">
        <f t="shared" si="38"/>
        <v>0</v>
      </c>
      <c r="M327" s="43">
        <v>0</v>
      </c>
      <c r="N327" s="44">
        <f t="shared" si="39"/>
        <v>22149.488037851064</v>
      </c>
      <c r="O327" s="321">
        <f t="shared" si="40"/>
        <v>850.51196214893571</v>
      </c>
      <c r="P327" s="322">
        <f t="shared" si="41"/>
        <v>23000</v>
      </c>
    </row>
    <row r="328" spans="1:16" x14ac:dyDescent="0.2">
      <c r="A328" s="1">
        <v>325</v>
      </c>
      <c r="B328" s="140" t="s">
        <v>1341</v>
      </c>
      <c r="C328" s="140" t="s">
        <v>1329</v>
      </c>
      <c r="D328" s="142" t="s">
        <v>1342</v>
      </c>
      <c r="E328" s="314">
        <v>1750000</v>
      </c>
      <c r="F328" s="314">
        <v>0</v>
      </c>
      <c r="G328" s="42">
        <f t="shared" si="35"/>
        <v>5.8903717666066412E-4</v>
      </c>
      <c r="H328" s="43">
        <f t="shared" si="36"/>
        <v>22149.488037851064</v>
      </c>
      <c r="I328" s="43">
        <v>0</v>
      </c>
      <c r="J328" s="43">
        <v>0</v>
      </c>
      <c r="K328" s="42">
        <f t="shared" si="37"/>
        <v>0</v>
      </c>
      <c r="L328" s="43">
        <f t="shared" si="38"/>
        <v>0</v>
      </c>
      <c r="M328" s="43">
        <v>0</v>
      </c>
      <c r="N328" s="44">
        <f t="shared" si="39"/>
        <v>22149.488037851064</v>
      </c>
      <c r="O328" s="321">
        <f t="shared" si="40"/>
        <v>850.51196214893571</v>
      </c>
      <c r="P328" s="322">
        <f t="shared" si="41"/>
        <v>23000</v>
      </c>
    </row>
    <row r="329" spans="1:16" x14ac:dyDescent="0.2">
      <c r="A329" s="1">
        <v>326</v>
      </c>
      <c r="B329" s="140" t="s">
        <v>1343</v>
      </c>
      <c r="C329" s="140" t="s">
        <v>1344</v>
      </c>
      <c r="D329" s="142" t="s">
        <v>1345</v>
      </c>
      <c r="E329" s="314">
        <v>1750000</v>
      </c>
      <c r="F329" s="314">
        <v>0</v>
      </c>
      <c r="G329" s="42">
        <f t="shared" si="35"/>
        <v>5.8903717666066412E-4</v>
      </c>
      <c r="H329" s="43">
        <f t="shared" si="36"/>
        <v>22149.488037851064</v>
      </c>
      <c r="I329" s="43">
        <v>0</v>
      </c>
      <c r="J329" s="43">
        <v>0</v>
      </c>
      <c r="K329" s="42">
        <f t="shared" si="37"/>
        <v>0</v>
      </c>
      <c r="L329" s="43">
        <f t="shared" si="38"/>
        <v>0</v>
      </c>
      <c r="M329" s="43">
        <v>0</v>
      </c>
      <c r="N329" s="44">
        <f t="shared" si="39"/>
        <v>22149.488037851064</v>
      </c>
      <c r="O329" s="321">
        <f t="shared" si="40"/>
        <v>850.51196214893571</v>
      </c>
      <c r="P329" s="322">
        <f t="shared" si="41"/>
        <v>23000</v>
      </c>
    </row>
    <row r="330" spans="1:16" x14ac:dyDescent="0.2">
      <c r="A330" s="1">
        <v>327</v>
      </c>
      <c r="B330" s="140" t="s">
        <v>1346</v>
      </c>
      <c r="C330" s="140" t="s">
        <v>1344</v>
      </c>
      <c r="D330" s="142" t="s">
        <v>1347</v>
      </c>
      <c r="E330" s="314">
        <v>1750000</v>
      </c>
      <c r="F330" s="314">
        <v>0</v>
      </c>
      <c r="G330" s="42">
        <f t="shared" si="35"/>
        <v>5.8903717666066412E-4</v>
      </c>
      <c r="H330" s="43">
        <f t="shared" si="36"/>
        <v>22149.488037851064</v>
      </c>
      <c r="I330" s="43">
        <v>0</v>
      </c>
      <c r="J330" s="43">
        <v>0</v>
      </c>
      <c r="K330" s="42">
        <f t="shared" si="37"/>
        <v>0</v>
      </c>
      <c r="L330" s="43">
        <f t="shared" si="38"/>
        <v>0</v>
      </c>
      <c r="M330" s="43">
        <v>0</v>
      </c>
      <c r="N330" s="44">
        <f t="shared" si="39"/>
        <v>22149.488037851064</v>
      </c>
      <c r="O330" s="321">
        <f t="shared" si="40"/>
        <v>850.51196214893571</v>
      </c>
      <c r="P330" s="322">
        <f t="shared" si="41"/>
        <v>23000</v>
      </c>
    </row>
    <row r="331" spans="1:16" x14ac:dyDescent="0.2">
      <c r="A331" s="1">
        <v>328</v>
      </c>
      <c r="B331" s="140" t="s">
        <v>1348</v>
      </c>
      <c r="C331" s="140" t="s">
        <v>1329</v>
      </c>
      <c r="D331" s="142" t="s">
        <v>1349</v>
      </c>
      <c r="E331" s="314">
        <v>1750000</v>
      </c>
      <c r="F331" s="314">
        <v>0</v>
      </c>
      <c r="G331" s="42">
        <f t="shared" si="35"/>
        <v>5.8903717666066412E-4</v>
      </c>
      <c r="H331" s="43">
        <f t="shared" si="36"/>
        <v>22149.488037851064</v>
      </c>
      <c r="I331" s="43">
        <v>0</v>
      </c>
      <c r="J331" s="43">
        <v>0</v>
      </c>
      <c r="K331" s="42">
        <f t="shared" si="37"/>
        <v>0</v>
      </c>
      <c r="L331" s="43">
        <f t="shared" si="38"/>
        <v>0</v>
      </c>
      <c r="M331" s="43">
        <v>0</v>
      </c>
      <c r="N331" s="44">
        <f t="shared" si="39"/>
        <v>22149.488037851064</v>
      </c>
      <c r="O331" s="321">
        <f t="shared" si="40"/>
        <v>850.51196214893571</v>
      </c>
      <c r="P331" s="322">
        <f t="shared" si="41"/>
        <v>23000</v>
      </c>
    </row>
    <row r="332" spans="1:16" x14ac:dyDescent="0.2">
      <c r="A332" s="1">
        <v>329</v>
      </c>
      <c r="B332" s="140" t="s">
        <v>1350</v>
      </c>
      <c r="C332" s="140" t="s">
        <v>1344</v>
      </c>
      <c r="D332" s="142" t="s">
        <v>1351</v>
      </c>
      <c r="E332" s="314">
        <v>1750000</v>
      </c>
      <c r="F332" s="314">
        <v>0</v>
      </c>
      <c r="G332" s="42">
        <f t="shared" si="35"/>
        <v>5.8903717666066412E-4</v>
      </c>
      <c r="H332" s="43">
        <f t="shared" si="36"/>
        <v>22149.488037851064</v>
      </c>
      <c r="I332" s="43">
        <v>0</v>
      </c>
      <c r="J332" s="43">
        <v>0</v>
      </c>
      <c r="K332" s="42">
        <f t="shared" si="37"/>
        <v>0</v>
      </c>
      <c r="L332" s="43">
        <f t="shared" si="38"/>
        <v>0</v>
      </c>
      <c r="M332" s="43">
        <v>0</v>
      </c>
      <c r="N332" s="44">
        <f t="shared" si="39"/>
        <v>22149.488037851064</v>
      </c>
      <c r="O332" s="321">
        <f t="shared" si="40"/>
        <v>850.51196214893571</v>
      </c>
      <c r="P332" s="322">
        <f t="shared" si="41"/>
        <v>23000</v>
      </c>
    </row>
    <row r="333" spans="1:16" x14ac:dyDescent="0.2">
      <c r="A333" s="1">
        <v>330</v>
      </c>
      <c r="B333" s="140" t="s">
        <v>1352</v>
      </c>
      <c r="C333" s="140" t="s">
        <v>1329</v>
      </c>
      <c r="D333" s="142" t="s">
        <v>1353</v>
      </c>
      <c r="E333" s="314">
        <v>1750000</v>
      </c>
      <c r="F333" s="314">
        <v>0</v>
      </c>
      <c r="G333" s="42">
        <f t="shared" si="35"/>
        <v>5.8903717666066412E-4</v>
      </c>
      <c r="H333" s="43">
        <f t="shared" si="36"/>
        <v>22149.488037851064</v>
      </c>
      <c r="I333" s="43">
        <v>0</v>
      </c>
      <c r="J333" s="43">
        <v>0</v>
      </c>
      <c r="K333" s="42">
        <f t="shared" si="37"/>
        <v>0</v>
      </c>
      <c r="L333" s="43">
        <f t="shared" si="38"/>
        <v>0</v>
      </c>
      <c r="M333" s="43">
        <v>0</v>
      </c>
      <c r="N333" s="44">
        <f t="shared" si="39"/>
        <v>22149.488037851064</v>
      </c>
      <c r="O333" s="321">
        <f t="shared" si="40"/>
        <v>850.51196214893571</v>
      </c>
      <c r="P333" s="322">
        <f t="shared" si="41"/>
        <v>23000</v>
      </c>
    </row>
    <row r="334" spans="1:16" x14ac:dyDescent="0.2">
      <c r="A334" s="1">
        <v>331</v>
      </c>
      <c r="B334" s="140" t="s">
        <v>1354</v>
      </c>
      <c r="C334" s="140" t="s">
        <v>1344</v>
      </c>
      <c r="D334" s="142" t="s">
        <v>1355</v>
      </c>
      <c r="E334" s="314">
        <v>1750000</v>
      </c>
      <c r="F334" s="314">
        <v>0</v>
      </c>
      <c r="G334" s="42">
        <f t="shared" si="35"/>
        <v>5.8903717666066412E-4</v>
      </c>
      <c r="H334" s="43">
        <f t="shared" si="36"/>
        <v>22149.488037851064</v>
      </c>
      <c r="I334" s="43">
        <v>0</v>
      </c>
      <c r="J334" s="43">
        <v>0</v>
      </c>
      <c r="K334" s="42">
        <f t="shared" si="37"/>
        <v>0</v>
      </c>
      <c r="L334" s="43">
        <f t="shared" si="38"/>
        <v>0</v>
      </c>
      <c r="M334" s="43">
        <v>0</v>
      </c>
      <c r="N334" s="44">
        <f t="shared" si="39"/>
        <v>22149.488037851064</v>
      </c>
      <c r="O334" s="321">
        <f t="shared" si="40"/>
        <v>850.51196214893571</v>
      </c>
      <c r="P334" s="322">
        <f t="shared" si="41"/>
        <v>23000</v>
      </c>
    </row>
    <row r="335" spans="1:16" x14ac:dyDescent="0.2">
      <c r="A335" s="1">
        <v>332</v>
      </c>
      <c r="B335" s="140" t="s">
        <v>1356</v>
      </c>
      <c r="C335" s="140" t="s">
        <v>1357</v>
      </c>
      <c r="D335" s="142" t="s">
        <v>1358</v>
      </c>
      <c r="E335" s="314">
        <v>1750000</v>
      </c>
      <c r="F335" s="314">
        <v>0</v>
      </c>
      <c r="G335" s="42">
        <f t="shared" si="35"/>
        <v>5.8903717666066412E-4</v>
      </c>
      <c r="H335" s="43">
        <f t="shared" si="36"/>
        <v>22149.488037851064</v>
      </c>
      <c r="I335" s="43">
        <v>0</v>
      </c>
      <c r="J335" s="43">
        <v>0</v>
      </c>
      <c r="K335" s="42">
        <f t="shared" si="37"/>
        <v>0</v>
      </c>
      <c r="L335" s="43">
        <f t="shared" si="38"/>
        <v>0</v>
      </c>
      <c r="M335" s="43">
        <v>0</v>
      </c>
      <c r="N335" s="44">
        <f t="shared" si="39"/>
        <v>22149.488037851064</v>
      </c>
      <c r="O335" s="321">
        <f t="shared" si="40"/>
        <v>850.51196214893571</v>
      </c>
      <c r="P335" s="322">
        <f t="shared" si="41"/>
        <v>23000</v>
      </c>
    </row>
    <row r="336" spans="1:16" x14ac:dyDescent="0.2">
      <c r="A336" s="1">
        <v>333</v>
      </c>
      <c r="B336" s="140" t="s">
        <v>1359</v>
      </c>
      <c r="C336" s="140" t="s">
        <v>1344</v>
      </c>
      <c r="D336" s="142" t="s">
        <v>1360</v>
      </c>
      <c r="E336" s="314">
        <v>1750000</v>
      </c>
      <c r="F336" s="314">
        <v>0</v>
      </c>
      <c r="G336" s="42">
        <f t="shared" si="35"/>
        <v>5.8903717666066412E-4</v>
      </c>
      <c r="H336" s="43">
        <f t="shared" si="36"/>
        <v>22149.488037851064</v>
      </c>
      <c r="I336" s="43">
        <v>0</v>
      </c>
      <c r="J336" s="43">
        <v>0</v>
      </c>
      <c r="K336" s="42">
        <f t="shared" si="37"/>
        <v>0</v>
      </c>
      <c r="L336" s="43">
        <f t="shared" si="38"/>
        <v>0</v>
      </c>
      <c r="M336" s="43">
        <v>0</v>
      </c>
      <c r="N336" s="44">
        <f t="shared" si="39"/>
        <v>22149.488037851064</v>
      </c>
      <c r="O336" s="321">
        <f t="shared" si="40"/>
        <v>850.51196214893571</v>
      </c>
      <c r="P336" s="322">
        <f t="shared" si="41"/>
        <v>23000</v>
      </c>
    </row>
    <row r="337" spans="1:16" x14ac:dyDescent="0.2">
      <c r="A337" s="1">
        <v>334</v>
      </c>
      <c r="B337" s="140" t="s">
        <v>1361</v>
      </c>
      <c r="C337" s="140" t="s">
        <v>1329</v>
      </c>
      <c r="D337" s="142" t="s">
        <v>1362</v>
      </c>
      <c r="E337" s="314">
        <v>1550000</v>
      </c>
      <c r="F337" s="314">
        <v>0</v>
      </c>
      <c r="G337" s="42">
        <f t="shared" si="35"/>
        <v>5.2171864218515966E-4</v>
      </c>
      <c r="H337" s="43">
        <f t="shared" si="36"/>
        <v>19618.117976382371</v>
      </c>
      <c r="I337" s="43">
        <v>0</v>
      </c>
      <c r="J337" s="43">
        <v>0</v>
      </c>
      <c r="K337" s="42">
        <f t="shared" si="37"/>
        <v>0</v>
      </c>
      <c r="L337" s="43">
        <f t="shared" si="38"/>
        <v>0</v>
      </c>
      <c r="M337" s="43">
        <v>0</v>
      </c>
      <c r="N337" s="44">
        <f t="shared" si="39"/>
        <v>19618.117976382371</v>
      </c>
      <c r="O337" s="321">
        <f t="shared" si="40"/>
        <v>381.88202361762887</v>
      </c>
      <c r="P337" s="322">
        <f t="shared" si="41"/>
        <v>20000</v>
      </c>
    </row>
    <row r="338" spans="1:16" x14ac:dyDescent="0.2">
      <c r="A338" s="1">
        <v>335</v>
      </c>
      <c r="B338" s="140" t="s">
        <v>1363</v>
      </c>
      <c r="C338" s="140" t="s">
        <v>1364</v>
      </c>
      <c r="D338" s="142" t="s">
        <v>1365</v>
      </c>
      <c r="E338" s="314">
        <v>1550000</v>
      </c>
      <c r="F338" s="314">
        <v>0</v>
      </c>
      <c r="G338" s="42">
        <f t="shared" si="35"/>
        <v>5.2171864218515966E-4</v>
      </c>
      <c r="H338" s="43">
        <f t="shared" si="36"/>
        <v>19618.117976382371</v>
      </c>
      <c r="I338" s="43">
        <v>0</v>
      </c>
      <c r="J338" s="43">
        <v>0</v>
      </c>
      <c r="K338" s="42">
        <f t="shared" si="37"/>
        <v>0</v>
      </c>
      <c r="L338" s="43">
        <f t="shared" si="38"/>
        <v>0</v>
      </c>
      <c r="M338" s="43">
        <v>0</v>
      </c>
      <c r="N338" s="44">
        <f t="shared" si="39"/>
        <v>19618.117976382371</v>
      </c>
      <c r="O338" s="321">
        <f t="shared" si="40"/>
        <v>381.88202361762887</v>
      </c>
      <c r="P338" s="322">
        <f t="shared" si="41"/>
        <v>20000</v>
      </c>
    </row>
    <row r="339" spans="1:16" x14ac:dyDescent="0.2">
      <c r="A339" s="1">
        <v>336</v>
      </c>
      <c r="B339" s="140" t="s">
        <v>1366</v>
      </c>
      <c r="C339" s="140" t="s">
        <v>1367</v>
      </c>
      <c r="D339" s="142" t="s">
        <v>1368</v>
      </c>
      <c r="E339" s="314">
        <v>1350000</v>
      </c>
      <c r="F339" s="314">
        <v>0</v>
      </c>
      <c r="G339" s="42">
        <f t="shared" si="35"/>
        <v>4.5440010770965515E-4</v>
      </c>
      <c r="H339" s="43">
        <f t="shared" si="36"/>
        <v>17086.747914913678</v>
      </c>
      <c r="I339" s="43">
        <v>0</v>
      </c>
      <c r="J339" s="43">
        <v>0</v>
      </c>
      <c r="K339" s="42">
        <f t="shared" si="37"/>
        <v>0</v>
      </c>
      <c r="L339" s="43">
        <f t="shared" si="38"/>
        <v>0</v>
      </c>
      <c r="M339" s="43">
        <v>0</v>
      </c>
      <c r="N339" s="44">
        <f t="shared" si="39"/>
        <v>17086.747914913678</v>
      </c>
      <c r="O339" s="321">
        <f t="shared" si="40"/>
        <v>913.25208508632204</v>
      </c>
      <c r="P339" s="322">
        <f t="shared" si="41"/>
        <v>18000</v>
      </c>
    </row>
    <row r="340" spans="1:16" x14ac:dyDescent="0.2">
      <c r="A340" s="1">
        <v>337</v>
      </c>
      <c r="B340" s="140" t="s">
        <v>1369</v>
      </c>
      <c r="C340" s="140" t="s">
        <v>1344</v>
      </c>
      <c r="D340" s="142" t="s">
        <v>1370</v>
      </c>
      <c r="E340" s="314">
        <v>1350000</v>
      </c>
      <c r="F340" s="314">
        <v>0</v>
      </c>
      <c r="G340" s="42">
        <f t="shared" si="35"/>
        <v>4.5440010770965515E-4</v>
      </c>
      <c r="H340" s="43">
        <f t="shared" si="36"/>
        <v>17086.747914913678</v>
      </c>
      <c r="I340" s="43">
        <v>0</v>
      </c>
      <c r="J340" s="43">
        <v>0</v>
      </c>
      <c r="K340" s="42">
        <f t="shared" si="37"/>
        <v>0</v>
      </c>
      <c r="L340" s="43">
        <f t="shared" si="38"/>
        <v>0</v>
      </c>
      <c r="M340" s="43">
        <v>0</v>
      </c>
      <c r="N340" s="44">
        <f t="shared" si="39"/>
        <v>17086.747914913678</v>
      </c>
      <c r="O340" s="321">
        <f t="shared" si="40"/>
        <v>913.25208508632204</v>
      </c>
      <c r="P340" s="322">
        <f t="shared" si="41"/>
        <v>18000</v>
      </c>
    </row>
    <row r="341" spans="1:16" x14ac:dyDescent="0.2">
      <c r="A341" s="1">
        <v>338</v>
      </c>
      <c r="B341" s="140" t="s">
        <v>1371</v>
      </c>
      <c r="C341" s="140" t="s">
        <v>1372</v>
      </c>
      <c r="D341" s="142" t="s">
        <v>1373</v>
      </c>
      <c r="E341" s="314">
        <v>1150000</v>
      </c>
      <c r="F341" s="314">
        <v>0</v>
      </c>
      <c r="G341" s="42">
        <f t="shared" si="35"/>
        <v>3.8708157323415069E-4</v>
      </c>
      <c r="H341" s="43">
        <f t="shared" si="36"/>
        <v>14555.377853444985</v>
      </c>
      <c r="I341" s="43">
        <v>0</v>
      </c>
      <c r="J341" s="43">
        <v>0</v>
      </c>
      <c r="K341" s="42">
        <f t="shared" si="37"/>
        <v>0</v>
      </c>
      <c r="L341" s="43">
        <f t="shared" si="38"/>
        <v>0</v>
      </c>
      <c r="M341" s="43">
        <v>0</v>
      </c>
      <c r="N341" s="44">
        <f t="shared" si="39"/>
        <v>14555.377853444985</v>
      </c>
      <c r="O341" s="321">
        <f t="shared" si="40"/>
        <v>444.62214655501521</v>
      </c>
      <c r="P341" s="322">
        <f t="shared" si="41"/>
        <v>15000</v>
      </c>
    </row>
    <row r="342" spans="1:16" x14ac:dyDescent="0.2">
      <c r="A342" s="1">
        <v>339</v>
      </c>
      <c r="B342" s="140" t="s">
        <v>1374</v>
      </c>
      <c r="C342" s="140" t="s">
        <v>1329</v>
      </c>
      <c r="D342" s="142" t="s">
        <v>1375</v>
      </c>
      <c r="E342" s="314">
        <v>1150000</v>
      </c>
      <c r="F342" s="314">
        <v>0</v>
      </c>
      <c r="G342" s="42">
        <f t="shared" si="35"/>
        <v>3.8708157323415069E-4</v>
      </c>
      <c r="H342" s="43">
        <f t="shared" si="36"/>
        <v>14555.377853444985</v>
      </c>
      <c r="I342" s="43">
        <v>0</v>
      </c>
      <c r="J342" s="43">
        <v>0</v>
      </c>
      <c r="K342" s="42">
        <f t="shared" si="37"/>
        <v>0</v>
      </c>
      <c r="L342" s="43">
        <f t="shared" si="38"/>
        <v>0</v>
      </c>
      <c r="M342" s="43">
        <v>0</v>
      </c>
      <c r="N342" s="44">
        <f t="shared" si="39"/>
        <v>14555.377853444985</v>
      </c>
      <c r="O342" s="321">
        <f t="shared" si="40"/>
        <v>444.62214655501521</v>
      </c>
      <c r="P342" s="322">
        <f t="shared" si="41"/>
        <v>15000</v>
      </c>
    </row>
    <row r="343" spans="1:16" x14ac:dyDescent="0.2">
      <c r="A343" s="1">
        <v>340</v>
      </c>
      <c r="B343" s="140" t="s">
        <v>1376</v>
      </c>
      <c r="C343" s="140" t="s">
        <v>1344</v>
      </c>
      <c r="D343" s="142" t="s">
        <v>1377</v>
      </c>
      <c r="E343" s="314">
        <v>950000</v>
      </c>
      <c r="F343" s="314">
        <v>0</v>
      </c>
      <c r="G343" s="42">
        <f t="shared" si="35"/>
        <v>3.1976303875864623E-4</v>
      </c>
      <c r="H343" s="43">
        <f t="shared" si="36"/>
        <v>12024.007791976292</v>
      </c>
      <c r="I343" s="43">
        <v>0</v>
      </c>
      <c r="J343" s="43">
        <v>0</v>
      </c>
      <c r="K343" s="42">
        <f t="shared" si="37"/>
        <v>0</v>
      </c>
      <c r="L343" s="43">
        <f t="shared" si="38"/>
        <v>0</v>
      </c>
      <c r="M343" s="43">
        <v>0</v>
      </c>
      <c r="N343" s="44">
        <f t="shared" si="39"/>
        <v>12024.007791976292</v>
      </c>
      <c r="O343" s="321">
        <f t="shared" si="40"/>
        <v>975.99220802370837</v>
      </c>
      <c r="P343" s="322">
        <f t="shared" si="41"/>
        <v>13000</v>
      </c>
    </row>
    <row r="344" spans="1:16" x14ac:dyDescent="0.2">
      <c r="A344" s="1">
        <v>341</v>
      </c>
      <c r="B344" s="140" t="s">
        <v>1378</v>
      </c>
      <c r="C344" s="140" t="s">
        <v>1372</v>
      </c>
      <c r="D344" s="142" t="s">
        <v>1379</v>
      </c>
      <c r="E344" s="314">
        <v>750000</v>
      </c>
      <c r="F344" s="314">
        <v>0</v>
      </c>
      <c r="G344" s="42">
        <f t="shared" si="35"/>
        <v>2.5244450428314177E-4</v>
      </c>
      <c r="H344" s="43">
        <f t="shared" si="36"/>
        <v>9492.6377305076003</v>
      </c>
      <c r="I344" s="43">
        <v>0</v>
      </c>
      <c r="J344" s="43">
        <v>0</v>
      </c>
      <c r="K344" s="42">
        <f t="shared" si="37"/>
        <v>0</v>
      </c>
      <c r="L344" s="43">
        <f t="shared" si="38"/>
        <v>0</v>
      </c>
      <c r="M344" s="43">
        <v>0</v>
      </c>
      <c r="N344" s="44">
        <f t="shared" si="39"/>
        <v>9492.6377305076003</v>
      </c>
      <c r="O344" s="321">
        <f t="shared" si="40"/>
        <v>507.36226949239972</v>
      </c>
      <c r="P344" s="322">
        <f t="shared" si="41"/>
        <v>10000</v>
      </c>
    </row>
    <row r="345" spans="1:16" x14ac:dyDescent="0.2">
      <c r="A345" s="1"/>
      <c r="B345" s="1"/>
      <c r="C345" s="1"/>
      <c r="D345" s="1"/>
      <c r="E345" s="27">
        <f>SUM(E4:E344)</f>
        <v>2870950000</v>
      </c>
      <c r="F345" s="27">
        <f>SUM(F4:F344)</f>
        <v>100000000</v>
      </c>
      <c r="G345" s="315">
        <f>SUM(G4:G344)</f>
        <v>1.0000000000000007</v>
      </c>
      <c r="H345" s="316">
        <f>SUM(H4:H282)</f>
        <v>36120752.249612197</v>
      </c>
      <c r="I345" s="316">
        <f t="shared" ref="I345:N345" si="42">SUM(I4:I344)</f>
        <v>218972388.88888881</v>
      </c>
      <c r="J345" s="316">
        <f t="shared" si="42"/>
        <v>142858168.88888887</v>
      </c>
      <c r="K345" s="316">
        <f t="shared" si="42"/>
        <v>1.0000000000000002</v>
      </c>
      <c r="L345" s="316">
        <f t="shared" si="42"/>
        <v>57280304.130903125</v>
      </c>
      <c r="M345" s="316">
        <f t="shared" si="42"/>
        <v>584000</v>
      </c>
      <c r="N345" s="316">
        <f t="shared" si="42"/>
        <v>95467173.551505193</v>
      </c>
      <c r="O345" s="316">
        <f>SUM(O4:O344)</f>
        <v>175826.44849481937</v>
      </c>
      <c r="P345" s="323">
        <f>SUM(P4:P344)</f>
        <v>95643000</v>
      </c>
    </row>
    <row r="346" spans="1:16" x14ac:dyDescent="0.2">
      <c r="E346" s="317">
        <f>E345+F345</f>
        <v>2970950000</v>
      </c>
      <c r="F346" s="317"/>
      <c r="P346" s="318">
        <v>95467173.551505163</v>
      </c>
    </row>
    <row r="347" spans="1:16" x14ac:dyDescent="0.2">
      <c r="D347" s="145" t="s">
        <v>806</v>
      </c>
      <c r="E347" s="317"/>
      <c r="F347" s="317"/>
      <c r="I347" s="317">
        <f>1066667+711333+135000+405000+416667</f>
        <v>2734667</v>
      </c>
      <c r="J347" s="317">
        <f>655000+279167+1310000+490000+375000</f>
        <v>3109167</v>
      </c>
      <c r="P347" s="319">
        <f>P345-P346</f>
        <v>175826.44849483669</v>
      </c>
    </row>
    <row r="348" spans="1:16" x14ac:dyDescent="0.2">
      <c r="I348" s="29">
        <f>I345+I347</f>
        <v>221707055.88888881</v>
      </c>
      <c r="J348" s="29">
        <f>J345+J347</f>
        <v>145967335.88888887</v>
      </c>
    </row>
    <row r="349" spans="1:16" x14ac:dyDescent="0.2">
      <c r="I349" s="3">
        <f>' usp (dian)'!D169</f>
        <v>1088000</v>
      </c>
      <c r="J349" s="3"/>
    </row>
    <row r="350" spans="1:16" x14ac:dyDescent="0.2">
      <c r="D350" t="s">
        <v>804</v>
      </c>
      <c r="I350" s="29">
        <f>I349-I348</f>
        <v>-220619055.88888881</v>
      </c>
      <c r="J350" s="29">
        <f>J349-J348</f>
        <v>-145967335.88888887</v>
      </c>
    </row>
  </sheetData>
  <autoFilter ref="A1:P350" xr:uid="{F3370D3D-1F50-4F6D-B945-91C341195ABD}"/>
  <mergeCells count="16">
    <mergeCell ref="O1:O3"/>
    <mergeCell ref="P1:P3"/>
    <mergeCell ref="A1:A3"/>
    <mergeCell ref="B1:B3"/>
    <mergeCell ref="C1:C3"/>
    <mergeCell ref="D1:D3"/>
    <mergeCell ref="E1:E3"/>
    <mergeCell ref="F1:F3"/>
    <mergeCell ref="H1:H2"/>
    <mergeCell ref="G1:G3"/>
    <mergeCell ref="I1:I3"/>
    <mergeCell ref="K1:K3"/>
    <mergeCell ref="L1:L2"/>
    <mergeCell ref="N1:N3"/>
    <mergeCell ref="J1:J3"/>
    <mergeCell ref="M1:M2"/>
  </mergeCells>
  <pageMargins left="0.7" right="0.7" top="0.75" bottom="0.75" header="0.3" footer="0.3"/>
  <pageSetup paperSize="9"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7BD5C-BCAF-410A-BD23-7C10679BFDA8}">
  <sheetPr>
    <pageSetUpPr fitToPage="1"/>
  </sheetPr>
  <dimension ref="A1:F344"/>
  <sheetViews>
    <sheetView zoomScaleNormal="100" workbookViewId="0">
      <selection activeCell="H342" sqref="H342"/>
    </sheetView>
  </sheetViews>
  <sheetFormatPr defaultColWidth="8.85546875" defaultRowHeight="41.45" customHeight="1" x14ac:dyDescent="0.25"/>
  <cols>
    <col min="1" max="1" width="4.140625" style="153" bestFit="1" customWidth="1"/>
    <col min="2" max="2" width="11.7109375" style="153" customWidth="1"/>
    <col min="3" max="3" width="9.85546875" style="153" bestFit="1" customWidth="1"/>
    <col min="4" max="4" width="29.42578125" style="153" customWidth="1"/>
    <col min="5" max="5" width="18.7109375" style="152" customWidth="1"/>
    <col min="6" max="6" width="27.85546875" style="153" customWidth="1"/>
    <col min="7" max="16384" width="8.85546875" style="153"/>
  </cols>
  <sheetData>
    <row r="1" spans="1:6" ht="41.45" customHeight="1" x14ac:dyDescent="0.25">
      <c r="A1" s="381" t="s">
        <v>1389</v>
      </c>
      <c r="B1" s="381"/>
      <c r="C1" s="381"/>
      <c r="D1" s="381"/>
      <c r="E1" s="381"/>
      <c r="F1" s="381"/>
    </row>
    <row r="2" spans="1:6" s="156" customFormat="1" ht="41.45" customHeight="1" x14ac:dyDescent="0.25">
      <c r="A2" s="149" t="s">
        <v>122</v>
      </c>
      <c r="B2" s="150" t="s">
        <v>123</v>
      </c>
      <c r="C2" s="150" t="s">
        <v>124</v>
      </c>
      <c r="D2" s="151" t="s">
        <v>125</v>
      </c>
      <c r="E2" s="151" t="s">
        <v>805</v>
      </c>
      <c r="F2" s="151" t="s">
        <v>807</v>
      </c>
    </row>
    <row r="3" spans="1:6" s="159" customFormat="1" ht="41.45" customHeight="1" x14ac:dyDescent="0.2">
      <c r="A3" s="144">
        <v>1</v>
      </c>
      <c r="B3" s="144" t="s">
        <v>126</v>
      </c>
      <c r="C3" s="144">
        <v>34000095</v>
      </c>
      <c r="D3" s="144" t="s">
        <v>127</v>
      </c>
      <c r="E3" s="326">
        <v>551000</v>
      </c>
      <c r="F3" s="161"/>
    </row>
    <row r="4" spans="1:6" s="159" customFormat="1" ht="41.45" customHeight="1" x14ac:dyDescent="0.2">
      <c r="A4" s="144">
        <v>2</v>
      </c>
      <c r="B4" s="144" t="s">
        <v>128</v>
      </c>
      <c r="C4" s="144">
        <v>34000484</v>
      </c>
      <c r="D4" s="144" t="s">
        <v>129</v>
      </c>
      <c r="E4" s="326">
        <v>911000</v>
      </c>
      <c r="F4" s="158"/>
    </row>
    <row r="5" spans="1:6" s="159" customFormat="1" ht="41.45" customHeight="1" x14ac:dyDescent="0.2">
      <c r="A5" s="144">
        <v>3</v>
      </c>
      <c r="B5" s="144" t="s">
        <v>130</v>
      </c>
      <c r="C5" s="144">
        <v>34000653</v>
      </c>
      <c r="D5" s="144" t="s">
        <v>131</v>
      </c>
      <c r="E5" s="326">
        <v>698000</v>
      </c>
      <c r="F5" s="158"/>
    </row>
    <row r="6" spans="1:6" s="159" customFormat="1" ht="41.45" customHeight="1" x14ac:dyDescent="0.2">
      <c r="A6" s="144">
        <v>4</v>
      </c>
      <c r="B6" s="144" t="s">
        <v>132</v>
      </c>
      <c r="C6" s="144">
        <v>34000257</v>
      </c>
      <c r="D6" s="144" t="s">
        <v>133</v>
      </c>
      <c r="E6" s="326">
        <v>167000</v>
      </c>
      <c r="F6" s="158"/>
    </row>
    <row r="7" spans="1:6" s="159" customFormat="1" ht="41.45" customHeight="1" x14ac:dyDescent="0.2">
      <c r="A7" s="144">
        <v>5</v>
      </c>
      <c r="B7" s="144" t="s">
        <v>134</v>
      </c>
      <c r="C7" s="144">
        <v>34000570</v>
      </c>
      <c r="D7" s="144" t="s">
        <v>135</v>
      </c>
      <c r="E7" s="326">
        <v>335000</v>
      </c>
      <c r="F7" s="158"/>
    </row>
    <row r="8" spans="1:6" s="159" customFormat="1" ht="41.45" customHeight="1" x14ac:dyDescent="0.2">
      <c r="A8" s="144">
        <v>6</v>
      </c>
      <c r="B8" s="144" t="s">
        <v>136</v>
      </c>
      <c r="C8" s="144">
        <v>34000215</v>
      </c>
      <c r="D8" s="144" t="s">
        <v>137</v>
      </c>
      <c r="E8" s="326">
        <v>709000</v>
      </c>
      <c r="F8" s="158"/>
    </row>
    <row r="9" spans="1:6" s="159" customFormat="1" ht="41.45" customHeight="1" x14ac:dyDescent="0.2">
      <c r="A9" s="144">
        <v>7</v>
      </c>
      <c r="B9" s="144" t="s">
        <v>138</v>
      </c>
      <c r="C9" s="144">
        <v>34000203</v>
      </c>
      <c r="D9" s="144" t="s">
        <v>140</v>
      </c>
      <c r="E9" s="326">
        <v>613000</v>
      </c>
      <c r="F9" s="158"/>
    </row>
    <row r="10" spans="1:6" s="159" customFormat="1" ht="41.45" customHeight="1" x14ac:dyDescent="0.2">
      <c r="A10" s="144">
        <v>8</v>
      </c>
      <c r="B10" s="144" t="s">
        <v>141</v>
      </c>
      <c r="C10" s="144">
        <v>34000171</v>
      </c>
      <c r="D10" s="144" t="s">
        <v>142</v>
      </c>
      <c r="E10" s="326">
        <v>158000</v>
      </c>
      <c r="F10" s="158"/>
    </row>
    <row r="11" spans="1:6" s="159" customFormat="1" ht="41.45" customHeight="1" x14ac:dyDescent="0.2">
      <c r="A11" s="144">
        <v>9</v>
      </c>
      <c r="B11" s="144" t="s">
        <v>143</v>
      </c>
      <c r="C11" s="144">
        <v>34000511</v>
      </c>
      <c r="D11" s="144" t="s">
        <v>145</v>
      </c>
      <c r="E11" s="326">
        <v>154000</v>
      </c>
      <c r="F11" s="158"/>
    </row>
    <row r="12" spans="1:6" s="159" customFormat="1" ht="41.45" customHeight="1" x14ac:dyDescent="0.2">
      <c r="A12" s="144">
        <v>10</v>
      </c>
      <c r="B12" s="144" t="s">
        <v>146</v>
      </c>
      <c r="C12" s="144">
        <v>34000004</v>
      </c>
      <c r="D12" s="144" t="s">
        <v>147</v>
      </c>
      <c r="E12" s="326">
        <v>808000</v>
      </c>
      <c r="F12" s="158"/>
    </row>
    <row r="13" spans="1:6" s="159" customFormat="1" ht="41.45" customHeight="1" x14ac:dyDescent="0.2">
      <c r="A13" s="144">
        <v>11</v>
      </c>
      <c r="B13" s="144" t="s">
        <v>148</v>
      </c>
      <c r="C13" s="144">
        <v>34000623</v>
      </c>
      <c r="D13" s="144" t="s">
        <v>149</v>
      </c>
      <c r="E13" s="326">
        <v>158000</v>
      </c>
      <c r="F13" s="158"/>
    </row>
    <row r="14" spans="1:6" s="159" customFormat="1" ht="41.45" customHeight="1" x14ac:dyDescent="0.2">
      <c r="A14" s="144">
        <v>12</v>
      </c>
      <c r="B14" s="144" t="s">
        <v>150</v>
      </c>
      <c r="C14" s="144">
        <v>34000656</v>
      </c>
      <c r="D14" s="144" t="s">
        <v>151</v>
      </c>
      <c r="E14" s="326">
        <v>166000</v>
      </c>
      <c r="F14" s="158"/>
    </row>
    <row r="15" spans="1:6" s="159" customFormat="1" ht="41.45" customHeight="1" x14ac:dyDescent="0.2">
      <c r="A15" s="144">
        <v>13</v>
      </c>
      <c r="B15" s="144" t="s">
        <v>152</v>
      </c>
      <c r="C15" s="144">
        <v>34000130</v>
      </c>
      <c r="D15" s="144" t="s">
        <v>153</v>
      </c>
      <c r="E15" s="326">
        <v>158000</v>
      </c>
      <c r="F15" s="158"/>
    </row>
    <row r="16" spans="1:6" s="159" customFormat="1" ht="41.45" customHeight="1" x14ac:dyDescent="0.2">
      <c r="A16" s="144">
        <v>14</v>
      </c>
      <c r="B16" s="144" t="s">
        <v>154</v>
      </c>
      <c r="C16" s="144">
        <v>34000692</v>
      </c>
      <c r="D16" s="144" t="s">
        <v>155</v>
      </c>
      <c r="E16" s="326">
        <v>640000</v>
      </c>
      <c r="F16" s="158"/>
    </row>
    <row r="17" spans="1:6" s="159" customFormat="1" ht="41.45" customHeight="1" x14ac:dyDescent="0.2">
      <c r="A17" s="144">
        <v>15</v>
      </c>
      <c r="B17" s="144" t="s">
        <v>156</v>
      </c>
      <c r="C17" s="144">
        <v>34000514</v>
      </c>
      <c r="D17" s="144" t="s">
        <v>694</v>
      </c>
      <c r="E17" s="326">
        <v>836000</v>
      </c>
      <c r="F17" s="158"/>
    </row>
    <row r="18" spans="1:6" s="159" customFormat="1" ht="41.45" customHeight="1" x14ac:dyDescent="0.2">
      <c r="A18" s="144">
        <v>16</v>
      </c>
      <c r="B18" s="144" t="s">
        <v>157</v>
      </c>
      <c r="C18" s="144">
        <v>34000392</v>
      </c>
      <c r="D18" s="144" t="s">
        <v>158</v>
      </c>
      <c r="E18" s="326">
        <v>157000</v>
      </c>
      <c r="F18" s="158"/>
    </row>
    <row r="19" spans="1:6" s="159" customFormat="1" ht="41.45" customHeight="1" x14ac:dyDescent="0.2">
      <c r="A19" s="144">
        <v>17</v>
      </c>
      <c r="B19" s="144" t="s">
        <v>159</v>
      </c>
      <c r="C19" s="144">
        <v>34000510</v>
      </c>
      <c r="D19" s="144" t="s">
        <v>160</v>
      </c>
      <c r="E19" s="326">
        <v>305000</v>
      </c>
      <c r="F19" s="158"/>
    </row>
    <row r="20" spans="1:6" s="159" customFormat="1" ht="41.45" customHeight="1" x14ac:dyDescent="0.2">
      <c r="A20" s="144">
        <v>18</v>
      </c>
      <c r="B20" s="144" t="s">
        <v>161</v>
      </c>
      <c r="C20" s="144">
        <v>34000469</v>
      </c>
      <c r="D20" s="144" t="s">
        <v>162</v>
      </c>
      <c r="E20" s="326">
        <v>314000</v>
      </c>
      <c r="F20" s="158"/>
    </row>
    <row r="21" spans="1:6" s="159" customFormat="1" ht="41.45" customHeight="1" x14ac:dyDescent="0.2">
      <c r="A21" s="144">
        <v>19</v>
      </c>
      <c r="B21" s="144" t="s">
        <v>163</v>
      </c>
      <c r="C21" s="144">
        <v>34000158</v>
      </c>
      <c r="D21" s="144" t="s">
        <v>164</v>
      </c>
      <c r="E21" s="326">
        <v>157000</v>
      </c>
      <c r="F21" s="158"/>
    </row>
    <row r="22" spans="1:6" s="159" customFormat="1" ht="41.45" customHeight="1" x14ac:dyDescent="0.2">
      <c r="A22" s="144">
        <v>20</v>
      </c>
      <c r="B22" s="144" t="s">
        <v>165</v>
      </c>
      <c r="C22" s="144">
        <v>34000346</v>
      </c>
      <c r="D22" s="144" t="s">
        <v>166</v>
      </c>
      <c r="E22" s="326">
        <v>337000</v>
      </c>
      <c r="F22" s="158"/>
    </row>
    <row r="23" spans="1:6" s="159" customFormat="1" ht="41.45" customHeight="1" x14ac:dyDescent="0.2">
      <c r="A23" s="144">
        <v>21</v>
      </c>
      <c r="B23" s="144" t="s">
        <v>167</v>
      </c>
      <c r="C23" s="144">
        <v>34000320</v>
      </c>
      <c r="D23" s="144" t="s">
        <v>168</v>
      </c>
      <c r="E23" s="326">
        <v>753000</v>
      </c>
      <c r="F23" s="158"/>
    </row>
    <row r="24" spans="1:6" s="159" customFormat="1" ht="41.45" customHeight="1" x14ac:dyDescent="0.2">
      <c r="A24" s="144">
        <v>22</v>
      </c>
      <c r="B24" s="144" t="s">
        <v>171</v>
      </c>
      <c r="C24" s="144">
        <v>34000625</v>
      </c>
      <c r="D24" s="144" t="s">
        <v>172</v>
      </c>
      <c r="E24" s="326">
        <v>323000</v>
      </c>
      <c r="F24" s="158"/>
    </row>
    <row r="25" spans="1:6" s="159" customFormat="1" ht="41.45" customHeight="1" x14ac:dyDescent="0.2">
      <c r="A25" s="144">
        <v>23</v>
      </c>
      <c r="B25" s="144" t="s">
        <v>175</v>
      </c>
      <c r="C25" s="144">
        <v>34000313</v>
      </c>
      <c r="D25" s="144" t="s">
        <v>176</v>
      </c>
      <c r="E25" s="326">
        <v>686000</v>
      </c>
      <c r="F25" s="158"/>
    </row>
    <row r="26" spans="1:6" s="159" customFormat="1" ht="41.45" customHeight="1" x14ac:dyDescent="0.2">
      <c r="A26" s="144">
        <v>24</v>
      </c>
      <c r="B26" s="144" t="s">
        <v>177</v>
      </c>
      <c r="C26" s="144">
        <v>34000405</v>
      </c>
      <c r="D26" s="144" t="s">
        <v>178</v>
      </c>
      <c r="E26" s="326">
        <v>481000</v>
      </c>
      <c r="F26" s="158"/>
    </row>
    <row r="27" spans="1:6" s="159" customFormat="1" ht="41.45" customHeight="1" x14ac:dyDescent="0.2">
      <c r="A27" s="144">
        <v>25</v>
      </c>
      <c r="B27" s="144" t="s">
        <v>179</v>
      </c>
      <c r="C27" s="144">
        <v>34000042</v>
      </c>
      <c r="D27" s="144" t="s">
        <v>180</v>
      </c>
      <c r="E27" s="326">
        <v>157000</v>
      </c>
      <c r="F27" s="158"/>
    </row>
    <row r="28" spans="1:6" s="159" customFormat="1" ht="41.45" customHeight="1" x14ac:dyDescent="0.2">
      <c r="A28" s="144">
        <v>26</v>
      </c>
      <c r="B28" s="144" t="s">
        <v>181</v>
      </c>
      <c r="C28" s="144">
        <v>34000148</v>
      </c>
      <c r="D28" s="144" t="s">
        <v>182</v>
      </c>
      <c r="E28" s="326">
        <v>670000</v>
      </c>
      <c r="F28" s="158"/>
    </row>
    <row r="29" spans="1:6" s="159" customFormat="1" ht="41.45" customHeight="1" x14ac:dyDescent="0.2">
      <c r="A29" s="144">
        <v>27</v>
      </c>
      <c r="B29" s="144" t="s">
        <v>183</v>
      </c>
      <c r="C29" s="144">
        <v>34000370</v>
      </c>
      <c r="D29" s="144" t="s">
        <v>184</v>
      </c>
      <c r="E29" s="326">
        <v>387000</v>
      </c>
      <c r="F29" s="158"/>
    </row>
    <row r="30" spans="1:6" s="159" customFormat="1" ht="41.45" customHeight="1" x14ac:dyDescent="0.2">
      <c r="A30" s="144">
        <v>28</v>
      </c>
      <c r="B30" s="144" t="s">
        <v>185</v>
      </c>
      <c r="C30" s="144">
        <v>34000517</v>
      </c>
      <c r="D30" s="144" t="s">
        <v>186</v>
      </c>
      <c r="E30" s="326">
        <v>254000</v>
      </c>
      <c r="F30" s="158"/>
    </row>
    <row r="31" spans="1:6" s="159" customFormat="1" ht="41.45" customHeight="1" x14ac:dyDescent="0.2">
      <c r="A31" s="144">
        <v>29</v>
      </c>
      <c r="B31" s="144" t="s">
        <v>187</v>
      </c>
      <c r="C31" s="144">
        <v>34000270</v>
      </c>
      <c r="D31" s="144" t="s">
        <v>188</v>
      </c>
      <c r="E31" s="326">
        <v>413000</v>
      </c>
      <c r="F31" s="158"/>
    </row>
    <row r="32" spans="1:6" s="159" customFormat="1" ht="41.45" customHeight="1" x14ac:dyDescent="0.2">
      <c r="A32" s="144">
        <v>30</v>
      </c>
      <c r="B32" s="144" t="s">
        <v>189</v>
      </c>
      <c r="C32" s="144">
        <v>34000691</v>
      </c>
      <c r="D32" s="144" t="s">
        <v>190</v>
      </c>
      <c r="E32" s="326">
        <v>553000</v>
      </c>
      <c r="F32" s="158"/>
    </row>
    <row r="33" spans="1:6" s="159" customFormat="1" ht="41.45" customHeight="1" x14ac:dyDescent="0.2">
      <c r="A33" s="144">
        <v>31</v>
      </c>
      <c r="B33" s="144" t="s">
        <v>191</v>
      </c>
      <c r="C33" s="144">
        <v>34000173</v>
      </c>
      <c r="D33" s="144" t="s">
        <v>192</v>
      </c>
      <c r="E33" s="326">
        <v>413000</v>
      </c>
      <c r="F33" s="158"/>
    </row>
    <row r="34" spans="1:6" s="159" customFormat="1" ht="41.45" customHeight="1" x14ac:dyDescent="0.2">
      <c r="A34" s="144">
        <v>32</v>
      </c>
      <c r="B34" s="144" t="s">
        <v>193</v>
      </c>
      <c r="C34" s="144">
        <v>34000060</v>
      </c>
      <c r="D34" s="144" t="s">
        <v>194</v>
      </c>
      <c r="E34" s="326">
        <v>513000</v>
      </c>
      <c r="F34" s="158"/>
    </row>
    <row r="35" spans="1:6" s="159" customFormat="1" ht="41.45" customHeight="1" x14ac:dyDescent="0.2">
      <c r="A35" s="144">
        <v>33</v>
      </c>
      <c r="B35" s="144" t="s">
        <v>195</v>
      </c>
      <c r="C35" s="144">
        <v>34000283</v>
      </c>
      <c r="D35" s="144" t="s">
        <v>196</v>
      </c>
      <c r="E35" s="326">
        <v>323000</v>
      </c>
      <c r="F35" s="158"/>
    </row>
    <row r="36" spans="1:6" s="159" customFormat="1" ht="41.45" customHeight="1" x14ac:dyDescent="0.2">
      <c r="A36" s="144">
        <v>34</v>
      </c>
      <c r="B36" s="144" t="s">
        <v>197</v>
      </c>
      <c r="C36" s="144">
        <v>34000502</v>
      </c>
      <c r="D36" s="144" t="s">
        <v>198</v>
      </c>
      <c r="E36" s="326">
        <v>323000</v>
      </c>
      <c r="F36" s="158"/>
    </row>
    <row r="37" spans="1:6" s="159" customFormat="1" ht="41.45" customHeight="1" x14ac:dyDescent="0.2">
      <c r="A37" s="144">
        <v>35</v>
      </c>
      <c r="B37" s="144" t="s">
        <v>199</v>
      </c>
      <c r="C37" s="144">
        <v>34000142</v>
      </c>
      <c r="D37" s="144" t="s">
        <v>182</v>
      </c>
      <c r="E37" s="326">
        <v>323000</v>
      </c>
      <c r="F37" s="158"/>
    </row>
    <row r="38" spans="1:6" s="159" customFormat="1" ht="41.45" customHeight="1" x14ac:dyDescent="0.2">
      <c r="A38" s="144">
        <v>36</v>
      </c>
      <c r="B38" s="144" t="s">
        <v>201</v>
      </c>
      <c r="C38" s="144">
        <v>34000097</v>
      </c>
      <c r="D38" s="144" t="s">
        <v>202</v>
      </c>
      <c r="E38" s="326">
        <v>156000</v>
      </c>
      <c r="F38" s="158"/>
    </row>
    <row r="39" spans="1:6" s="159" customFormat="1" ht="41.45" customHeight="1" x14ac:dyDescent="0.2">
      <c r="A39" s="144">
        <v>37</v>
      </c>
      <c r="B39" s="144" t="s">
        <v>203</v>
      </c>
      <c r="C39" s="144">
        <v>34000491</v>
      </c>
      <c r="D39" s="144" t="s">
        <v>204</v>
      </c>
      <c r="E39" s="326">
        <v>154000</v>
      </c>
      <c r="F39" s="158"/>
    </row>
    <row r="40" spans="1:6" s="159" customFormat="1" ht="41.45" customHeight="1" x14ac:dyDescent="0.2">
      <c r="A40" s="144">
        <v>38</v>
      </c>
      <c r="B40" s="144" t="s">
        <v>205</v>
      </c>
      <c r="C40" s="144">
        <v>34000526</v>
      </c>
      <c r="D40" s="144" t="s">
        <v>206</v>
      </c>
      <c r="E40" s="326">
        <v>191000</v>
      </c>
      <c r="F40" s="158"/>
    </row>
    <row r="41" spans="1:6" s="159" customFormat="1" ht="41.45" customHeight="1" x14ac:dyDescent="0.2">
      <c r="A41" s="144">
        <v>39</v>
      </c>
      <c r="B41" s="144" t="s">
        <v>207</v>
      </c>
      <c r="C41" s="144">
        <v>34000769</v>
      </c>
      <c r="D41" s="144" t="s">
        <v>208</v>
      </c>
      <c r="E41" s="326">
        <v>157000</v>
      </c>
      <c r="F41" s="158"/>
    </row>
    <row r="42" spans="1:6" s="159" customFormat="1" ht="41.45" customHeight="1" x14ac:dyDescent="0.2">
      <c r="A42" s="144">
        <v>40</v>
      </c>
      <c r="B42" s="144" t="s">
        <v>209</v>
      </c>
      <c r="C42" s="144">
        <v>34000112</v>
      </c>
      <c r="D42" s="144" t="s">
        <v>210</v>
      </c>
      <c r="E42" s="326">
        <v>165000</v>
      </c>
      <c r="F42" s="158"/>
    </row>
    <row r="43" spans="1:6" s="159" customFormat="1" ht="41.45" customHeight="1" x14ac:dyDescent="0.2">
      <c r="A43" s="144">
        <v>41</v>
      </c>
      <c r="B43" s="144" t="s">
        <v>211</v>
      </c>
      <c r="C43" s="144">
        <v>34000359</v>
      </c>
      <c r="D43" s="144" t="s">
        <v>212</v>
      </c>
      <c r="E43" s="326">
        <v>804000</v>
      </c>
      <c r="F43" s="158"/>
    </row>
    <row r="44" spans="1:6" s="159" customFormat="1" ht="41.45" customHeight="1" x14ac:dyDescent="0.2">
      <c r="A44" s="144">
        <v>42</v>
      </c>
      <c r="B44" s="144" t="s">
        <v>213</v>
      </c>
      <c r="C44" s="144">
        <v>34000237</v>
      </c>
      <c r="D44" s="144" t="s">
        <v>214</v>
      </c>
      <c r="E44" s="326">
        <v>263000</v>
      </c>
      <c r="F44" s="158"/>
    </row>
    <row r="45" spans="1:6" s="159" customFormat="1" ht="41.45" customHeight="1" x14ac:dyDescent="0.2">
      <c r="A45" s="144">
        <v>43</v>
      </c>
      <c r="B45" s="144" t="s">
        <v>215</v>
      </c>
      <c r="C45" s="144">
        <v>34000571</v>
      </c>
      <c r="D45" s="144" t="s">
        <v>216</v>
      </c>
      <c r="E45" s="326">
        <v>690000</v>
      </c>
      <c r="F45" s="158"/>
    </row>
    <row r="46" spans="1:6" s="159" customFormat="1" ht="41.45" customHeight="1" x14ac:dyDescent="0.2">
      <c r="A46" s="144">
        <v>44</v>
      </c>
      <c r="B46" s="144" t="s">
        <v>217</v>
      </c>
      <c r="C46" s="144">
        <v>34000460</v>
      </c>
      <c r="D46" s="144" t="s">
        <v>218</v>
      </c>
      <c r="E46" s="326">
        <v>193000</v>
      </c>
      <c r="F46" s="158"/>
    </row>
    <row r="47" spans="1:6" s="159" customFormat="1" ht="41.45" customHeight="1" x14ac:dyDescent="0.2">
      <c r="A47" s="144">
        <v>45</v>
      </c>
      <c r="B47" s="144" t="s">
        <v>219</v>
      </c>
      <c r="C47" s="144">
        <v>34000654</v>
      </c>
      <c r="D47" s="144" t="s">
        <v>220</v>
      </c>
      <c r="E47" s="326">
        <v>363000</v>
      </c>
      <c r="F47" s="158"/>
    </row>
    <row r="48" spans="1:6" s="159" customFormat="1" ht="41.45" customHeight="1" x14ac:dyDescent="0.2">
      <c r="A48" s="144">
        <v>46</v>
      </c>
      <c r="B48" s="144" t="s">
        <v>221</v>
      </c>
      <c r="C48" s="144">
        <v>34000486</v>
      </c>
      <c r="D48" s="144" t="s">
        <v>222</v>
      </c>
      <c r="E48" s="326">
        <v>465000</v>
      </c>
      <c r="F48" s="158"/>
    </row>
    <row r="49" spans="1:6" s="159" customFormat="1" ht="41.45" customHeight="1" x14ac:dyDescent="0.2">
      <c r="A49" s="144">
        <v>47</v>
      </c>
      <c r="B49" s="144" t="s">
        <v>223</v>
      </c>
      <c r="C49" s="144">
        <v>34000564</v>
      </c>
      <c r="D49" s="144" t="s">
        <v>224</v>
      </c>
      <c r="E49" s="326">
        <v>157000</v>
      </c>
      <c r="F49" s="158"/>
    </row>
    <row r="50" spans="1:6" s="159" customFormat="1" ht="41.45" customHeight="1" x14ac:dyDescent="0.2">
      <c r="A50" s="144">
        <v>48</v>
      </c>
      <c r="B50" s="144" t="s">
        <v>225</v>
      </c>
      <c r="C50" s="144">
        <v>34000258</v>
      </c>
      <c r="D50" s="144" t="s">
        <v>226</v>
      </c>
      <c r="E50" s="326">
        <v>548000</v>
      </c>
      <c r="F50" s="158"/>
    </row>
    <row r="51" spans="1:6" s="159" customFormat="1" ht="41.45" customHeight="1" x14ac:dyDescent="0.2">
      <c r="A51" s="144">
        <v>49</v>
      </c>
      <c r="B51" s="144" t="s">
        <v>227</v>
      </c>
      <c r="C51" s="144">
        <v>34000771</v>
      </c>
      <c r="D51" s="144" t="s">
        <v>228</v>
      </c>
      <c r="E51" s="326">
        <v>157000</v>
      </c>
      <c r="F51" s="158"/>
    </row>
    <row r="52" spans="1:6" s="159" customFormat="1" ht="41.45" customHeight="1" x14ac:dyDescent="0.2">
      <c r="A52" s="144">
        <v>50</v>
      </c>
      <c r="B52" s="144" t="s">
        <v>229</v>
      </c>
      <c r="C52" s="144">
        <v>34000640</v>
      </c>
      <c r="D52" s="144" t="s">
        <v>230</v>
      </c>
      <c r="E52" s="326">
        <v>461000</v>
      </c>
      <c r="F52" s="158"/>
    </row>
    <row r="53" spans="1:6" s="159" customFormat="1" ht="41.45" customHeight="1" x14ac:dyDescent="0.2">
      <c r="A53" s="144">
        <v>51</v>
      </c>
      <c r="B53" s="144" t="s">
        <v>231</v>
      </c>
      <c r="C53" s="144">
        <v>34000492</v>
      </c>
      <c r="D53" s="144" t="s">
        <v>232</v>
      </c>
      <c r="E53" s="326">
        <v>379000</v>
      </c>
      <c r="F53" s="158"/>
    </row>
    <row r="54" spans="1:6" s="159" customFormat="1" ht="41.45" customHeight="1" x14ac:dyDescent="0.2">
      <c r="A54" s="144">
        <v>52</v>
      </c>
      <c r="B54" s="144" t="s">
        <v>233</v>
      </c>
      <c r="C54" s="144">
        <v>34000488</v>
      </c>
      <c r="D54" s="144" t="s">
        <v>234</v>
      </c>
      <c r="E54" s="326">
        <v>165000</v>
      </c>
      <c r="F54" s="158"/>
    </row>
    <row r="55" spans="1:6" s="159" customFormat="1" ht="41.45" customHeight="1" x14ac:dyDescent="0.2">
      <c r="A55" s="144">
        <v>53</v>
      </c>
      <c r="B55" s="144" t="s">
        <v>235</v>
      </c>
      <c r="C55" s="144">
        <v>34000363</v>
      </c>
      <c r="D55" s="144" t="s">
        <v>236</v>
      </c>
      <c r="E55" s="326">
        <v>475000</v>
      </c>
      <c r="F55" s="158"/>
    </row>
    <row r="56" spans="1:6" s="159" customFormat="1" ht="41.45" customHeight="1" x14ac:dyDescent="0.2">
      <c r="A56" s="144">
        <v>54</v>
      </c>
      <c r="B56" s="144" t="s">
        <v>237</v>
      </c>
      <c r="C56" s="144">
        <v>34000277</v>
      </c>
      <c r="D56" s="144" t="s">
        <v>238</v>
      </c>
      <c r="E56" s="326">
        <v>850000</v>
      </c>
      <c r="F56" s="158"/>
    </row>
    <row r="57" spans="1:6" s="159" customFormat="1" ht="41.45" customHeight="1" x14ac:dyDescent="0.2">
      <c r="A57" s="144">
        <v>55</v>
      </c>
      <c r="B57" s="144" t="s">
        <v>239</v>
      </c>
      <c r="C57" s="144">
        <v>34000446</v>
      </c>
      <c r="D57" s="144" t="s">
        <v>240</v>
      </c>
      <c r="E57" s="326">
        <v>419000</v>
      </c>
      <c r="F57" s="158"/>
    </row>
    <row r="58" spans="1:6" s="159" customFormat="1" ht="41.45" customHeight="1" x14ac:dyDescent="0.2">
      <c r="A58" s="144">
        <v>56</v>
      </c>
      <c r="B58" s="144" t="s">
        <v>241</v>
      </c>
      <c r="C58" s="144">
        <v>34000160</v>
      </c>
      <c r="D58" s="144" t="s">
        <v>242</v>
      </c>
      <c r="E58" s="326">
        <v>490000</v>
      </c>
      <c r="F58" s="158"/>
    </row>
    <row r="59" spans="1:6" s="159" customFormat="1" ht="41.45" customHeight="1" x14ac:dyDescent="0.2">
      <c r="A59" s="144">
        <v>57</v>
      </c>
      <c r="B59" s="144" t="s">
        <v>243</v>
      </c>
      <c r="C59" s="144">
        <v>34000100</v>
      </c>
      <c r="D59" s="144" t="s">
        <v>244</v>
      </c>
      <c r="E59" s="326">
        <v>763000</v>
      </c>
      <c r="F59" s="158"/>
    </row>
    <row r="60" spans="1:6" s="159" customFormat="1" ht="41.45" customHeight="1" x14ac:dyDescent="0.2">
      <c r="A60" s="144">
        <v>58</v>
      </c>
      <c r="B60" s="144" t="s">
        <v>246</v>
      </c>
      <c r="C60" s="144">
        <v>34000631</v>
      </c>
      <c r="D60" s="144" t="s">
        <v>247</v>
      </c>
      <c r="E60" s="326">
        <v>932000</v>
      </c>
      <c r="F60" s="158"/>
    </row>
    <row r="61" spans="1:6" s="159" customFormat="1" ht="41.45" customHeight="1" x14ac:dyDescent="0.2">
      <c r="A61" s="144">
        <v>59</v>
      </c>
      <c r="B61" s="144" t="s">
        <v>248</v>
      </c>
      <c r="C61" s="144">
        <v>34000396</v>
      </c>
      <c r="D61" s="144" t="s">
        <v>249</v>
      </c>
      <c r="E61" s="326">
        <v>156000</v>
      </c>
      <c r="F61" s="158"/>
    </row>
    <row r="62" spans="1:6" s="159" customFormat="1" ht="41.45" customHeight="1" x14ac:dyDescent="0.2">
      <c r="A62" s="144">
        <v>60</v>
      </c>
      <c r="B62" s="144" t="s">
        <v>250</v>
      </c>
      <c r="C62" s="144">
        <v>34000188</v>
      </c>
      <c r="D62" s="144" t="s">
        <v>251</v>
      </c>
      <c r="E62" s="326">
        <v>156000</v>
      </c>
      <c r="F62" s="158"/>
    </row>
    <row r="63" spans="1:6" s="159" customFormat="1" ht="41.45" customHeight="1" x14ac:dyDescent="0.2">
      <c r="A63" s="144">
        <v>61</v>
      </c>
      <c r="B63" s="144" t="s">
        <v>252</v>
      </c>
      <c r="C63" s="144">
        <v>34000487</v>
      </c>
      <c r="D63" s="144" t="s">
        <v>253</v>
      </c>
      <c r="E63" s="326">
        <v>154000</v>
      </c>
      <c r="F63" s="158"/>
    </row>
    <row r="64" spans="1:6" s="159" customFormat="1" ht="41.45" customHeight="1" x14ac:dyDescent="0.2">
      <c r="A64" s="144">
        <v>62</v>
      </c>
      <c r="B64" s="144" t="s">
        <v>254</v>
      </c>
      <c r="C64" s="144">
        <v>34000476</v>
      </c>
      <c r="D64" s="144" t="s">
        <v>255</v>
      </c>
      <c r="E64" s="326">
        <v>382000</v>
      </c>
      <c r="F64" s="158"/>
    </row>
    <row r="65" spans="1:6" s="159" customFormat="1" ht="41.45" customHeight="1" x14ac:dyDescent="0.2">
      <c r="A65" s="144">
        <v>63</v>
      </c>
      <c r="B65" s="144" t="s">
        <v>256</v>
      </c>
      <c r="C65" s="144">
        <v>34000579</v>
      </c>
      <c r="D65" s="144" t="s">
        <v>257</v>
      </c>
      <c r="E65" s="326">
        <v>154000</v>
      </c>
      <c r="F65" s="158"/>
    </row>
    <row r="66" spans="1:6" s="159" customFormat="1" ht="41.45" customHeight="1" x14ac:dyDescent="0.2">
      <c r="A66" s="144">
        <v>64</v>
      </c>
      <c r="B66" s="144" t="s">
        <v>259</v>
      </c>
      <c r="C66" s="144">
        <v>34000695</v>
      </c>
      <c r="D66" s="144" t="s">
        <v>260</v>
      </c>
      <c r="E66" s="326">
        <v>837000</v>
      </c>
      <c r="F66" s="158"/>
    </row>
    <row r="67" spans="1:6" s="159" customFormat="1" ht="41.45" customHeight="1" x14ac:dyDescent="0.2">
      <c r="A67" s="144">
        <v>65</v>
      </c>
      <c r="B67" s="144" t="s">
        <v>261</v>
      </c>
      <c r="C67" s="144">
        <v>34000455</v>
      </c>
      <c r="D67" s="144" t="s">
        <v>262</v>
      </c>
      <c r="E67" s="326">
        <v>342000</v>
      </c>
      <c r="F67" s="158"/>
    </row>
    <row r="68" spans="1:6" s="159" customFormat="1" ht="41.45" customHeight="1" x14ac:dyDescent="0.2">
      <c r="A68" s="144">
        <v>66</v>
      </c>
      <c r="B68" s="144" t="s">
        <v>263</v>
      </c>
      <c r="C68" s="144">
        <v>34000303</v>
      </c>
      <c r="D68" s="144" t="s">
        <v>264</v>
      </c>
      <c r="E68" s="326">
        <v>165000</v>
      </c>
      <c r="F68" s="158"/>
    </row>
    <row r="69" spans="1:6" s="159" customFormat="1" ht="41.45" customHeight="1" x14ac:dyDescent="0.2">
      <c r="A69" s="144">
        <v>67</v>
      </c>
      <c r="B69" s="144" t="s">
        <v>265</v>
      </c>
      <c r="C69" s="144">
        <v>34000569</v>
      </c>
      <c r="D69" s="144" t="s">
        <v>266</v>
      </c>
      <c r="E69" s="326">
        <v>143000</v>
      </c>
      <c r="F69" s="158"/>
    </row>
    <row r="70" spans="1:6" s="159" customFormat="1" ht="41.45" customHeight="1" x14ac:dyDescent="0.2">
      <c r="A70" s="144">
        <v>68</v>
      </c>
      <c r="B70" s="144" t="s">
        <v>267</v>
      </c>
      <c r="C70" s="144">
        <v>34000503</v>
      </c>
      <c r="D70" s="144" t="s">
        <v>268</v>
      </c>
      <c r="E70" s="326">
        <v>143000</v>
      </c>
      <c r="F70" s="158"/>
    </row>
    <row r="71" spans="1:6" s="159" customFormat="1" ht="41.45" customHeight="1" x14ac:dyDescent="0.2">
      <c r="A71" s="144">
        <v>69</v>
      </c>
      <c r="B71" s="144" t="s">
        <v>269</v>
      </c>
      <c r="C71" s="144">
        <v>34000527</v>
      </c>
      <c r="D71" s="144" t="s">
        <v>270</v>
      </c>
      <c r="E71" s="326">
        <v>627000</v>
      </c>
      <c r="F71" s="158"/>
    </row>
    <row r="72" spans="1:6" s="159" customFormat="1" ht="41.45" customHeight="1" x14ac:dyDescent="0.2">
      <c r="A72" s="144">
        <v>70</v>
      </c>
      <c r="B72" s="144" t="s">
        <v>271</v>
      </c>
      <c r="C72" s="144">
        <v>34000210</v>
      </c>
      <c r="D72" s="144" t="s">
        <v>272</v>
      </c>
      <c r="E72" s="326">
        <v>390000</v>
      </c>
      <c r="F72" s="158"/>
    </row>
    <row r="73" spans="1:6" s="159" customFormat="1" ht="41.45" customHeight="1" x14ac:dyDescent="0.2">
      <c r="A73" s="144">
        <v>71</v>
      </c>
      <c r="B73" s="144" t="s">
        <v>273</v>
      </c>
      <c r="C73" s="144">
        <v>34000115</v>
      </c>
      <c r="D73" s="144" t="s">
        <v>274</v>
      </c>
      <c r="E73" s="326">
        <v>731000</v>
      </c>
      <c r="F73" s="158"/>
    </row>
    <row r="74" spans="1:6" s="159" customFormat="1" ht="41.45" customHeight="1" x14ac:dyDescent="0.2">
      <c r="A74" s="144">
        <v>72</v>
      </c>
      <c r="B74" s="144" t="s">
        <v>275</v>
      </c>
      <c r="C74" s="144">
        <v>34000124</v>
      </c>
      <c r="D74" s="144" t="s">
        <v>276</v>
      </c>
      <c r="E74" s="326">
        <v>332000</v>
      </c>
      <c r="F74" s="158"/>
    </row>
    <row r="75" spans="1:6" s="159" customFormat="1" ht="41.45" customHeight="1" x14ac:dyDescent="0.2">
      <c r="A75" s="144">
        <v>73</v>
      </c>
      <c r="B75" s="144" t="s">
        <v>277</v>
      </c>
      <c r="C75" s="144">
        <v>34000131</v>
      </c>
      <c r="D75" s="144" t="s">
        <v>278</v>
      </c>
      <c r="E75" s="326">
        <v>142000</v>
      </c>
      <c r="F75" s="158"/>
    </row>
    <row r="76" spans="1:6" s="159" customFormat="1" ht="41.45" customHeight="1" x14ac:dyDescent="0.2">
      <c r="A76" s="144">
        <v>74</v>
      </c>
      <c r="B76" s="144" t="s">
        <v>279</v>
      </c>
      <c r="C76" s="144">
        <v>34000516</v>
      </c>
      <c r="D76" s="144" t="s">
        <v>280</v>
      </c>
      <c r="E76" s="326">
        <v>479000</v>
      </c>
      <c r="F76" s="158"/>
    </row>
    <row r="77" spans="1:6" s="159" customFormat="1" ht="41.45" customHeight="1" x14ac:dyDescent="0.2">
      <c r="A77" s="144">
        <v>75</v>
      </c>
      <c r="B77" s="144" t="s">
        <v>281</v>
      </c>
      <c r="C77" s="144">
        <v>34000230</v>
      </c>
      <c r="D77" s="144" t="s">
        <v>282</v>
      </c>
      <c r="E77" s="326">
        <v>765000</v>
      </c>
      <c r="F77" s="158"/>
    </row>
    <row r="78" spans="1:6" s="159" customFormat="1" ht="41.45" customHeight="1" x14ac:dyDescent="0.2">
      <c r="A78" s="144">
        <v>76</v>
      </c>
      <c r="B78" s="144" t="s">
        <v>283</v>
      </c>
      <c r="C78" s="144">
        <v>34000050</v>
      </c>
      <c r="D78" s="144" t="s">
        <v>284</v>
      </c>
      <c r="E78" s="326">
        <v>597000</v>
      </c>
      <c r="F78" s="158"/>
    </row>
    <row r="79" spans="1:6" s="159" customFormat="1" ht="41.45" customHeight="1" x14ac:dyDescent="0.2">
      <c r="A79" s="144">
        <v>77</v>
      </c>
      <c r="B79" s="144" t="s">
        <v>285</v>
      </c>
      <c r="C79" s="144">
        <v>34000150</v>
      </c>
      <c r="D79" s="144" t="s">
        <v>286</v>
      </c>
      <c r="E79" s="326">
        <v>142000</v>
      </c>
      <c r="F79" s="158"/>
    </row>
    <row r="80" spans="1:6" s="159" customFormat="1" ht="41.45" customHeight="1" x14ac:dyDescent="0.2">
      <c r="A80" s="144">
        <v>78</v>
      </c>
      <c r="B80" s="144" t="s">
        <v>287</v>
      </c>
      <c r="C80" s="144">
        <v>34000404</v>
      </c>
      <c r="D80" s="144" t="s">
        <v>288</v>
      </c>
      <c r="E80" s="326">
        <v>239000</v>
      </c>
      <c r="F80" s="158"/>
    </row>
    <row r="81" spans="1:6" s="159" customFormat="1" ht="41.45" customHeight="1" x14ac:dyDescent="0.2">
      <c r="A81" s="144">
        <v>79</v>
      </c>
      <c r="B81" s="144" t="s">
        <v>289</v>
      </c>
      <c r="C81" s="144">
        <v>34000499</v>
      </c>
      <c r="D81" s="144" t="s">
        <v>290</v>
      </c>
      <c r="E81" s="326">
        <v>143000</v>
      </c>
      <c r="F81" s="158"/>
    </row>
    <row r="82" spans="1:6" s="159" customFormat="1" ht="41.45" customHeight="1" x14ac:dyDescent="0.2">
      <c r="A82" s="144">
        <v>80</v>
      </c>
      <c r="B82" s="144" t="s">
        <v>291</v>
      </c>
      <c r="C82" s="144">
        <v>34000316</v>
      </c>
      <c r="D82" s="144" t="s">
        <v>292</v>
      </c>
      <c r="E82" s="326">
        <v>333000</v>
      </c>
      <c r="F82" s="158"/>
    </row>
    <row r="83" spans="1:6" s="159" customFormat="1" ht="41.45" customHeight="1" x14ac:dyDescent="0.2">
      <c r="A83" s="144">
        <v>81</v>
      </c>
      <c r="B83" s="144" t="s">
        <v>293</v>
      </c>
      <c r="C83" s="144">
        <v>34000422</v>
      </c>
      <c r="D83" s="144" t="s">
        <v>294</v>
      </c>
      <c r="E83" s="326">
        <v>722000</v>
      </c>
      <c r="F83" s="158"/>
    </row>
    <row r="84" spans="1:6" s="159" customFormat="1" ht="41.45" customHeight="1" x14ac:dyDescent="0.2">
      <c r="A84" s="144">
        <v>82</v>
      </c>
      <c r="B84" s="144" t="s">
        <v>295</v>
      </c>
      <c r="C84" s="144">
        <v>34000398</v>
      </c>
      <c r="D84" s="144" t="s">
        <v>296</v>
      </c>
      <c r="E84" s="326">
        <v>200000</v>
      </c>
      <c r="F84" s="158"/>
    </row>
    <row r="85" spans="1:6" s="159" customFormat="1" ht="41.45" customHeight="1" x14ac:dyDescent="0.2">
      <c r="A85" s="144">
        <v>83</v>
      </c>
      <c r="B85" s="144" t="s">
        <v>299</v>
      </c>
      <c r="C85" s="144">
        <v>34000119</v>
      </c>
      <c r="D85" s="144" t="s">
        <v>300</v>
      </c>
      <c r="E85" s="326">
        <v>759000</v>
      </c>
      <c r="F85" s="158"/>
    </row>
    <row r="86" spans="1:6" s="159" customFormat="1" ht="41.45" customHeight="1" x14ac:dyDescent="0.2">
      <c r="A86" s="144">
        <v>84</v>
      </c>
      <c r="B86" s="144" t="s">
        <v>303</v>
      </c>
      <c r="C86" s="144">
        <v>34000252</v>
      </c>
      <c r="D86" s="144" t="s">
        <v>304</v>
      </c>
      <c r="E86" s="326">
        <v>315000</v>
      </c>
      <c r="F86" s="158"/>
    </row>
    <row r="87" spans="1:6" s="159" customFormat="1" ht="41.45" customHeight="1" x14ac:dyDescent="0.2">
      <c r="A87" s="144">
        <v>85</v>
      </c>
      <c r="B87" s="144" t="s">
        <v>305</v>
      </c>
      <c r="C87" s="144">
        <v>34000593</v>
      </c>
      <c r="D87" s="144" t="s">
        <v>306</v>
      </c>
      <c r="E87" s="326">
        <v>140000</v>
      </c>
      <c r="F87" s="158"/>
    </row>
    <row r="88" spans="1:6" s="159" customFormat="1" ht="41.45" customHeight="1" x14ac:dyDescent="0.2">
      <c r="A88" s="144">
        <v>86</v>
      </c>
      <c r="B88" s="144" t="s">
        <v>307</v>
      </c>
      <c r="C88" s="144">
        <v>34000582</v>
      </c>
      <c r="D88" s="144" t="s">
        <v>308</v>
      </c>
      <c r="E88" s="326">
        <v>296000</v>
      </c>
      <c r="F88" s="158"/>
    </row>
    <row r="89" spans="1:6" s="159" customFormat="1" ht="41.45" customHeight="1" x14ac:dyDescent="0.2">
      <c r="A89" s="144">
        <v>87</v>
      </c>
      <c r="B89" s="144" t="s">
        <v>309</v>
      </c>
      <c r="C89" s="144">
        <v>34000336</v>
      </c>
      <c r="D89" s="144" t="s">
        <v>310</v>
      </c>
      <c r="E89" s="326">
        <v>192000</v>
      </c>
      <c r="F89" s="158"/>
    </row>
    <row r="90" spans="1:6" s="159" customFormat="1" ht="41.45" customHeight="1" x14ac:dyDescent="0.2">
      <c r="A90" s="144">
        <v>88</v>
      </c>
      <c r="B90" s="144" t="s">
        <v>312</v>
      </c>
      <c r="C90" s="144">
        <v>34000221</v>
      </c>
      <c r="D90" s="144" t="s">
        <v>313</v>
      </c>
      <c r="E90" s="326">
        <v>157000</v>
      </c>
      <c r="F90" s="158"/>
    </row>
    <row r="91" spans="1:6" s="159" customFormat="1" ht="41.45" customHeight="1" x14ac:dyDescent="0.2">
      <c r="A91" s="144">
        <v>89</v>
      </c>
      <c r="B91" s="144" t="s">
        <v>314</v>
      </c>
      <c r="C91" s="144">
        <v>34000624</v>
      </c>
      <c r="D91" s="144" t="s">
        <v>315</v>
      </c>
      <c r="E91" s="326">
        <v>254000</v>
      </c>
      <c r="F91" s="158"/>
    </row>
    <row r="92" spans="1:6" s="159" customFormat="1" ht="41.45" customHeight="1" x14ac:dyDescent="0.2">
      <c r="A92" s="144">
        <v>90</v>
      </c>
      <c r="B92" s="144" t="s">
        <v>316</v>
      </c>
      <c r="C92" s="144">
        <v>34000241</v>
      </c>
      <c r="D92" s="144" t="s">
        <v>317</v>
      </c>
      <c r="E92" s="326">
        <v>333000</v>
      </c>
      <c r="F92" s="158"/>
    </row>
    <row r="93" spans="1:6" s="159" customFormat="1" ht="41.45" customHeight="1" x14ac:dyDescent="0.2">
      <c r="A93" s="144">
        <v>91</v>
      </c>
      <c r="B93" s="144" t="s">
        <v>319</v>
      </c>
      <c r="C93" s="144">
        <v>34000780</v>
      </c>
      <c r="D93" s="144" t="s">
        <v>320</v>
      </c>
      <c r="E93" s="326">
        <v>624000</v>
      </c>
      <c r="F93" s="158"/>
    </row>
    <row r="94" spans="1:6" s="159" customFormat="1" ht="41.45" customHeight="1" x14ac:dyDescent="0.2">
      <c r="A94" s="144">
        <v>92</v>
      </c>
      <c r="B94" s="144" t="s">
        <v>322</v>
      </c>
      <c r="C94" s="144">
        <v>34000027</v>
      </c>
      <c r="D94" s="144" t="s">
        <v>323</v>
      </c>
      <c r="E94" s="326">
        <v>315000</v>
      </c>
      <c r="F94" s="158"/>
    </row>
    <row r="95" spans="1:6" s="159" customFormat="1" ht="41.45" customHeight="1" x14ac:dyDescent="0.2">
      <c r="A95" s="144">
        <v>93</v>
      </c>
      <c r="B95" s="144" t="s">
        <v>324</v>
      </c>
      <c r="C95" s="144">
        <v>34000301</v>
      </c>
      <c r="D95" s="144" t="s">
        <v>325</v>
      </c>
      <c r="E95" s="326">
        <v>611000</v>
      </c>
      <c r="F95" s="158"/>
    </row>
    <row r="96" spans="1:6" s="159" customFormat="1" ht="41.45" customHeight="1" x14ac:dyDescent="0.2">
      <c r="A96" s="144">
        <v>94</v>
      </c>
      <c r="B96" s="144" t="s">
        <v>326</v>
      </c>
      <c r="C96" s="144">
        <v>34000278</v>
      </c>
      <c r="D96" s="144" t="s">
        <v>327</v>
      </c>
      <c r="E96" s="326">
        <v>140000</v>
      </c>
      <c r="F96" s="158"/>
    </row>
    <row r="97" spans="1:6" s="159" customFormat="1" ht="41.45" customHeight="1" x14ac:dyDescent="0.2">
      <c r="A97" s="144">
        <v>95</v>
      </c>
      <c r="B97" s="144" t="s">
        <v>329</v>
      </c>
      <c r="C97" s="144">
        <v>34000638</v>
      </c>
      <c r="D97" s="144" t="s">
        <v>330</v>
      </c>
      <c r="E97" s="326">
        <v>140000</v>
      </c>
      <c r="F97" s="158"/>
    </row>
    <row r="98" spans="1:6" s="159" customFormat="1" ht="41.45" customHeight="1" x14ac:dyDescent="0.2">
      <c r="A98" s="144">
        <v>96</v>
      </c>
      <c r="B98" s="144" t="s">
        <v>333</v>
      </c>
      <c r="C98" s="144">
        <v>34000233</v>
      </c>
      <c r="D98" s="144" t="s">
        <v>334</v>
      </c>
      <c r="E98" s="326">
        <v>149000</v>
      </c>
      <c r="F98" s="158"/>
    </row>
    <row r="99" spans="1:6" s="159" customFormat="1" ht="41.45" customHeight="1" x14ac:dyDescent="0.2">
      <c r="A99" s="144">
        <v>97</v>
      </c>
      <c r="B99" s="144" t="s">
        <v>335</v>
      </c>
      <c r="C99" s="144">
        <v>34000474</v>
      </c>
      <c r="D99" s="144" t="s">
        <v>336</v>
      </c>
      <c r="E99" s="326">
        <v>152000</v>
      </c>
      <c r="F99" s="158"/>
    </row>
    <row r="100" spans="1:6" s="159" customFormat="1" ht="41.45" customHeight="1" x14ac:dyDescent="0.2">
      <c r="A100" s="144">
        <v>98</v>
      </c>
      <c r="B100" s="144" t="s">
        <v>337</v>
      </c>
      <c r="C100" s="144">
        <v>34000714</v>
      </c>
      <c r="D100" s="144" t="s">
        <v>338</v>
      </c>
      <c r="E100" s="326">
        <v>152000</v>
      </c>
      <c r="F100" s="158"/>
    </row>
    <row r="101" spans="1:6" s="159" customFormat="1" ht="41.45" customHeight="1" x14ac:dyDescent="0.2">
      <c r="A101" s="144">
        <v>99</v>
      </c>
      <c r="B101" s="144" t="s">
        <v>339</v>
      </c>
      <c r="C101" s="144">
        <v>34000224</v>
      </c>
      <c r="D101" s="144" t="s">
        <v>340</v>
      </c>
      <c r="E101" s="326">
        <v>235000</v>
      </c>
      <c r="F101" s="158"/>
    </row>
    <row r="102" spans="1:6" s="159" customFormat="1" ht="41.45" customHeight="1" x14ac:dyDescent="0.2">
      <c r="A102" s="144">
        <v>100</v>
      </c>
      <c r="B102" s="144" t="s">
        <v>341</v>
      </c>
      <c r="C102" s="144">
        <v>34000524</v>
      </c>
      <c r="D102" s="144" t="s">
        <v>343</v>
      </c>
      <c r="E102" s="326">
        <v>385000</v>
      </c>
      <c r="F102" s="158"/>
    </row>
    <row r="103" spans="1:6" s="159" customFormat="1" ht="41.45" customHeight="1" x14ac:dyDescent="0.2">
      <c r="A103" s="144">
        <v>101</v>
      </c>
      <c r="B103" s="144" t="s">
        <v>344</v>
      </c>
      <c r="C103" s="144">
        <v>34000566</v>
      </c>
      <c r="D103" s="144" t="s">
        <v>345</v>
      </c>
      <c r="E103" s="326">
        <v>147000</v>
      </c>
      <c r="F103" s="158"/>
    </row>
    <row r="104" spans="1:6" s="159" customFormat="1" ht="41.45" customHeight="1" x14ac:dyDescent="0.2">
      <c r="A104" s="144">
        <v>102</v>
      </c>
      <c r="B104" s="144" t="s">
        <v>346</v>
      </c>
      <c r="C104" s="144">
        <v>34000013</v>
      </c>
      <c r="D104" s="144" t="s">
        <v>347</v>
      </c>
      <c r="E104" s="326">
        <v>149000</v>
      </c>
      <c r="F104" s="158"/>
    </row>
    <row r="105" spans="1:6" s="159" customFormat="1" ht="41.45" customHeight="1" x14ac:dyDescent="0.2">
      <c r="A105" s="144">
        <v>103</v>
      </c>
      <c r="B105" s="144" t="s">
        <v>348</v>
      </c>
      <c r="C105" s="144">
        <v>34000077</v>
      </c>
      <c r="D105" s="144" t="s">
        <v>349</v>
      </c>
      <c r="E105" s="326">
        <v>307000</v>
      </c>
      <c r="F105" s="158"/>
    </row>
    <row r="106" spans="1:6" s="159" customFormat="1" ht="41.45" customHeight="1" x14ac:dyDescent="0.2">
      <c r="A106" s="144">
        <v>104</v>
      </c>
      <c r="B106" s="144" t="s">
        <v>350</v>
      </c>
      <c r="C106" s="144">
        <v>34000757</v>
      </c>
      <c r="D106" s="144" t="s">
        <v>351</v>
      </c>
      <c r="E106" s="326">
        <v>140000</v>
      </c>
      <c r="F106" s="158"/>
    </row>
    <row r="107" spans="1:6" s="159" customFormat="1" ht="41.45" customHeight="1" x14ac:dyDescent="0.2">
      <c r="A107" s="144">
        <v>105</v>
      </c>
      <c r="B107" s="144" t="s">
        <v>352</v>
      </c>
      <c r="C107" s="144">
        <v>34000012</v>
      </c>
      <c r="D107" s="144" t="s">
        <v>353</v>
      </c>
      <c r="E107" s="326">
        <v>774000</v>
      </c>
      <c r="F107" s="158"/>
    </row>
    <row r="108" spans="1:6" s="159" customFormat="1" ht="41.45" customHeight="1" x14ac:dyDescent="0.2">
      <c r="A108" s="144">
        <v>106</v>
      </c>
      <c r="B108" s="144" t="s">
        <v>354</v>
      </c>
      <c r="C108" s="144">
        <v>34000794</v>
      </c>
      <c r="D108" s="144" t="s">
        <v>355</v>
      </c>
      <c r="E108" s="326">
        <v>319000</v>
      </c>
      <c r="F108" s="158"/>
    </row>
    <row r="109" spans="1:6" s="159" customFormat="1" ht="41.45" customHeight="1" x14ac:dyDescent="0.2">
      <c r="A109" s="144">
        <v>107</v>
      </c>
      <c r="B109" s="144" t="s">
        <v>356</v>
      </c>
      <c r="C109" s="144">
        <v>34000850</v>
      </c>
      <c r="D109" s="144" t="s">
        <v>357</v>
      </c>
      <c r="E109" s="326">
        <v>327000</v>
      </c>
      <c r="F109" s="158"/>
    </row>
    <row r="110" spans="1:6" s="159" customFormat="1" ht="41.45" customHeight="1" x14ac:dyDescent="0.2">
      <c r="A110" s="144">
        <v>108</v>
      </c>
      <c r="B110" s="144" t="s">
        <v>358</v>
      </c>
      <c r="C110" s="144">
        <v>34000513</v>
      </c>
      <c r="D110" s="144" t="s">
        <v>359</v>
      </c>
      <c r="E110" s="326">
        <v>150000</v>
      </c>
      <c r="F110" s="158"/>
    </row>
    <row r="111" spans="1:6" s="159" customFormat="1" ht="41.45" customHeight="1" x14ac:dyDescent="0.2">
      <c r="A111" s="144">
        <v>109</v>
      </c>
      <c r="B111" s="144" t="s">
        <v>360</v>
      </c>
      <c r="C111" s="144">
        <v>34000478</v>
      </c>
      <c r="D111" s="144" t="s">
        <v>361</v>
      </c>
      <c r="E111" s="326">
        <v>226000</v>
      </c>
      <c r="F111" s="158"/>
    </row>
    <row r="112" spans="1:6" s="159" customFormat="1" ht="41.45" customHeight="1" x14ac:dyDescent="0.2">
      <c r="A112" s="144">
        <v>110</v>
      </c>
      <c r="B112" s="144" t="s">
        <v>362</v>
      </c>
      <c r="C112" s="144">
        <v>34000552</v>
      </c>
      <c r="D112" s="144" t="s">
        <v>363</v>
      </c>
      <c r="E112" s="326">
        <v>431000</v>
      </c>
      <c r="F112" s="158"/>
    </row>
    <row r="113" spans="1:6" s="159" customFormat="1" ht="41.45" customHeight="1" x14ac:dyDescent="0.2">
      <c r="A113" s="144">
        <v>111</v>
      </c>
      <c r="B113" s="144" t="s">
        <v>364</v>
      </c>
      <c r="C113" s="144">
        <v>34000351</v>
      </c>
      <c r="D113" s="144" t="s">
        <v>365</v>
      </c>
      <c r="E113" s="326">
        <v>336000</v>
      </c>
      <c r="F113" s="158"/>
    </row>
    <row r="114" spans="1:6" s="159" customFormat="1" ht="41.45" customHeight="1" x14ac:dyDescent="0.2">
      <c r="A114" s="144">
        <v>112</v>
      </c>
      <c r="B114" s="144" t="s">
        <v>366</v>
      </c>
      <c r="C114" s="144">
        <v>34000105</v>
      </c>
      <c r="D114" s="144" t="s">
        <v>367</v>
      </c>
      <c r="E114" s="326">
        <v>139000</v>
      </c>
      <c r="F114" s="158"/>
    </row>
    <row r="115" spans="1:6" s="159" customFormat="1" ht="41.45" customHeight="1" x14ac:dyDescent="0.2">
      <c r="A115" s="144">
        <v>113</v>
      </c>
      <c r="B115" s="144" t="s">
        <v>368</v>
      </c>
      <c r="C115" s="144">
        <v>34000180</v>
      </c>
      <c r="D115" s="144" t="s">
        <v>369</v>
      </c>
      <c r="E115" s="326">
        <v>319000</v>
      </c>
      <c r="F115" s="158"/>
    </row>
    <row r="116" spans="1:6" s="159" customFormat="1" ht="41.45" customHeight="1" x14ac:dyDescent="0.2">
      <c r="A116" s="144">
        <v>114</v>
      </c>
      <c r="B116" s="144" t="s">
        <v>370</v>
      </c>
      <c r="C116" s="144">
        <v>34000738</v>
      </c>
      <c r="D116" s="144" t="s">
        <v>371</v>
      </c>
      <c r="E116" s="326">
        <v>139000</v>
      </c>
      <c r="F116" s="158"/>
    </row>
    <row r="117" spans="1:6" s="159" customFormat="1" ht="41.45" customHeight="1" x14ac:dyDescent="0.2">
      <c r="A117" s="144">
        <v>115</v>
      </c>
      <c r="B117" s="144" t="s">
        <v>372</v>
      </c>
      <c r="C117" s="144">
        <v>34000265</v>
      </c>
      <c r="D117" s="144" t="s">
        <v>373</v>
      </c>
      <c r="E117" s="326">
        <v>1044000</v>
      </c>
      <c r="F117" s="158"/>
    </row>
    <row r="118" spans="1:6" s="159" customFormat="1" ht="41.45" customHeight="1" x14ac:dyDescent="0.2">
      <c r="A118" s="144">
        <v>116</v>
      </c>
      <c r="B118" s="144" t="s">
        <v>374</v>
      </c>
      <c r="C118" s="144">
        <v>34000643</v>
      </c>
      <c r="D118" s="144" t="s">
        <v>375</v>
      </c>
      <c r="E118" s="326">
        <v>530000</v>
      </c>
      <c r="F118" s="158"/>
    </row>
    <row r="119" spans="1:6" s="159" customFormat="1" ht="41.45" customHeight="1" x14ac:dyDescent="0.2">
      <c r="A119" s="144">
        <v>117</v>
      </c>
      <c r="B119" s="144" t="s">
        <v>376</v>
      </c>
      <c r="C119" s="144">
        <v>34000721</v>
      </c>
      <c r="D119" s="144" t="s">
        <v>377</v>
      </c>
      <c r="E119" s="326">
        <v>142000</v>
      </c>
      <c r="F119" s="158"/>
    </row>
    <row r="120" spans="1:6" s="159" customFormat="1" ht="41.45" customHeight="1" x14ac:dyDescent="0.2">
      <c r="A120" s="144">
        <v>118</v>
      </c>
      <c r="B120" s="144" t="s">
        <v>378</v>
      </c>
      <c r="C120" s="144">
        <v>34000362</v>
      </c>
      <c r="D120" s="144" t="s">
        <v>379</v>
      </c>
      <c r="E120" s="326">
        <v>150000</v>
      </c>
      <c r="F120" s="158"/>
    </row>
    <row r="121" spans="1:6" s="159" customFormat="1" ht="41.45" customHeight="1" x14ac:dyDescent="0.2">
      <c r="A121" s="144">
        <v>119</v>
      </c>
      <c r="B121" s="144" t="s">
        <v>380</v>
      </c>
      <c r="C121" s="144">
        <v>34000534</v>
      </c>
      <c r="D121" s="144" t="s">
        <v>381</v>
      </c>
      <c r="E121" s="326">
        <v>552000</v>
      </c>
      <c r="F121" s="158"/>
    </row>
    <row r="122" spans="1:6" s="159" customFormat="1" ht="41.45" customHeight="1" x14ac:dyDescent="0.2">
      <c r="A122" s="144">
        <v>120</v>
      </c>
      <c r="B122" s="144" t="s">
        <v>384</v>
      </c>
      <c r="C122" s="144">
        <v>34000181</v>
      </c>
      <c r="D122" s="144" t="s">
        <v>385</v>
      </c>
      <c r="E122" s="326">
        <v>142000</v>
      </c>
      <c r="F122" s="158"/>
    </row>
    <row r="123" spans="1:6" s="159" customFormat="1" ht="41.45" customHeight="1" x14ac:dyDescent="0.2">
      <c r="A123" s="144">
        <v>121</v>
      </c>
      <c r="B123" s="144" t="s">
        <v>386</v>
      </c>
      <c r="C123" s="144">
        <v>34000247</v>
      </c>
      <c r="D123" s="144" t="s">
        <v>387</v>
      </c>
      <c r="E123" s="326">
        <v>365000</v>
      </c>
      <c r="F123" s="158"/>
    </row>
    <row r="124" spans="1:6" s="159" customFormat="1" ht="41.45" customHeight="1" x14ac:dyDescent="0.2">
      <c r="A124" s="144">
        <v>122</v>
      </c>
      <c r="B124" s="144" t="s">
        <v>388</v>
      </c>
      <c r="C124" s="144">
        <v>34000298</v>
      </c>
      <c r="D124" s="144" t="s">
        <v>389</v>
      </c>
      <c r="E124" s="326">
        <v>617000</v>
      </c>
      <c r="F124" s="158"/>
    </row>
    <row r="125" spans="1:6" s="159" customFormat="1" ht="41.45" customHeight="1" x14ac:dyDescent="0.2">
      <c r="A125" s="144">
        <v>123</v>
      </c>
      <c r="B125" s="144" t="s">
        <v>390</v>
      </c>
      <c r="C125" s="144">
        <v>34000340</v>
      </c>
      <c r="D125" s="144" t="s">
        <v>391</v>
      </c>
      <c r="E125" s="326">
        <v>140000</v>
      </c>
      <c r="F125" s="158"/>
    </row>
    <row r="126" spans="1:6" s="159" customFormat="1" ht="41.45" customHeight="1" x14ac:dyDescent="0.2">
      <c r="A126" s="144">
        <v>124</v>
      </c>
      <c r="B126" s="144" t="s">
        <v>392</v>
      </c>
      <c r="C126" s="144">
        <v>34000184</v>
      </c>
      <c r="D126" s="144" t="s">
        <v>393</v>
      </c>
      <c r="E126" s="326">
        <v>180000</v>
      </c>
      <c r="F126" s="158"/>
    </row>
    <row r="127" spans="1:6" s="159" customFormat="1" ht="41.45" customHeight="1" x14ac:dyDescent="0.2">
      <c r="A127" s="144">
        <v>125</v>
      </c>
      <c r="B127" s="144" t="s">
        <v>394</v>
      </c>
      <c r="C127" s="144">
        <v>34000009</v>
      </c>
      <c r="D127" s="144" t="s">
        <v>395</v>
      </c>
      <c r="E127" s="326">
        <v>697000</v>
      </c>
      <c r="F127" s="158"/>
    </row>
    <row r="128" spans="1:6" s="159" customFormat="1" ht="41.45" customHeight="1" x14ac:dyDescent="0.2">
      <c r="A128" s="144">
        <v>126</v>
      </c>
      <c r="B128" s="144" t="s">
        <v>396</v>
      </c>
      <c r="C128" s="144">
        <v>34000495</v>
      </c>
      <c r="D128" s="144" t="s">
        <v>397</v>
      </c>
      <c r="E128" s="326">
        <v>471000</v>
      </c>
      <c r="F128" s="158"/>
    </row>
    <row r="129" spans="1:6" s="159" customFormat="1" ht="41.45" customHeight="1" x14ac:dyDescent="0.2">
      <c r="A129" s="144">
        <v>127</v>
      </c>
      <c r="B129" s="144" t="s">
        <v>398</v>
      </c>
      <c r="C129" s="144">
        <v>34000344</v>
      </c>
      <c r="D129" s="144" t="s">
        <v>399</v>
      </c>
      <c r="E129" s="326">
        <v>659000</v>
      </c>
      <c r="F129" s="158"/>
    </row>
    <row r="130" spans="1:6" s="159" customFormat="1" ht="41.45" customHeight="1" x14ac:dyDescent="0.2">
      <c r="A130" s="144">
        <v>128</v>
      </c>
      <c r="B130" s="144" t="s">
        <v>400</v>
      </c>
      <c r="C130" s="144">
        <v>34000424</v>
      </c>
      <c r="D130" s="144" t="s">
        <v>401</v>
      </c>
      <c r="E130" s="326">
        <v>488000</v>
      </c>
      <c r="F130" s="158"/>
    </row>
    <row r="131" spans="1:6" s="159" customFormat="1" ht="41.45" customHeight="1" x14ac:dyDescent="0.2">
      <c r="A131" s="144">
        <v>129</v>
      </c>
      <c r="B131" s="144" t="s">
        <v>402</v>
      </c>
      <c r="C131" s="144">
        <v>34000532</v>
      </c>
      <c r="D131" s="144" t="s">
        <v>403</v>
      </c>
      <c r="E131" s="326">
        <v>205000</v>
      </c>
      <c r="F131" s="158"/>
    </row>
    <row r="132" spans="1:6" s="159" customFormat="1" ht="41.45" customHeight="1" x14ac:dyDescent="0.2">
      <c r="A132" s="144">
        <v>130</v>
      </c>
      <c r="B132" s="144" t="s">
        <v>404</v>
      </c>
      <c r="C132" s="144">
        <v>34000391</v>
      </c>
      <c r="D132" s="144" t="s">
        <v>405</v>
      </c>
      <c r="E132" s="326">
        <v>372000</v>
      </c>
      <c r="F132" s="158"/>
    </row>
    <row r="133" spans="1:6" s="159" customFormat="1" ht="41.45" customHeight="1" x14ac:dyDescent="0.2">
      <c r="A133" s="144">
        <v>131</v>
      </c>
      <c r="B133" s="144" t="s">
        <v>406</v>
      </c>
      <c r="C133" s="144">
        <v>34000393</v>
      </c>
      <c r="D133" s="144" t="s">
        <v>407</v>
      </c>
      <c r="E133" s="326">
        <v>332000</v>
      </c>
      <c r="F133" s="158"/>
    </row>
    <row r="134" spans="1:6" s="159" customFormat="1" ht="41.45" customHeight="1" x14ac:dyDescent="0.2">
      <c r="A134" s="144">
        <v>132</v>
      </c>
      <c r="B134" s="144" t="s">
        <v>408</v>
      </c>
      <c r="C134" s="144">
        <v>34000412</v>
      </c>
      <c r="D134" s="144" t="s">
        <v>409</v>
      </c>
      <c r="E134" s="326">
        <v>193000</v>
      </c>
      <c r="F134" s="158"/>
    </row>
    <row r="135" spans="1:6" s="159" customFormat="1" ht="41.45" customHeight="1" x14ac:dyDescent="0.2">
      <c r="A135" s="144">
        <v>133</v>
      </c>
      <c r="B135" s="144" t="s">
        <v>414</v>
      </c>
      <c r="C135" s="144">
        <v>34000754</v>
      </c>
      <c r="D135" s="144" t="s">
        <v>415</v>
      </c>
      <c r="E135" s="326">
        <v>170000</v>
      </c>
      <c r="F135" s="158"/>
    </row>
    <row r="136" spans="1:6" s="159" customFormat="1" ht="41.45" customHeight="1" x14ac:dyDescent="0.2">
      <c r="A136" s="144">
        <v>134</v>
      </c>
      <c r="B136" s="144" t="s">
        <v>416</v>
      </c>
      <c r="C136" s="144">
        <v>34000342</v>
      </c>
      <c r="D136" s="144" t="s">
        <v>417</v>
      </c>
      <c r="E136" s="326">
        <v>148000</v>
      </c>
      <c r="F136" s="158"/>
    </row>
    <row r="137" spans="1:6" s="159" customFormat="1" ht="41.45" customHeight="1" x14ac:dyDescent="0.2">
      <c r="A137" s="144">
        <v>135</v>
      </c>
      <c r="B137" s="144" t="s">
        <v>418</v>
      </c>
      <c r="C137" s="144">
        <v>34000127</v>
      </c>
      <c r="D137" s="144" t="s">
        <v>419</v>
      </c>
      <c r="E137" s="326">
        <v>140000</v>
      </c>
      <c r="F137" s="158"/>
    </row>
    <row r="138" spans="1:6" s="159" customFormat="1" ht="41.45" customHeight="1" x14ac:dyDescent="0.2">
      <c r="A138" s="144">
        <v>136</v>
      </c>
      <c r="B138" s="144" t="s">
        <v>420</v>
      </c>
      <c r="C138" s="144">
        <v>34000264</v>
      </c>
      <c r="D138" s="144" t="s">
        <v>421</v>
      </c>
      <c r="E138" s="326">
        <v>341000</v>
      </c>
      <c r="F138" s="158"/>
    </row>
    <row r="139" spans="1:6" s="159" customFormat="1" ht="41.45" customHeight="1" x14ac:dyDescent="0.2">
      <c r="A139" s="144">
        <v>137</v>
      </c>
      <c r="B139" s="144" t="s">
        <v>422</v>
      </c>
      <c r="C139" s="144">
        <v>34000807</v>
      </c>
      <c r="D139" s="144" t="s">
        <v>423</v>
      </c>
      <c r="E139" s="326">
        <v>466000</v>
      </c>
      <c r="F139" s="158"/>
    </row>
    <row r="140" spans="1:6" s="159" customFormat="1" ht="41.45" customHeight="1" x14ac:dyDescent="0.2">
      <c r="A140" s="144">
        <v>138</v>
      </c>
      <c r="B140" s="144" t="s">
        <v>424</v>
      </c>
      <c r="C140" s="144">
        <v>34000411</v>
      </c>
      <c r="D140" s="144" t="s">
        <v>425</v>
      </c>
      <c r="E140" s="326">
        <v>139000</v>
      </c>
      <c r="F140" s="158"/>
    </row>
    <row r="141" spans="1:6" s="159" customFormat="1" ht="41.45" customHeight="1" x14ac:dyDescent="0.2">
      <c r="A141" s="144">
        <v>139</v>
      </c>
      <c r="B141" s="144" t="s">
        <v>426</v>
      </c>
      <c r="C141" s="144">
        <v>34000020</v>
      </c>
      <c r="D141" s="144" t="s">
        <v>427</v>
      </c>
      <c r="E141" s="326">
        <v>143000</v>
      </c>
      <c r="F141" s="158"/>
    </row>
    <row r="142" spans="1:6" s="159" customFormat="1" ht="41.45" customHeight="1" x14ac:dyDescent="0.2">
      <c r="A142" s="144">
        <v>140</v>
      </c>
      <c r="B142" s="144" t="s">
        <v>428</v>
      </c>
      <c r="C142" s="144">
        <v>34000522</v>
      </c>
      <c r="D142" s="144" t="s">
        <v>429</v>
      </c>
      <c r="E142" s="326">
        <v>333000</v>
      </c>
      <c r="F142" s="158"/>
    </row>
    <row r="143" spans="1:6" s="159" customFormat="1" ht="41.45" customHeight="1" x14ac:dyDescent="0.2">
      <c r="A143" s="144">
        <v>141</v>
      </c>
      <c r="B143" s="144" t="s">
        <v>430</v>
      </c>
      <c r="C143" s="144">
        <v>34000753</v>
      </c>
      <c r="D143" s="144" t="s">
        <v>431</v>
      </c>
      <c r="E143" s="326">
        <v>617000</v>
      </c>
      <c r="F143" s="158"/>
    </row>
    <row r="144" spans="1:6" s="159" customFormat="1" ht="41.45" customHeight="1" x14ac:dyDescent="0.2">
      <c r="A144" s="144">
        <v>142</v>
      </c>
      <c r="B144" s="144" t="s">
        <v>432</v>
      </c>
      <c r="C144" s="144">
        <v>34000701</v>
      </c>
      <c r="D144" s="144" t="s">
        <v>433</v>
      </c>
      <c r="E144" s="326">
        <v>231000</v>
      </c>
      <c r="F144" s="158"/>
    </row>
    <row r="145" spans="1:6" s="159" customFormat="1" ht="41.45" customHeight="1" x14ac:dyDescent="0.2">
      <c r="A145" s="144">
        <v>143</v>
      </c>
      <c r="B145" s="144" t="s">
        <v>434</v>
      </c>
      <c r="C145" s="144">
        <v>34000272</v>
      </c>
      <c r="D145" s="144" t="s">
        <v>435</v>
      </c>
      <c r="E145" s="326">
        <v>148000</v>
      </c>
      <c r="F145" s="158"/>
    </row>
    <row r="146" spans="1:6" s="159" customFormat="1" ht="41.45" customHeight="1" x14ac:dyDescent="0.2">
      <c r="A146" s="144">
        <v>144</v>
      </c>
      <c r="B146" s="144" t="s">
        <v>438</v>
      </c>
      <c r="C146" s="144">
        <v>34000229</v>
      </c>
      <c r="D146" s="144" t="s">
        <v>439</v>
      </c>
      <c r="E146" s="326">
        <v>325000</v>
      </c>
      <c r="F146" s="158"/>
    </row>
    <row r="147" spans="1:6" s="159" customFormat="1" ht="41.45" customHeight="1" x14ac:dyDescent="0.2">
      <c r="A147" s="144">
        <v>145</v>
      </c>
      <c r="B147" s="144" t="s">
        <v>440</v>
      </c>
      <c r="C147" s="144">
        <v>34000541</v>
      </c>
      <c r="D147" s="144" t="s">
        <v>441</v>
      </c>
      <c r="E147" s="326">
        <v>668000</v>
      </c>
      <c r="F147" s="158"/>
    </row>
    <row r="148" spans="1:6" s="159" customFormat="1" ht="41.45" customHeight="1" x14ac:dyDescent="0.2">
      <c r="A148" s="144">
        <v>146</v>
      </c>
      <c r="B148" s="144" t="s">
        <v>442</v>
      </c>
      <c r="C148" s="144">
        <v>34000727</v>
      </c>
      <c r="D148" s="144" t="s">
        <v>443</v>
      </c>
      <c r="E148" s="326">
        <v>159000</v>
      </c>
      <c r="F148" s="158"/>
    </row>
    <row r="149" spans="1:6" s="159" customFormat="1" ht="41.45" customHeight="1" x14ac:dyDescent="0.2">
      <c r="A149" s="144">
        <v>147</v>
      </c>
      <c r="B149" s="144" t="s">
        <v>444</v>
      </c>
      <c r="C149" s="144">
        <v>34000390</v>
      </c>
      <c r="D149" s="144" t="s">
        <v>445</v>
      </c>
      <c r="E149" s="326">
        <v>515000</v>
      </c>
      <c r="F149" s="158"/>
    </row>
    <row r="150" spans="1:6" s="159" customFormat="1" ht="41.45" customHeight="1" x14ac:dyDescent="0.2">
      <c r="A150" s="144">
        <v>148</v>
      </c>
      <c r="B150" s="144" t="s">
        <v>446</v>
      </c>
      <c r="C150" s="144">
        <v>34000341</v>
      </c>
      <c r="D150" s="144" t="s">
        <v>447</v>
      </c>
      <c r="E150" s="326">
        <v>320000</v>
      </c>
      <c r="F150" s="158"/>
    </row>
    <row r="151" spans="1:6" s="159" customFormat="1" ht="41.45" customHeight="1" x14ac:dyDescent="0.2">
      <c r="A151" s="144">
        <v>149</v>
      </c>
      <c r="B151" s="144" t="s">
        <v>448</v>
      </c>
      <c r="C151" s="144">
        <v>34000520</v>
      </c>
      <c r="D151" s="144" t="s">
        <v>449</v>
      </c>
      <c r="E151" s="326">
        <v>374000</v>
      </c>
      <c r="F151" s="158"/>
    </row>
    <row r="152" spans="1:6" s="159" customFormat="1" ht="41.45" customHeight="1" x14ac:dyDescent="0.2">
      <c r="A152" s="144">
        <v>150</v>
      </c>
      <c r="B152" s="144" t="s">
        <v>450</v>
      </c>
      <c r="C152" s="144">
        <v>34000575</v>
      </c>
      <c r="D152" s="144" t="s">
        <v>451</v>
      </c>
      <c r="E152" s="326">
        <v>267000</v>
      </c>
      <c r="F152" s="158"/>
    </row>
    <row r="153" spans="1:6" s="159" customFormat="1" ht="41.45" customHeight="1" x14ac:dyDescent="0.2">
      <c r="A153" s="144">
        <v>151</v>
      </c>
      <c r="B153" s="144" t="s">
        <v>452</v>
      </c>
      <c r="C153" s="144">
        <v>34000630</v>
      </c>
      <c r="D153" s="144" t="s">
        <v>453</v>
      </c>
      <c r="E153" s="326">
        <v>271000</v>
      </c>
      <c r="F153" s="158"/>
    </row>
    <row r="154" spans="1:6" s="159" customFormat="1" ht="41.45" customHeight="1" x14ac:dyDescent="0.2">
      <c r="A154" s="144">
        <v>152</v>
      </c>
      <c r="B154" s="144" t="s">
        <v>454</v>
      </c>
      <c r="C154" s="144">
        <v>34000497</v>
      </c>
      <c r="D154" s="144" t="s">
        <v>455</v>
      </c>
      <c r="E154" s="326">
        <v>305000</v>
      </c>
      <c r="F154" s="158"/>
    </row>
    <row r="155" spans="1:6" s="159" customFormat="1" ht="41.45" customHeight="1" x14ac:dyDescent="0.2">
      <c r="A155" s="144">
        <v>153</v>
      </c>
      <c r="B155" s="144" t="s">
        <v>456</v>
      </c>
      <c r="C155" s="144">
        <v>34000765</v>
      </c>
      <c r="D155" s="144" t="s">
        <v>457</v>
      </c>
      <c r="E155" s="326">
        <v>329000</v>
      </c>
      <c r="F155" s="158"/>
    </row>
    <row r="156" spans="1:6" s="159" customFormat="1" ht="41.45" customHeight="1" x14ac:dyDescent="0.2">
      <c r="A156" s="144">
        <v>154</v>
      </c>
      <c r="B156" s="144" t="s">
        <v>458</v>
      </c>
      <c r="C156" s="144">
        <v>34000352</v>
      </c>
      <c r="D156" s="144" t="s">
        <v>459</v>
      </c>
      <c r="E156" s="326">
        <v>139000</v>
      </c>
      <c r="F156" s="158"/>
    </row>
    <row r="157" spans="1:6" s="159" customFormat="1" ht="41.45" customHeight="1" x14ac:dyDescent="0.2">
      <c r="A157" s="144">
        <v>155</v>
      </c>
      <c r="B157" s="144" t="s">
        <v>460</v>
      </c>
      <c r="C157" s="144">
        <v>34000337</v>
      </c>
      <c r="D157" s="144" t="s">
        <v>238</v>
      </c>
      <c r="E157" s="326">
        <v>174000</v>
      </c>
      <c r="F157" s="158"/>
    </row>
    <row r="158" spans="1:6" s="159" customFormat="1" ht="41.45" customHeight="1" x14ac:dyDescent="0.2">
      <c r="A158" s="144">
        <v>156</v>
      </c>
      <c r="B158" s="144" t="s">
        <v>461</v>
      </c>
      <c r="C158" s="144">
        <v>34000648</v>
      </c>
      <c r="D158" s="144" t="s">
        <v>462</v>
      </c>
      <c r="E158" s="326">
        <v>282000</v>
      </c>
      <c r="F158" s="158"/>
    </row>
    <row r="159" spans="1:6" s="159" customFormat="1" ht="41.45" customHeight="1" x14ac:dyDescent="0.2">
      <c r="A159" s="144">
        <v>157</v>
      </c>
      <c r="B159" s="144" t="s">
        <v>465</v>
      </c>
      <c r="C159" s="144">
        <v>34000192</v>
      </c>
      <c r="D159" s="144" t="s">
        <v>466</v>
      </c>
      <c r="E159" s="326">
        <v>519000</v>
      </c>
      <c r="F159" s="158"/>
    </row>
    <row r="160" spans="1:6" s="159" customFormat="1" ht="41.45" customHeight="1" x14ac:dyDescent="0.2">
      <c r="A160" s="144">
        <v>158</v>
      </c>
      <c r="B160" s="144" t="s">
        <v>467</v>
      </c>
      <c r="C160" s="144">
        <v>34000166</v>
      </c>
      <c r="D160" s="144" t="s">
        <v>468</v>
      </c>
      <c r="E160" s="326">
        <v>276000</v>
      </c>
      <c r="F160" s="158"/>
    </row>
    <row r="161" spans="1:6" s="159" customFormat="1" ht="41.45" customHeight="1" x14ac:dyDescent="0.2">
      <c r="A161" s="144">
        <v>159</v>
      </c>
      <c r="B161" s="144" t="s">
        <v>469</v>
      </c>
      <c r="C161" s="144">
        <v>34000639</v>
      </c>
      <c r="D161" s="144" t="s">
        <v>470</v>
      </c>
      <c r="E161" s="326">
        <v>268000</v>
      </c>
      <c r="F161" s="158"/>
    </row>
    <row r="162" spans="1:6" s="159" customFormat="1" ht="41.45" customHeight="1" x14ac:dyDescent="0.2">
      <c r="A162" s="144">
        <v>160</v>
      </c>
      <c r="B162" s="144" t="s">
        <v>471</v>
      </c>
      <c r="C162" s="144">
        <v>34000106</v>
      </c>
      <c r="D162" s="144" t="s">
        <v>472</v>
      </c>
      <c r="E162" s="326">
        <v>807000</v>
      </c>
      <c r="F162" s="158"/>
    </row>
    <row r="163" spans="1:6" s="159" customFormat="1" ht="41.45" customHeight="1" x14ac:dyDescent="0.2">
      <c r="A163" s="144">
        <v>161</v>
      </c>
      <c r="B163" s="144" t="s">
        <v>473</v>
      </c>
      <c r="C163" s="144">
        <v>34000758</v>
      </c>
      <c r="D163" s="144" t="s">
        <v>474</v>
      </c>
      <c r="E163" s="326">
        <v>305000</v>
      </c>
      <c r="F163" s="158"/>
    </row>
    <row r="164" spans="1:6" s="159" customFormat="1" ht="41.45" customHeight="1" x14ac:dyDescent="0.2">
      <c r="A164" s="144">
        <v>162</v>
      </c>
      <c r="B164" s="144" t="s">
        <v>475</v>
      </c>
      <c r="C164" s="144">
        <v>34000118</v>
      </c>
      <c r="D164" s="144" t="s">
        <v>476</v>
      </c>
      <c r="E164" s="326">
        <v>850000</v>
      </c>
      <c r="F164" s="158"/>
    </row>
    <row r="165" spans="1:6" s="159" customFormat="1" ht="41.45" customHeight="1" x14ac:dyDescent="0.2">
      <c r="A165" s="144">
        <v>163</v>
      </c>
      <c r="B165" s="144" t="s">
        <v>477</v>
      </c>
      <c r="C165" s="144">
        <v>34000529</v>
      </c>
      <c r="D165" s="144" t="s">
        <v>478</v>
      </c>
      <c r="E165" s="326">
        <v>570000</v>
      </c>
      <c r="F165" s="158"/>
    </row>
    <row r="166" spans="1:6" s="159" customFormat="1" ht="41.45" customHeight="1" x14ac:dyDescent="0.2">
      <c r="A166" s="144">
        <v>164</v>
      </c>
      <c r="B166" s="144" t="s">
        <v>479</v>
      </c>
      <c r="C166" s="144">
        <v>34000259</v>
      </c>
      <c r="D166" s="144" t="s">
        <v>480</v>
      </c>
      <c r="E166" s="326">
        <v>295000</v>
      </c>
      <c r="F166" s="158"/>
    </row>
    <row r="167" spans="1:6" s="159" customFormat="1" ht="41.45" customHeight="1" x14ac:dyDescent="0.2">
      <c r="A167" s="144">
        <v>165</v>
      </c>
      <c r="B167" s="144" t="s">
        <v>481</v>
      </c>
      <c r="C167" s="144">
        <v>34000218</v>
      </c>
      <c r="D167" s="144" t="s">
        <v>482</v>
      </c>
      <c r="E167" s="326">
        <v>294000</v>
      </c>
      <c r="F167" s="158"/>
    </row>
    <row r="168" spans="1:6" s="159" customFormat="1" ht="41.45" customHeight="1" x14ac:dyDescent="0.2">
      <c r="A168" s="144">
        <v>166</v>
      </c>
      <c r="B168" s="144" t="s">
        <v>483</v>
      </c>
      <c r="C168" s="144">
        <v>34000379</v>
      </c>
      <c r="D168" s="144" t="s">
        <v>484</v>
      </c>
      <c r="E168" s="326">
        <v>958000</v>
      </c>
      <c r="F168" s="158"/>
    </row>
    <row r="169" spans="1:6" s="159" customFormat="1" ht="41.45" customHeight="1" x14ac:dyDescent="0.2">
      <c r="A169" s="144">
        <v>167</v>
      </c>
      <c r="B169" s="144" t="s">
        <v>485</v>
      </c>
      <c r="C169" s="144">
        <v>34000490</v>
      </c>
      <c r="D169" s="144" t="s">
        <v>486</v>
      </c>
      <c r="E169" s="326">
        <v>784000</v>
      </c>
      <c r="F169" s="158"/>
    </row>
    <row r="170" spans="1:6" s="159" customFormat="1" ht="41.45" customHeight="1" x14ac:dyDescent="0.2">
      <c r="A170" s="144">
        <v>168</v>
      </c>
      <c r="B170" s="144" t="s">
        <v>491</v>
      </c>
      <c r="C170" s="144">
        <v>34000470</v>
      </c>
      <c r="D170" s="144" t="s">
        <v>492</v>
      </c>
      <c r="E170" s="326">
        <v>690000</v>
      </c>
      <c r="F170" s="158"/>
    </row>
    <row r="171" spans="1:6" s="159" customFormat="1" ht="41.45" customHeight="1" x14ac:dyDescent="0.2">
      <c r="A171" s="144">
        <v>169</v>
      </c>
      <c r="B171" s="144" t="s">
        <v>559</v>
      </c>
      <c r="C171" s="144">
        <v>34000242</v>
      </c>
      <c r="D171" s="144" t="s">
        <v>560</v>
      </c>
      <c r="E171" s="326">
        <v>120000</v>
      </c>
      <c r="F171" s="158"/>
    </row>
    <row r="172" spans="1:6" s="159" customFormat="1" ht="41.45" customHeight="1" x14ac:dyDescent="0.2">
      <c r="A172" s="144">
        <v>170</v>
      </c>
      <c r="B172" s="144" t="s">
        <v>493</v>
      </c>
      <c r="C172" s="144">
        <v>34000213</v>
      </c>
      <c r="D172" s="144" t="s">
        <v>494</v>
      </c>
      <c r="E172" s="326">
        <v>121000</v>
      </c>
      <c r="F172" s="158"/>
    </row>
    <row r="173" spans="1:6" s="159" customFormat="1" ht="41.45" customHeight="1" x14ac:dyDescent="0.2">
      <c r="A173" s="144">
        <v>171</v>
      </c>
      <c r="B173" s="144" t="s">
        <v>495</v>
      </c>
      <c r="C173" s="144">
        <v>34000562</v>
      </c>
      <c r="D173" s="144" t="s">
        <v>496</v>
      </c>
      <c r="E173" s="326">
        <v>719000</v>
      </c>
      <c r="F173" s="158"/>
    </row>
    <row r="174" spans="1:6" s="159" customFormat="1" ht="41.45" customHeight="1" x14ac:dyDescent="0.2">
      <c r="A174" s="144">
        <v>172</v>
      </c>
      <c r="B174" s="144" t="s">
        <v>561</v>
      </c>
      <c r="C174" s="144">
        <v>34000453</v>
      </c>
      <c r="D174" s="144" t="s">
        <v>562</v>
      </c>
      <c r="E174" s="326">
        <v>618000</v>
      </c>
      <c r="F174" s="158"/>
    </row>
    <row r="175" spans="1:6" s="159" customFormat="1" ht="41.45" customHeight="1" x14ac:dyDescent="0.2">
      <c r="A175" s="144">
        <v>173</v>
      </c>
      <c r="B175" s="144" t="s">
        <v>563</v>
      </c>
      <c r="C175" s="144">
        <v>34000129</v>
      </c>
      <c r="D175" s="144" t="s">
        <v>564</v>
      </c>
      <c r="E175" s="326">
        <v>156000</v>
      </c>
      <c r="F175" s="158"/>
    </row>
    <row r="176" spans="1:6" s="159" customFormat="1" ht="41.45" customHeight="1" x14ac:dyDescent="0.2">
      <c r="A176" s="144">
        <v>174</v>
      </c>
      <c r="B176" s="144" t="s">
        <v>565</v>
      </c>
      <c r="C176" s="144">
        <v>34000394</v>
      </c>
      <c r="D176" s="144" t="s">
        <v>535</v>
      </c>
      <c r="E176" s="326">
        <v>536000</v>
      </c>
      <c r="F176" s="158"/>
    </row>
    <row r="177" spans="1:6" s="159" customFormat="1" ht="41.45" customHeight="1" x14ac:dyDescent="0.2">
      <c r="A177" s="144">
        <v>175</v>
      </c>
      <c r="B177" s="144" t="s">
        <v>566</v>
      </c>
      <c r="C177" s="144">
        <v>34000668</v>
      </c>
      <c r="D177" s="144" t="s">
        <v>567</v>
      </c>
      <c r="E177" s="326">
        <v>443000</v>
      </c>
      <c r="F177" s="158"/>
    </row>
    <row r="178" spans="1:6" s="159" customFormat="1" ht="41.45" customHeight="1" x14ac:dyDescent="0.2">
      <c r="A178" s="144">
        <v>176</v>
      </c>
      <c r="B178" s="144" t="s">
        <v>568</v>
      </c>
      <c r="C178" s="144">
        <v>34000388</v>
      </c>
      <c r="D178" s="144" t="s">
        <v>538</v>
      </c>
      <c r="E178" s="326">
        <v>533000</v>
      </c>
      <c r="F178" s="158"/>
    </row>
    <row r="179" spans="1:6" s="159" customFormat="1" ht="41.45" customHeight="1" x14ac:dyDescent="0.2">
      <c r="A179" s="144">
        <v>177</v>
      </c>
      <c r="B179" s="144" t="s">
        <v>569</v>
      </c>
      <c r="C179" s="144">
        <v>34000414</v>
      </c>
      <c r="D179" s="144" t="s">
        <v>570</v>
      </c>
      <c r="E179" s="326">
        <v>380000</v>
      </c>
      <c r="F179" s="158"/>
    </row>
    <row r="180" spans="1:6" s="159" customFormat="1" ht="41.45" customHeight="1" x14ac:dyDescent="0.2">
      <c r="A180" s="144">
        <v>178</v>
      </c>
      <c r="B180" s="144" t="s">
        <v>571</v>
      </c>
      <c r="C180" s="144">
        <v>34000151</v>
      </c>
      <c r="D180" s="144" t="s">
        <v>572</v>
      </c>
      <c r="E180" s="326">
        <v>114000</v>
      </c>
      <c r="F180" s="158"/>
    </row>
    <row r="181" spans="1:6" s="159" customFormat="1" ht="41.45" customHeight="1" x14ac:dyDescent="0.2">
      <c r="A181" s="144">
        <v>179</v>
      </c>
      <c r="B181" s="144" t="s">
        <v>573</v>
      </c>
      <c r="C181" s="144">
        <v>34000282</v>
      </c>
      <c r="D181" s="144" t="s">
        <v>574</v>
      </c>
      <c r="E181" s="326">
        <v>150000</v>
      </c>
      <c r="F181" s="158"/>
    </row>
    <row r="182" spans="1:6" s="159" customFormat="1" ht="41.45" customHeight="1" x14ac:dyDescent="0.2">
      <c r="A182" s="144">
        <v>180</v>
      </c>
      <c r="B182" s="144" t="s">
        <v>575</v>
      </c>
      <c r="C182" s="144">
        <v>34000096</v>
      </c>
      <c r="D182" s="144" t="s">
        <v>576</v>
      </c>
      <c r="E182" s="326">
        <v>679000</v>
      </c>
      <c r="F182" s="158"/>
    </row>
    <row r="183" spans="1:6" s="159" customFormat="1" ht="41.45" customHeight="1" x14ac:dyDescent="0.2">
      <c r="A183" s="144">
        <v>181</v>
      </c>
      <c r="B183" s="144" t="s">
        <v>577</v>
      </c>
      <c r="C183" s="144">
        <v>34000128</v>
      </c>
      <c r="D183" s="144" t="s">
        <v>578</v>
      </c>
      <c r="E183" s="326">
        <v>573000</v>
      </c>
      <c r="F183" s="158"/>
    </row>
    <row r="184" spans="1:6" s="159" customFormat="1" ht="41.45" customHeight="1" x14ac:dyDescent="0.2">
      <c r="A184" s="144">
        <v>182</v>
      </c>
      <c r="B184" s="144" t="s">
        <v>579</v>
      </c>
      <c r="C184" s="144">
        <v>34000628</v>
      </c>
      <c r="D184" s="144" t="s">
        <v>580</v>
      </c>
      <c r="E184" s="326">
        <v>835000</v>
      </c>
      <c r="F184" s="158"/>
    </row>
    <row r="185" spans="1:6" s="159" customFormat="1" ht="41.45" customHeight="1" x14ac:dyDescent="0.2">
      <c r="A185" s="144">
        <v>183</v>
      </c>
      <c r="B185" s="144" t="s">
        <v>581</v>
      </c>
      <c r="C185" s="144">
        <v>34000620</v>
      </c>
      <c r="D185" s="144" t="s">
        <v>536</v>
      </c>
      <c r="E185" s="326">
        <v>113000</v>
      </c>
      <c r="F185" s="158"/>
    </row>
    <row r="186" spans="1:6" s="159" customFormat="1" ht="41.45" customHeight="1" x14ac:dyDescent="0.2">
      <c r="A186" s="144">
        <v>184</v>
      </c>
      <c r="B186" s="144" t="s">
        <v>582</v>
      </c>
      <c r="C186" s="144">
        <v>34000425</v>
      </c>
      <c r="D186" s="144" t="s">
        <v>583</v>
      </c>
      <c r="E186" s="326">
        <v>316000</v>
      </c>
      <c r="F186" s="158"/>
    </row>
    <row r="187" spans="1:6" s="159" customFormat="1" ht="41.45" customHeight="1" x14ac:dyDescent="0.2">
      <c r="A187" s="144">
        <v>185</v>
      </c>
      <c r="B187" s="144" t="s">
        <v>584</v>
      </c>
      <c r="C187" s="144">
        <v>34000049</v>
      </c>
      <c r="D187" s="144" t="s">
        <v>585</v>
      </c>
      <c r="E187" s="326">
        <v>285000</v>
      </c>
      <c r="F187" s="158"/>
    </row>
    <row r="188" spans="1:6" s="159" customFormat="1" ht="41.45" customHeight="1" x14ac:dyDescent="0.2">
      <c r="A188" s="144">
        <v>186</v>
      </c>
      <c r="B188" s="144" t="s">
        <v>586</v>
      </c>
      <c r="C188" s="144">
        <v>34000785</v>
      </c>
      <c r="D188" s="144" t="s">
        <v>587</v>
      </c>
      <c r="E188" s="326">
        <v>415000</v>
      </c>
      <c r="F188" s="158"/>
    </row>
    <row r="189" spans="1:6" s="159" customFormat="1" ht="41.45" customHeight="1" x14ac:dyDescent="0.2">
      <c r="A189" s="144">
        <v>187</v>
      </c>
      <c r="B189" s="144" t="s">
        <v>588</v>
      </c>
      <c r="C189" s="144">
        <v>34000634</v>
      </c>
      <c r="D189" s="144" t="s">
        <v>589</v>
      </c>
      <c r="E189" s="326">
        <v>301000</v>
      </c>
      <c r="F189" s="158"/>
    </row>
    <row r="190" spans="1:6" s="159" customFormat="1" ht="41.45" customHeight="1" x14ac:dyDescent="0.2">
      <c r="A190" s="144">
        <v>188</v>
      </c>
      <c r="B190" s="144" t="s">
        <v>590</v>
      </c>
      <c r="C190" s="144">
        <v>34000048</v>
      </c>
      <c r="D190" s="144" t="s">
        <v>591</v>
      </c>
      <c r="E190" s="326">
        <v>193000</v>
      </c>
      <c r="F190" s="158"/>
    </row>
    <row r="191" spans="1:6" s="159" customFormat="1" ht="41.45" customHeight="1" x14ac:dyDescent="0.2">
      <c r="A191" s="144">
        <v>189</v>
      </c>
      <c r="B191" s="144" t="s">
        <v>592</v>
      </c>
      <c r="C191" s="144">
        <v>34000138</v>
      </c>
      <c r="D191" s="144" t="s">
        <v>593</v>
      </c>
      <c r="E191" s="326">
        <v>110000</v>
      </c>
      <c r="F191" s="158"/>
    </row>
    <row r="192" spans="1:6" s="159" customFormat="1" ht="41.45" customHeight="1" x14ac:dyDescent="0.2">
      <c r="A192" s="144">
        <v>190</v>
      </c>
      <c r="B192" s="144" t="s">
        <v>594</v>
      </c>
      <c r="C192" s="144">
        <v>34000627</v>
      </c>
      <c r="D192" s="144" t="s">
        <v>595</v>
      </c>
      <c r="E192" s="326">
        <v>110000</v>
      </c>
      <c r="F192" s="158"/>
    </row>
    <row r="193" spans="1:6" s="159" customFormat="1" ht="41.45" customHeight="1" x14ac:dyDescent="0.2">
      <c r="A193" s="144">
        <v>191</v>
      </c>
      <c r="B193" s="144" t="s">
        <v>596</v>
      </c>
      <c r="C193" s="144">
        <v>34000395</v>
      </c>
      <c r="D193" s="144" t="s">
        <v>597</v>
      </c>
      <c r="E193" s="326">
        <v>110000</v>
      </c>
      <c r="F193" s="158"/>
    </row>
    <row r="194" spans="1:6" s="159" customFormat="1" ht="41.45" customHeight="1" x14ac:dyDescent="0.2">
      <c r="A194" s="144">
        <v>192</v>
      </c>
      <c r="B194" s="144" t="s">
        <v>598</v>
      </c>
      <c r="C194" s="144">
        <v>34000132</v>
      </c>
      <c r="D194" s="144" t="s">
        <v>599</v>
      </c>
      <c r="E194" s="326">
        <v>919000</v>
      </c>
      <c r="F194" s="158"/>
    </row>
    <row r="195" spans="1:6" s="159" customFormat="1" ht="41.45" customHeight="1" x14ac:dyDescent="0.2">
      <c r="A195" s="144">
        <v>193</v>
      </c>
      <c r="B195" s="144" t="s">
        <v>600</v>
      </c>
      <c r="C195" s="144">
        <v>34000594</v>
      </c>
      <c r="D195" s="144" t="s">
        <v>601</v>
      </c>
      <c r="E195" s="326">
        <v>730000</v>
      </c>
      <c r="F195" s="158"/>
    </row>
    <row r="196" spans="1:6" s="159" customFormat="1" ht="41.45" customHeight="1" x14ac:dyDescent="0.2">
      <c r="A196" s="144">
        <v>194</v>
      </c>
      <c r="B196" s="144" t="s">
        <v>602</v>
      </c>
      <c r="C196" s="144">
        <v>34000125</v>
      </c>
      <c r="D196" s="144" t="s">
        <v>603</v>
      </c>
      <c r="E196" s="326">
        <v>889000</v>
      </c>
      <c r="F196" s="158"/>
    </row>
    <row r="197" spans="1:6" s="159" customFormat="1" ht="41.45" customHeight="1" x14ac:dyDescent="0.2">
      <c r="A197" s="144">
        <v>195</v>
      </c>
      <c r="B197" s="144" t="s">
        <v>604</v>
      </c>
      <c r="C197" s="144">
        <v>34000314</v>
      </c>
      <c r="D197" s="144" t="s">
        <v>605</v>
      </c>
      <c r="E197" s="326">
        <v>334000</v>
      </c>
      <c r="F197" s="158"/>
    </row>
    <row r="198" spans="1:6" s="159" customFormat="1" ht="41.45" customHeight="1" x14ac:dyDescent="0.2">
      <c r="A198" s="144">
        <v>196</v>
      </c>
      <c r="B198" s="144" t="s">
        <v>606</v>
      </c>
      <c r="C198" s="144">
        <v>34000104</v>
      </c>
      <c r="D198" s="144" t="s">
        <v>607</v>
      </c>
      <c r="E198" s="326">
        <v>106000</v>
      </c>
      <c r="F198" s="158"/>
    </row>
    <row r="199" spans="1:6" s="159" customFormat="1" ht="41.45" customHeight="1" x14ac:dyDescent="0.2">
      <c r="A199" s="144">
        <v>197</v>
      </c>
      <c r="B199" s="144" t="s">
        <v>628</v>
      </c>
      <c r="C199" s="144">
        <v>34000776</v>
      </c>
      <c r="D199" s="144" t="s">
        <v>614</v>
      </c>
      <c r="E199" s="326">
        <v>477000</v>
      </c>
      <c r="F199" s="158"/>
    </row>
    <row r="200" spans="1:6" s="159" customFormat="1" ht="41.45" customHeight="1" x14ac:dyDescent="0.2">
      <c r="A200" s="144">
        <v>198</v>
      </c>
      <c r="B200" s="144" t="s">
        <v>629</v>
      </c>
      <c r="C200" s="144">
        <v>34000728</v>
      </c>
      <c r="D200" s="144" t="s">
        <v>616</v>
      </c>
      <c r="E200" s="326">
        <v>479000</v>
      </c>
      <c r="F200" s="158"/>
    </row>
    <row r="201" spans="1:6" s="159" customFormat="1" ht="41.45" customHeight="1" x14ac:dyDescent="0.2">
      <c r="A201" s="144">
        <v>199</v>
      </c>
      <c r="B201" s="144" t="s">
        <v>630</v>
      </c>
      <c r="C201" s="144">
        <v>34000508</v>
      </c>
      <c r="D201" s="144" t="s">
        <v>631</v>
      </c>
      <c r="E201" s="326">
        <v>105000</v>
      </c>
      <c r="F201" s="158"/>
    </row>
    <row r="202" spans="1:6" s="159" customFormat="1" ht="41.45" customHeight="1" x14ac:dyDescent="0.2">
      <c r="A202" s="144">
        <v>200</v>
      </c>
      <c r="B202" s="144" t="s">
        <v>632</v>
      </c>
      <c r="C202" s="144">
        <v>34000311</v>
      </c>
      <c r="D202" s="144" t="s">
        <v>633</v>
      </c>
      <c r="E202" s="326">
        <v>351000</v>
      </c>
      <c r="F202" s="158"/>
    </row>
    <row r="203" spans="1:6" s="159" customFormat="1" ht="41.45" customHeight="1" x14ac:dyDescent="0.2">
      <c r="A203" s="144">
        <v>201</v>
      </c>
      <c r="B203" s="144" t="s">
        <v>634</v>
      </c>
      <c r="C203" s="144">
        <v>34000777</v>
      </c>
      <c r="D203" s="144" t="s">
        <v>615</v>
      </c>
      <c r="E203" s="326">
        <v>377000</v>
      </c>
      <c r="F203" s="158"/>
    </row>
    <row r="204" spans="1:6" s="159" customFormat="1" ht="41.45" customHeight="1" x14ac:dyDescent="0.2">
      <c r="A204" s="144">
        <v>202</v>
      </c>
      <c r="B204" s="144" t="s">
        <v>635</v>
      </c>
      <c r="C204" s="144">
        <v>34000162</v>
      </c>
      <c r="D204" s="144" t="s">
        <v>636</v>
      </c>
      <c r="E204" s="326">
        <v>165000</v>
      </c>
      <c r="F204" s="158"/>
    </row>
    <row r="205" spans="1:6" s="159" customFormat="1" ht="41.45" customHeight="1" x14ac:dyDescent="0.2">
      <c r="A205" s="144">
        <v>203</v>
      </c>
      <c r="B205" s="144" t="s">
        <v>639</v>
      </c>
      <c r="C205" s="144">
        <v>34000031</v>
      </c>
      <c r="D205" s="144" t="s">
        <v>640</v>
      </c>
      <c r="E205" s="326">
        <v>102000</v>
      </c>
      <c r="F205" s="158"/>
    </row>
    <row r="206" spans="1:6" s="159" customFormat="1" ht="41.45" customHeight="1" x14ac:dyDescent="0.2">
      <c r="A206" s="144">
        <v>204</v>
      </c>
      <c r="B206" s="144" t="s">
        <v>641</v>
      </c>
      <c r="C206" s="144">
        <v>34000589</v>
      </c>
      <c r="D206" s="144" t="s">
        <v>642</v>
      </c>
      <c r="E206" s="326">
        <v>298000</v>
      </c>
      <c r="F206" s="158"/>
    </row>
    <row r="207" spans="1:6" s="159" customFormat="1" ht="41.45" customHeight="1" x14ac:dyDescent="0.2">
      <c r="A207" s="144">
        <v>205</v>
      </c>
      <c r="B207" s="144" t="s">
        <v>643</v>
      </c>
      <c r="C207" s="144">
        <v>34000216</v>
      </c>
      <c r="D207" s="144" t="s">
        <v>644</v>
      </c>
      <c r="E207" s="326">
        <v>201000</v>
      </c>
      <c r="F207" s="158"/>
    </row>
    <row r="208" spans="1:6" s="159" customFormat="1" ht="41.45" customHeight="1" x14ac:dyDescent="0.2">
      <c r="A208" s="144">
        <v>206</v>
      </c>
      <c r="B208" s="144" t="s">
        <v>645</v>
      </c>
      <c r="C208" s="144">
        <v>34000689</v>
      </c>
      <c r="D208" s="144" t="s">
        <v>646</v>
      </c>
      <c r="E208" s="326">
        <v>300000</v>
      </c>
      <c r="F208" s="158"/>
    </row>
    <row r="209" spans="1:6" s="159" customFormat="1" ht="41.45" customHeight="1" x14ac:dyDescent="0.2">
      <c r="A209" s="144">
        <v>207</v>
      </c>
      <c r="B209" s="144" t="s">
        <v>647</v>
      </c>
      <c r="C209" s="144">
        <v>34000698</v>
      </c>
      <c r="D209" s="144" t="s">
        <v>648</v>
      </c>
      <c r="E209" s="326">
        <v>614000</v>
      </c>
      <c r="F209" s="158"/>
    </row>
    <row r="210" spans="1:6" s="159" customFormat="1" ht="41.45" customHeight="1" x14ac:dyDescent="0.2">
      <c r="A210" s="144">
        <v>208</v>
      </c>
      <c r="B210" s="144" t="s">
        <v>649</v>
      </c>
      <c r="C210" s="144">
        <v>34000574</v>
      </c>
      <c r="D210" s="144" t="s">
        <v>650</v>
      </c>
      <c r="E210" s="326">
        <v>899000</v>
      </c>
      <c r="F210" s="158"/>
    </row>
    <row r="211" spans="1:6" s="159" customFormat="1" ht="41.45" customHeight="1" x14ac:dyDescent="0.2">
      <c r="A211" s="144">
        <v>209</v>
      </c>
      <c r="B211" s="144" t="s">
        <v>651</v>
      </c>
      <c r="C211" s="144">
        <v>34000601</v>
      </c>
      <c r="D211" s="144" t="s">
        <v>652</v>
      </c>
      <c r="E211" s="326">
        <v>410000</v>
      </c>
      <c r="F211" s="158"/>
    </row>
    <row r="212" spans="1:6" s="159" customFormat="1" ht="41.45" customHeight="1" x14ac:dyDescent="0.2">
      <c r="A212" s="144">
        <v>210</v>
      </c>
      <c r="B212" s="144" t="s">
        <v>653</v>
      </c>
      <c r="C212" s="144">
        <v>34000380</v>
      </c>
      <c r="D212" s="144" t="s">
        <v>654</v>
      </c>
      <c r="E212" s="326">
        <v>409000</v>
      </c>
      <c r="F212" s="158"/>
    </row>
    <row r="213" spans="1:6" s="159" customFormat="1" ht="41.45" customHeight="1" x14ac:dyDescent="0.2">
      <c r="A213" s="144">
        <v>211</v>
      </c>
      <c r="B213" s="144" t="s">
        <v>655</v>
      </c>
      <c r="C213" s="144">
        <v>34000475</v>
      </c>
      <c r="D213" s="144" t="s">
        <v>656</v>
      </c>
      <c r="E213" s="326">
        <v>100000</v>
      </c>
      <c r="F213" s="158"/>
    </row>
    <row r="214" spans="1:6" s="159" customFormat="1" ht="41.45" customHeight="1" x14ac:dyDescent="0.2">
      <c r="A214" s="144">
        <v>212</v>
      </c>
      <c r="B214" s="144" t="s">
        <v>657</v>
      </c>
      <c r="C214" s="144">
        <v>34000680</v>
      </c>
      <c r="D214" s="144" t="s">
        <v>617</v>
      </c>
      <c r="E214" s="326">
        <v>201000</v>
      </c>
      <c r="F214" s="158"/>
    </row>
    <row r="215" spans="1:6" s="159" customFormat="1" ht="41.45" customHeight="1" x14ac:dyDescent="0.2">
      <c r="A215" s="144">
        <v>213</v>
      </c>
      <c r="B215" s="144" t="s">
        <v>658</v>
      </c>
      <c r="C215" s="144">
        <v>34000781</v>
      </c>
      <c r="D215" s="144" t="s">
        <v>659</v>
      </c>
      <c r="E215" s="326">
        <v>100000</v>
      </c>
      <c r="F215" s="158"/>
    </row>
    <row r="216" spans="1:6" s="159" customFormat="1" ht="41.45" customHeight="1" x14ac:dyDescent="0.2">
      <c r="A216" s="144">
        <v>214</v>
      </c>
      <c r="B216" s="144" t="s">
        <v>660</v>
      </c>
      <c r="C216" s="144">
        <v>34000250</v>
      </c>
      <c r="D216" s="144" t="s">
        <v>661</v>
      </c>
      <c r="E216" s="326">
        <v>389000</v>
      </c>
      <c r="F216" s="158"/>
    </row>
    <row r="217" spans="1:6" s="159" customFormat="1" ht="41.45" customHeight="1" x14ac:dyDescent="0.2">
      <c r="A217" s="144">
        <v>215</v>
      </c>
      <c r="B217" s="144" t="s">
        <v>662</v>
      </c>
      <c r="C217" s="144">
        <v>34000177</v>
      </c>
      <c r="D217" s="144" t="s">
        <v>663</v>
      </c>
      <c r="E217" s="326">
        <v>99000</v>
      </c>
      <c r="F217" s="158"/>
    </row>
    <row r="218" spans="1:6" s="159" customFormat="1" ht="41.45" customHeight="1" x14ac:dyDescent="0.2">
      <c r="A218" s="144">
        <v>216</v>
      </c>
      <c r="B218" s="144" t="s">
        <v>664</v>
      </c>
      <c r="C218" s="144">
        <v>34000736</v>
      </c>
      <c r="D218" s="144" t="s">
        <v>665</v>
      </c>
      <c r="E218" s="326">
        <v>249000</v>
      </c>
      <c r="F218" s="158"/>
    </row>
    <row r="219" spans="1:6" s="159" customFormat="1" ht="41.45" customHeight="1" x14ac:dyDescent="0.2">
      <c r="A219" s="144">
        <v>217</v>
      </c>
      <c r="B219" s="144" t="s">
        <v>666</v>
      </c>
      <c r="C219" s="144">
        <v>34000300</v>
      </c>
      <c r="D219" s="144" t="s">
        <v>667</v>
      </c>
      <c r="E219" s="326">
        <v>363000</v>
      </c>
      <c r="F219" s="158"/>
    </row>
    <row r="220" spans="1:6" s="159" customFormat="1" ht="41.45" customHeight="1" x14ac:dyDescent="0.2">
      <c r="A220" s="144">
        <v>218</v>
      </c>
      <c r="B220" s="144" t="s">
        <v>668</v>
      </c>
      <c r="C220" s="144">
        <v>34000773</v>
      </c>
      <c r="D220" s="144" t="s">
        <v>669</v>
      </c>
      <c r="E220" s="326">
        <v>264000</v>
      </c>
      <c r="F220" s="158"/>
    </row>
    <row r="221" spans="1:6" s="159" customFormat="1" ht="41.45" customHeight="1" x14ac:dyDescent="0.2">
      <c r="A221" s="144">
        <v>219</v>
      </c>
      <c r="B221" s="144" t="s">
        <v>670</v>
      </c>
      <c r="C221" s="144">
        <v>34000307</v>
      </c>
      <c r="D221" s="144" t="s">
        <v>671</v>
      </c>
      <c r="E221" s="326">
        <v>229000</v>
      </c>
      <c r="F221" s="158"/>
    </row>
    <row r="222" spans="1:6" s="159" customFormat="1" ht="41.45" customHeight="1" x14ac:dyDescent="0.2">
      <c r="A222" s="144">
        <v>220</v>
      </c>
      <c r="B222" s="144" t="s">
        <v>672</v>
      </c>
      <c r="C222" s="144">
        <v>34000201</v>
      </c>
      <c r="D222" s="144" t="s">
        <v>673</v>
      </c>
      <c r="E222" s="326">
        <v>97000</v>
      </c>
      <c r="F222" s="158"/>
    </row>
    <row r="223" spans="1:6" s="159" customFormat="1" ht="41.45" customHeight="1" x14ac:dyDescent="0.2">
      <c r="A223" s="144">
        <v>221</v>
      </c>
      <c r="B223" s="144" t="s">
        <v>674</v>
      </c>
      <c r="C223" s="144">
        <v>34000766</v>
      </c>
      <c r="D223" s="144" t="s">
        <v>675</v>
      </c>
      <c r="E223" s="326">
        <v>403000</v>
      </c>
      <c r="F223" s="158"/>
    </row>
    <row r="224" spans="1:6" s="159" customFormat="1" ht="41.45" customHeight="1" x14ac:dyDescent="0.2">
      <c r="A224" s="144">
        <v>222</v>
      </c>
      <c r="B224" s="144" t="s">
        <v>676</v>
      </c>
      <c r="C224" s="144">
        <v>34000255</v>
      </c>
      <c r="D224" s="144" t="s">
        <v>677</v>
      </c>
      <c r="E224" s="326">
        <v>272000</v>
      </c>
      <c r="F224" s="158"/>
    </row>
    <row r="225" spans="1:6" s="159" customFormat="1" ht="41.45" customHeight="1" x14ac:dyDescent="0.2">
      <c r="A225" s="144">
        <v>223</v>
      </c>
      <c r="B225" s="144" t="s">
        <v>678</v>
      </c>
      <c r="C225" s="144">
        <v>34000536</v>
      </c>
      <c r="D225" s="144" t="s">
        <v>679</v>
      </c>
      <c r="E225" s="326">
        <v>112000</v>
      </c>
      <c r="F225" s="158"/>
    </row>
    <row r="226" spans="1:6" s="159" customFormat="1" ht="41.45" customHeight="1" x14ac:dyDescent="0.2">
      <c r="A226" s="144">
        <v>224</v>
      </c>
      <c r="B226" s="144" t="s">
        <v>680</v>
      </c>
      <c r="C226" s="144">
        <v>34000573</v>
      </c>
      <c r="D226" s="144" t="s">
        <v>681</v>
      </c>
      <c r="E226" s="326">
        <v>265000</v>
      </c>
      <c r="F226" s="158"/>
    </row>
    <row r="227" spans="1:6" s="159" customFormat="1" ht="41.45" customHeight="1" x14ac:dyDescent="0.2">
      <c r="A227" s="144">
        <v>225</v>
      </c>
      <c r="B227" s="144" t="s">
        <v>682</v>
      </c>
      <c r="C227" s="144">
        <v>34000761</v>
      </c>
      <c r="D227" s="144" t="s">
        <v>683</v>
      </c>
      <c r="E227" s="326">
        <v>411000</v>
      </c>
      <c r="F227" s="158"/>
    </row>
    <row r="228" spans="1:6" s="159" customFormat="1" ht="41.45" customHeight="1" x14ac:dyDescent="0.2">
      <c r="A228" s="144">
        <v>226</v>
      </c>
      <c r="B228" s="144" t="s">
        <v>684</v>
      </c>
      <c r="C228" s="144">
        <v>34000263</v>
      </c>
      <c r="D228" s="144" t="s">
        <v>200</v>
      </c>
      <c r="E228" s="326">
        <v>167000</v>
      </c>
      <c r="F228" s="158"/>
    </row>
    <row r="229" spans="1:6" s="159" customFormat="1" ht="41.45" customHeight="1" x14ac:dyDescent="0.2">
      <c r="A229" s="144">
        <v>227</v>
      </c>
      <c r="B229" s="144" t="s">
        <v>685</v>
      </c>
      <c r="C229" s="144">
        <v>34000116</v>
      </c>
      <c r="D229" s="144" t="s">
        <v>321</v>
      </c>
      <c r="E229" s="326">
        <v>239000</v>
      </c>
      <c r="F229" s="158"/>
    </row>
    <row r="230" spans="1:6" s="159" customFormat="1" ht="41.45" customHeight="1" x14ac:dyDescent="0.2">
      <c r="A230" s="144">
        <v>228</v>
      </c>
      <c r="B230" s="144" t="s">
        <v>686</v>
      </c>
      <c r="C230" s="144">
        <v>34000101</v>
      </c>
      <c r="D230" s="144" t="s">
        <v>687</v>
      </c>
      <c r="E230" s="326">
        <v>431000</v>
      </c>
      <c r="F230" s="158"/>
    </row>
    <row r="231" spans="1:6" s="159" customFormat="1" ht="41.45" customHeight="1" x14ac:dyDescent="0.2">
      <c r="A231" s="144">
        <v>229</v>
      </c>
      <c r="B231" s="144" t="s">
        <v>688</v>
      </c>
      <c r="C231" s="144">
        <v>34000592</v>
      </c>
      <c r="D231" s="144" t="s">
        <v>689</v>
      </c>
      <c r="E231" s="326">
        <v>91000</v>
      </c>
      <c r="F231" s="158"/>
    </row>
    <row r="232" spans="1:6" s="159" customFormat="1" ht="41.45" customHeight="1" x14ac:dyDescent="0.2">
      <c r="A232" s="144">
        <v>230</v>
      </c>
      <c r="B232" s="144" t="s">
        <v>690</v>
      </c>
      <c r="C232" s="144">
        <v>34000578</v>
      </c>
      <c r="D232" s="144" t="s">
        <v>691</v>
      </c>
      <c r="E232" s="326">
        <v>112000</v>
      </c>
      <c r="F232" s="158"/>
    </row>
    <row r="233" spans="1:6" s="159" customFormat="1" ht="41.45" customHeight="1" x14ac:dyDescent="0.2">
      <c r="A233" s="144">
        <v>231</v>
      </c>
      <c r="B233" s="144" t="s">
        <v>726</v>
      </c>
      <c r="C233" s="144">
        <v>34000533</v>
      </c>
      <c r="D233" s="144" t="s">
        <v>727</v>
      </c>
      <c r="E233" s="326">
        <v>87000</v>
      </c>
      <c r="F233" s="158"/>
    </row>
    <row r="234" spans="1:6" s="159" customFormat="1" ht="41.45" customHeight="1" x14ac:dyDescent="0.2">
      <c r="A234" s="144">
        <v>232</v>
      </c>
      <c r="B234" s="144" t="s">
        <v>728</v>
      </c>
      <c r="C234" s="144">
        <v>34000862</v>
      </c>
      <c r="D234" s="144" t="s">
        <v>729</v>
      </c>
      <c r="E234" s="326">
        <v>248000</v>
      </c>
      <c r="F234" s="158"/>
    </row>
    <row r="235" spans="1:6" s="159" customFormat="1" ht="41.45" customHeight="1" x14ac:dyDescent="0.2">
      <c r="A235" s="144">
        <v>233</v>
      </c>
      <c r="B235" s="144" t="s">
        <v>730</v>
      </c>
      <c r="C235" s="144">
        <v>34000071</v>
      </c>
      <c r="D235" s="144" t="s">
        <v>731</v>
      </c>
      <c r="E235" s="326">
        <v>86000</v>
      </c>
      <c r="F235" s="158"/>
    </row>
    <row r="236" spans="1:6" s="159" customFormat="1" ht="41.45" customHeight="1" x14ac:dyDescent="0.2">
      <c r="A236" s="144">
        <v>234</v>
      </c>
      <c r="B236" s="144" t="s">
        <v>732</v>
      </c>
      <c r="C236" s="144">
        <v>34000515</v>
      </c>
      <c r="D236" s="144" t="s">
        <v>733</v>
      </c>
      <c r="E236" s="326">
        <v>109000</v>
      </c>
      <c r="F236" s="158"/>
    </row>
    <row r="237" spans="1:6" s="159" customFormat="1" ht="41.45" customHeight="1" x14ac:dyDescent="0.2">
      <c r="A237" s="144">
        <v>235</v>
      </c>
      <c r="B237" s="144" t="s">
        <v>734</v>
      </c>
      <c r="C237" s="144">
        <v>34000372</v>
      </c>
      <c r="D237" s="144" t="s">
        <v>735</v>
      </c>
      <c r="E237" s="326">
        <v>86000</v>
      </c>
      <c r="F237" s="158"/>
    </row>
    <row r="238" spans="1:6" s="159" customFormat="1" ht="41.45" customHeight="1" x14ac:dyDescent="0.2">
      <c r="A238" s="144">
        <v>236</v>
      </c>
      <c r="B238" s="144" t="s">
        <v>736</v>
      </c>
      <c r="C238" s="144">
        <v>34000645</v>
      </c>
      <c r="D238" s="144" t="s">
        <v>737</v>
      </c>
      <c r="E238" s="326">
        <v>265000</v>
      </c>
      <c r="F238" s="158"/>
    </row>
    <row r="239" spans="1:6" s="159" customFormat="1" ht="41.45" customHeight="1" x14ac:dyDescent="0.2">
      <c r="A239" s="144">
        <v>237</v>
      </c>
      <c r="B239" s="144" t="s">
        <v>738</v>
      </c>
      <c r="C239" s="144">
        <v>34000413</v>
      </c>
      <c r="D239" s="144" t="s">
        <v>739</v>
      </c>
      <c r="E239" s="326">
        <v>332000</v>
      </c>
      <c r="F239" s="158"/>
    </row>
    <row r="240" spans="1:6" s="159" customFormat="1" ht="41.45" customHeight="1" x14ac:dyDescent="0.2">
      <c r="A240" s="144">
        <v>238</v>
      </c>
      <c r="B240" s="144" t="s">
        <v>740</v>
      </c>
      <c r="C240" s="144">
        <v>34000401</v>
      </c>
      <c r="D240" s="144" t="s">
        <v>741</v>
      </c>
      <c r="E240" s="326">
        <v>86000</v>
      </c>
      <c r="F240" s="158"/>
    </row>
    <row r="241" spans="1:6" s="159" customFormat="1" ht="41.45" customHeight="1" x14ac:dyDescent="0.2">
      <c r="A241" s="144">
        <v>239</v>
      </c>
      <c r="B241" s="144" t="s">
        <v>742</v>
      </c>
      <c r="C241" s="144">
        <v>34000500</v>
      </c>
      <c r="D241" s="144" t="s">
        <v>743</v>
      </c>
      <c r="E241" s="326">
        <v>86000</v>
      </c>
      <c r="F241" s="158"/>
    </row>
    <row r="242" spans="1:6" s="159" customFormat="1" ht="41.45" customHeight="1" x14ac:dyDescent="0.2">
      <c r="A242" s="144">
        <v>240</v>
      </c>
      <c r="B242" s="144" t="s">
        <v>744</v>
      </c>
      <c r="C242" s="144">
        <v>34000418</v>
      </c>
      <c r="D242" s="144" t="s">
        <v>745</v>
      </c>
      <c r="E242" s="326">
        <v>163000</v>
      </c>
      <c r="F242" s="158"/>
    </row>
    <row r="243" spans="1:6" s="159" customFormat="1" ht="41.45" customHeight="1" x14ac:dyDescent="0.2">
      <c r="A243" s="144">
        <v>241</v>
      </c>
      <c r="B243" s="144" t="s">
        <v>746</v>
      </c>
      <c r="C243" s="144">
        <v>34000479</v>
      </c>
      <c r="D243" s="144" t="s">
        <v>747</v>
      </c>
      <c r="E243" s="326">
        <v>155000</v>
      </c>
      <c r="F243" s="158"/>
    </row>
    <row r="244" spans="1:6" s="159" customFormat="1" ht="41.45" customHeight="1" x14ac:dyDescent="0.2">
      <c r="A244" s="144">
        <v>242</v>
      </c>
      <c r="B244" s="144" t="s">
        <v>748</v>
      </c>
      <c r="C244" s="144">
        <v>34000238</v>
      </c>
      <c r="D244" s="144" t="s">
        <v>749</v>
      </c>
      <c r="E244" s="326">
        <v>317000</v>
      </c>
      <c r="F244" s="158"/>
    </row>
    <row r="245" spans="1:6" s="159" customFormat="1" ht="41.45" customHeight="1" x14ac:dyDescent="0.2">
      <c r="A245" s="144">
        <v>243</v>
      </c>
      <c r="B245" s="144" t="s">
        <v>750</v>
      </c>
      <c r="C245" s="144">
        <v>34000143</v>
      </c>
      <c r="D245" s="144" t="s">
        <v>751</v>
      </c>
      <c r="E245" s="326">
        <v>390000</v>
      </c>
      <c r="F245" s="158"/>
    </row>
    <row r="246" spans="1:6" s="159" customFormat="1" ht="41.45" customHeight="1" x14ac:dyDescent="0.2">
      <c r="A246" s="144">
        <v>244</v>
      </c>
      <c r="B246" s="144" t="s">
        <v>752</v>
      </c>
      <c r="C246" s="144">
        <v>34000787</v>
      </c>
      <c r="D246" s="144" t="s">
        <v>753</v>
      </c>
      <c r="E246" s="326">
        <v>316000</v>
      </c>
      <c r="F246" s="158"/>
    </row>
    <row r="247" spans="1:6" s="159" customFormat="1" ht="41.45" customHeight="1" x14ac:dyDescent="0.2">
      <c r="A247" s="144">
        <v>245</v>
      </c>
      <c r="B247" s="144" t="s">
        <v>754</v>
      </c>
      <c r="C247" s="144">
        <v>34000658</v>
      </c>
      <c r="D247" s="144" t="s">
        <v>755</v>
      </c>
      <c r="E247" s="326">
        <v>309000</v>
      </c>
      <c r="F247" s="158"/>
    </row>
    <row r="248" spans="1:6" s="159" customFormat="1" ht="41.45" customHeight="1" x14ac:dyDescent="0.2">
      <c r="A248" s="144">
        <v>246</v>
      </c>
      <c r="B248" s="144" t="s">
        <v>756</v>
      </c>
      <c r="C248" s="144">
        <v>34000755</v>
      </c>
      <c r="D248" s="144" t="s">
        <v>757</v>
      </c>
      <c r="E248" s="326">
        <v>86000</v>
      </c>
      <c r="F248" s="158"/>
    </row>
    <row r="249" spans="1:6" s="159" customFormat="1" ht="41.45" customHeight="1" x14ac:dyDescent="0.2">
      <c r="A249" s="144">
        <v>247</v>
      </c>
      <c r="B249" s="144" t="s">
        <v>758</v>
      </c>
      <c r="C249" s="144">
        <v>34000030</v>
      </c>
      <c r="D249" s="144" t="s">
        <v>759</v>
      </c>
      <c r="E249" s="326">
        <v>86000</v>
      </c>
      <c r="F249" s="158"/>
    </row>
    <row r="250" spans="1:6" s="159" customFormat="1" ht="41.45" customHeight="1" x14ac:dyDescent="0.2">
      <c r="A250" s="144">
        <v>248</v>
      </c>
      <c r="B250" s="144" t="s">
        <v>760</v>
      </c>
      <c r="C250" s="144">
        <v>34000440</v>
      </c>
      <c r="D250" s="144" t="s">
        <v>761</v>
      </c>
      <c r="E250" s="326">
        <v>94000</v>
      </c>
      <c r="F250" s="158"/>
    </row>
    <row r="251" spans="1:6" s="159" customFormat="1" ht="41.45" customHeight="1" x14ac:dyDescent="0.2">
      <c r="A251" s="144">
        <v>249</v>
      </c>
      <c r="B251" s="144" t="s">
        <v>762</v>
      </c>
      <c r="C251" s="144">
        <v>34000332</v>
      </c>
      <c r="D251" s="144" t="s">
        <v>763</v>
      </c>
      <c r="E251" s="326">
        <v>86000</v>
      </c>
      <c r="F251" s="158"/>
    </row>
    <row r="252" spans="1:6" s="159" customFormat="1" ht="41.45" customHeight="1" x14ac:dyDescent="0.2">
      <c r="A252" s="144">
        <v>250</v>
      </c>
      <c r="B252" s="144" t="s">
        <v>764</v>
      </c>
      <c r="C252" s="144">
        <v>34000617</v>
      </c>
      <c r="D252" s="144" t="s">
        <v>765</v>
      </c>
      <c r="E252" s="326">
        <v>86000</v>
      </c>
      <c r="F252" s="158"/>
    </row>
    <row r="253" spans="1:6" s="159" customFormat="1" ht="41.45" customHeight="1" x14ac:dyDescent="0.2">
      <c r="A253" s="144">
        <v>251</v>
      </c>
      <c r="B253" s="144" t="s">
        <v>766</v>
      </c>
      <c r="C253" s="144">
        <v>34000383</v>
      </c>
      <c r="D253" s="144" t="s">
        <v>767</v>
      </c>
      <c r="E253" s="326">
        <v>83000</v>
      </c>
      <c r="F253" s="158"/>
    </row>
    <row r="254" spans="1:6" s="159" customFormat="1" ht="41.45" customHeight="1" x14ac:dyDescent="0.2">
      <c r="A254" s="144">
        <v>252</v>
      </c>
      <c r="B254" s="144" t="s">
        <v>768</v>
      </c>
      <c r="C254" s="144">
        <v>34000889</v>
      </c>
      <c r="D254" s="144" t="s">
        <v>769</v>
      </c>
      <c r="E254" s="326">
        <v>83000</v>
      </c>
      <c r="F254" s="158"/>
    </row>
    <row r="255" spans="1:6" s="159" customFormat="1" ht="41.45" customHeight="1" x14ac:dyDescent="0.2">
      <c r="A255" s="144">
        <v>253</v>
      </c>
      <c r="B255" s="144" t="s">
        <v>770</v>
      </c>
      <c r="C255" s="144">
        <v>34000335</v>
      </c>
      <c r="D255" s="144" t="s">
        <v>771</v>
      </c>
      <c r="E255" s="326">
        <v>243000</v>
      </c>
      <c r="F255" s="158"/>
    </row>
    <row r="256" spans="1:6" s="159" customFormat="1" ht="41.45" customHeight="1" x14ac:dyDescent="0.2">
      <c r="A256" s="144">
        <v>254</v>
      </c>
      <c r="B256" s="144" t="s">
        <v>772</v>
      </c>
      <c r="C256" s="144">
        <v>34000094</v>
      </c>
      <c r="D256" s="144" t="s">
        <v>773</v>
      </c>
      <c r="E256" s="326">
        <v>288000</v>
      </c>
      <c r="F256" s="157"/>
    </row>
    <row r="257" spans="1:6" s="159" customFormat="1" ht="41.45" customHeight="1" x14ac:dyDescent="0.2">
      <c r="A257" s="144">
        <v>255</v>
      </c>
      <c r="B257" s="144" t="s">
        <v>774</v>
      </c>
      <c r="C257" s="144">
        <v>34000023</v>
      </c>
      <c r="D257" s="144" t="s">
        <v>697</v>
      </c>
      <c r="E257" s="326">
        <v>477000</v>
      </c>
      <c r="F257" s="157"/>
    </row>
    <row r="258" spans="1:6" s="159" customFormat="1" ht="41.45" customHeight="1" x14ac:dyDescent="0.2">
      <c r="A258" s="144">
        <v>256</v>
      </c>
      <c r="B258" s="144" t="s">
        <v>775</v>
      </c>
      <c r="C258" s="144">
        <v>34000938</v>
      </c>
      <c r="D258" s="144" t="s">
        <v>776</v>
      </c>
      <c r="E258" s="326">
        <v>109000</v>
      </c>
      <c r="F258" s="157"/>
    </row>
    <row r="259" spans="1:6" s="159" customFormat="1" ht="41.45" customHeight="1" x14ac:dyDescent="0.2">
      <c r="A259" s="144">
        <v>257</v>
      </c>
      <c r="B259" s="144" t="s">
        <v>777</v>
      </c>
      <c r="C259" s="144">
        <v>34000965</v>
      </c>
      <c r="D259" s="144" t="s">
        <v>778</v>
      </c>
      <c r="E259" s="326">
        <v>81000</v>
      </c>
      <c r="F259" s="157"/>
    </row>
    <row r="260" spans="1:6" s="159" customFormat="1" ht="41.45" customHeight="1" x14ac:dyDescent="0.2">
      <c r="A260" s="144">
        <v>258</v>
      </c>
      <c r="B260" s="144" t="s">
        <v>779</v>
      </c>
      <c r="C260" s="144">
        <v>34000860</v>
      </c>
      <c r="D260" s="144" t="s">
        <v>780</v>
      </c>
      <c r="E260" s="326">
        <v>200000</v>
      </c>
      <c r="F260" s="157"/>
    </row>
    <row r="261" spans="1:6" s="159" customFormat="1" ht="41.45" customHeight="1" x14ac:dyDescent="0.2">
      <c r="A261" s="144">
        <v>259</v>
      </c>
      <c r="B261" s="144" t="s">
        <v>781</v>
      </c>
      <c r="C261" s="144">
        <v>34000410</v>
      </c>
      <c r="D261" s="144" t="s">
        <v>782</v>
      </c>
      <c r="E261" s="326">
        <v>78000</v>
      </c>
      <c r="F261" s="157"/>
    </row>
    <row r="262" spans="1:6" s="159" customFormat="1" ht="41.45" customHeight="1" x14ac:dyDescent="0.2">
      <c r="A262" s="144">
        <v>260</v>
      </c>
      <c r="B262" s="144" t="s">
        <v>783</v>
      </c>
      <c r="C262" s="144">
        <v>34000010</v>
      </c>
      <c r="D262" s="144" t="s">
        <v>784</v>
      </c>
      <c r="E262" s="326">
        <v>76000</v>
      </c>
      <c r="F262" s="157"/>
    </row>
    <row r="263" spans="1:6" s="159" customFormat="1" ht="41.45" customHeight="1" x14ac:dyDescent="0.2">
      <c r="A263" s="144">
        <v>261</v>
      </c>
      <c r="B263" s="144" t="s">
        <v>785</v>
      </c>
      <c r="C263" s="144">
        <v>34000014</v>
      </c>
      <c r="D263" s="144" t="s">
        <v>698</v>
      </c>
      <c r="E263" s="326">
        <v>473000</v>
      </c>
      <c r="F263" s="157"/>
    </row>
    <row r="264" spans="1:6" s="159" customFormat="1" ht="41.45" customHeight="1" x14ac:dyDescent="0.2">
      <c r="A264" s="144">
        <v>262</v>
      </c>
      <c r="B264" s="144" t="s">
        <v>786</v>
      </c>
      <c r="C264" s="144">
        <v>34000528</v>
      </c>
      <c r="D264" s="144" t="s">
        <v>787</v>
      </c>
      <c r="E264" s="326">
        <v>302000</v>
      </c>
      <c r="F264" s="157"/>
    </row>
    <row r="265" spans="1:6" s="159" customFormat="1" ht="41.45" customHeight="1" x14ac:dyDescent="0.2">
      <c r="A265" s="144">
        <v>263</v>
      </c>
      <c r="B265" s="144" t="s">
        <v>788</v>
      </c>
      <c r="C265" s="144">
        <v>34000895</v>
      </c>
      <c r="D265" s="144" t="s">
        <v>789</v>
      </c>
      <c r="E265" s="326">
        <v>262000</v>
      </c>
      <c r="F265" s="157"/>
    </row>
    <row r="266" spans="1:6" s="159" customFormat="1" ht="41.45" customHeight="1" x14ac:dyDescent="0.2">
      <c r="A266" s="144">
        <v>264</v>
      </c>
      <c r="B266" s="144" t="s">
        <v>790</v>
      </c>
      <c r="C266" s="144">
        <v>34000902</v>
      </c>
      <c r="D266" s="144" t="s">
        <v>791</v>
      </c>
      <c r="E266" s="326">
        <v>81000</v>
      </c>
      <c r="F266" s="157"/>
    </row>
    <row r="267" spans="1:6" s="159" customFormat="1" ht="41.45" customHeight="1" x14ac:dyDescent="0.2">
      <c r="A267" s="144">
        <v>265</v>
      </c>
      <c r="B267" s="144" t="s">
        <v>792</v>
      </c>
      <c r="C267" s="144">
        <v>34000808</v>
      </c>
      <c r="D267" s="144" t="s">
        <v>793</v>
      </c>
      <c r="E267" s="326">
        <v>73000</v>
      </c>
      <c r="F267" s="157"/>
    </row>
    <row r="268" spans="1:6" s="159" customFormat="1" ht="41.45" customHeight="1" x14ac:dyDescent="0.2">
      <c r="A268" s="144">
        <v>266</v>
      </c>
      <c r="B268" s="144" t="s">
        <v>794</v>
      </c>
      <c r="C268" s="144">
        <v>34000898</v>
      </c>
      <c r="D268" s="144" t="s">
        <v>795</v>
      </c>
      <c r="E268" s="326">
        <v>71000</v>
      </c>
      <c r="F268" s="157"/>
    </row>
    <row r="269" spans="1:6" s="159" customFormat="1" ht="41.45" customHeight="1" x14ac:dyDescent="0.2">
      <c r="A269" s="144">
        <v>267</v>
      </c>
      <c r="B269" s="144" t="s">
        <v>796</v>
      </c>
      <c r="C269" s="144">
        <v>34000473</v>
      </c>
      <c r="D269" s="144" t="s">
        <v>797</v>
      </c>
      <c r="E269" s="326">
        <v>406000</v>
      </c>
      <c r="F269" s="157"/>
    </row>
    <row r="270" spans="1:6" s="159" customFormat="1" ht="41.45" customHeight="1" x14ac:dyDescent="0.2">
      <c r="A270" s="144">
        <v>268</v>
      </c>
      <c r="B270" s="144" t="s">
        <v>810</v>
      </c>
      <c r="C270" s="144">
        <v>34000159</v>
      </c>
      <c r="D270" s="144" t="s">
        <v>811</v>
      </c>
      <c r="E270" s="326">
        <v>611000</v>
      </c>
      <c r="F270" s="157"/>
    </row>
    <row r="271" spans="1:6" s="159" customFormat="1" ht="41.45" customHeight="1" x14ac:dyDescent="0.2">
      <c r="A271" s="144">
        <v>269</v>
      </c>
      <c r="B271" s="144" t="s">
        <v>812</v>
      </c>
      <c r="C271" s="144">
        <v>34000770</v>
      </c>
      <c r="D271" s="144" t="s">
        <v>813</v>
      </c>
      <c r="E271" s="326">
        <v>61000</v>
      </c>
      <c r="F271" s="157"/>
    </row>
    <row r="272" spans="1:6" s="159" customFormat="1" ht="41.45" customHeight="1" x14ac:dyDescent="0.2">
      <c r="A272" s="144">
        <v>270</v>
      </c>
      <c r="B272" s="144" t="s">
        <v>1232</v>
      </c>
      <c r="C272" s="144">
        <v>34000636</v>
      </c>
      <c r="D272" s="144" t="s">
        <v>1233</v>
      </c>
      <c r="E272" s="326">
        <v>56000</v>
      </c>
      <c r="F272" s="157"/>
    </row>
    <row r="273" spans="1:6" s="159" customFormat="1" ht="41.45" customHeight="1" x14ac:dyDescent="0.2">
      <c r="A273" s="144">
        <v>271</v>
      </c>
      <c r="B273" s="144" t="s">
        <v>1234</v>
      </c>
      <c r="C273" s="144">
        <v>34000074</v>
      </c>
      <c r="D273" s="144" t="s">
        <v>1235</v>
      </c>
      <c r="E273" s="326">
        <v>158000</v>
      </c>
      <c r="F273" s="157"/>
    </row>
    <row r="274" spans="1:6" s="159" customFormat="1" ht="41.45" customHeight="1" x14ac:dyDescent="0.2">
      <c r="A274" s="144">
        <v>272</v>
      </c>
      <c r="B274" s="144" t="s">
        <v>1236</v>
      </c>
      <c r="C274" s="144">
        <v>34000011</v>
      </c>
      <c r="D274" s="144" t="s">
        <v>1237</v>
      </c>
      <c r="E274" s="326">
        <v>53000</v>
      </c>
      <c r="F274" s="157"/>
    </row>
    <row r="275" spans="1:6" s="159" customFormat="1" ht="41.45" customHeight="1" x14ac:dyDescent="0.2">
      <c r="A275" s="144">
        <v>273</v>
      </c>
      <c r="B275" s="144" t="s">
        <v>1238</v>
      </c>
      <c r="C275" s="144">
        <v>34000206</v>
      </c>
      <c r="D275" s="144" t="s">
        <v>1239</v>
      </c>
      <c r="E275" s="326">
        <v>266000</v>
      </c>
      <c r="F275" s="157"/>
    </row>
    <row r="276" spans="1:6" s="159" customFormat="1" ht="41.45" customHeight="1" x14ac:dyDescent="0.2">
      <c r="A276" s="144">
        <v>274</v>
      </c>
      <c r="B276" s="144" t="s">
        <v>1240</v>
      </c>
      <c r="C276" s="144">
        <v>34000635</v>
      </c>
      <c r="D276" s="144" t="s">
        <v>245</v>
      </c>
      <c r="E276" s="326">
        <v>412000</v>
      </c>
      <c r="F276" s="157"/>
    </row>
    <row r="277" spans="1:6" s="159" customFormat="1" ht="41.45" customHeight="1" x14ac:dyDescent="0.2">
      <c r="A277" s="144">
        <v>275</v>
      </c>
      <c r="B277" s="144" t="s">
        <v>1241</v>
      </c>
      <c r="C277" s="144">
        <v>34000759</v>
      </c>
      <c r="D277" s="144" t="s">
        <v>1242</v>
      </c>
      <c r="E277" s="326">
        <v>148000</v>
      </c>
      <c r="F277" s="157"/>
    </row>
    <row r="278" spans="1:6" s="159" customFormat="1" ht="41.45" customHeight="1" x14ac:dyDescent="0.2">
      <c r="A278" s="144">
        <v>276</v>
      </c>
      <c r="B278" s="144" t="s">
        <v>1243</v>
      </c>
      <c r="C278" s="144">
        <v>34000762</v>
      </c>
      <c r="D278" s="144" t="s">
        <v>1244</v>
      </c>
      <c r="E278" s="326">
        <v>58000</v>
      </c>
      <c r="F278" s="157"/>
    </row>
    <row r="279" spans="1:6" s="159" customFormat="1" ht="41.45" customHeight="1" x14ac:dyDescent="0.2">
      <c r="A279" s="144">
        <v>277</v>
      </c>
      <c r="B279" s="144" t="s">
        <v>1245</v>
      </c>
      <c r="C279" s="144">
        <v>34000999</v>
      </c>
      <c r="D279" s="144" t="s">
        <v>1246</v>
      </c>
      <c r="E279" s="326">
        <v>191000</v>
      </c>
      <c r="F279" s="157"/>
    </row>
    <row r="280" spans="1:6" s="159" customFormat="1" ht="41.45" customHeight="1" x14ac:dyDescent="0.2">
      <c r="A280" s="144">
        <v>278</v>
      </c>
      <c r="B280" s="144" t="s">
        <v>1247</v>
      </c>
      <c r="C280" s="144">
        <v>34000958</v>
      </c>
      <c r="D280" s="144" t="s">
        <v>1248</v>
      </c>
      <c r="E280" s="326">
        <v>48000</v>
      </c>
      <c r="F280" s="157"/>
    </row>
    <row r="281" spans="1:6" s="159" customFormat="1" ht="41.45" customHeight="1" x14ac:dyDescent="0.2">
      <c r="A281" s="144">
        <v>279</v>
      </c>
      <c r="B281" s="144" t="s">
        <v>1249</v>
      </c>
      <c r="C281" s="144">
        <v>34000927</v>
      </c>
      <c r="D281" s="144" t="s">
        <v>1250</v>
      </c>
      <c r="E281" s="326">
        <v>145000</v>
      </c>
      <c r="F281" s="157"/>
    </row>
    <row r="282" spans="1:6" ht="41.45" customHeight="1" x14ac:dyDescent="0.25">
      <c r="A282" s="144">
        <v>280</v>
      </c>
      <c r="B282" s="144" t="s">
        <v>1251</v>
      </c>
      <c r="C282" s="144">
        <v>34000778</v>
      </c>
      <c r="D282" s="144" t="s">
        <v>1252</v>
      </c>
      <c r="E282" s="326">
        <v>183000</v>
      </c>
    </row>
    <row r="283" spans="1:6" ht="41.45" customHeight="1" x14ac:dyDescent="0.25">
      <c r="A283" s="144">
        <v>281</v>
      </c>
      <c r="B283" s="144" t="s">
        <v>1253</v>
      </c>
      <c r="C283" s="144">
        <v>34000583</v>
      </c>
      <c r="D283" s="144" t="s">
        <v>844</v>
      </c>
      <c r="E283" s="326">
        <v>939000</v>
      </c>
    </row>
    <row r="284" spans="1:6" ht="41.45" customHeight="1" x14ac:dyDescent="0.25">
      <c r="A284" s="144">
        <v>282</v>
      </c>
      <c r="B284" s="144" t="s">
        <v>1254</v>
      </c>
      <c r="C284" s="144">
        <v>34000187</v>
      </c>
      <c r="D284" s="144" t="s">
        <v>1255</v>
      </c>
      <c r="E284" s="326">
        <v>45000</v>
      </c>
    </row>
    <row r="285" spans="1:6" ht="41.45" customHeight="1" x14ac:dyDescent="0.25">
      <c r="A285" s="144">
        <v>283</v>
      </c>
      <c r="B285" s="144" t="s">
        <v>1256</v>
      </c>
      <c r="C285" s="144">
        <v>34000786</v>
      </c>
      <c r="D285" s="144" t="s">
        <v>1257</v>
      </c>
      <c r="E285" s="326">
        <v>45000</v>
      </c>
    </row>
    <row r="286" spans="1:6" ht="41.45" customHeight="1" x14ac:dyDescent="0.25">
      <c r="A286" s="144">
        <v>284</v>
      </c>
      <c r="B286" s="144" t="s">
        <v>1258</v>
      </c>
      <c r="C286" s="144">
        <v>34000934</v>
      </c>
      <c r="D286" s="144" t="s">
        <v>1259</v>
      </c>
      <c r="E286" s="326">
        <v>89000</v>
      </c>
    </row>
    <row r="287" spans="1:6" ht="41.45" customHeight="1" x14ac:dyDescent="0.25">
      <c r="A287" s="144">
        <v>285</v>
      </c>
      <c r="B287" s="144" t="s">
        <v>1260</v>
      </c>
      <c r="C287" s="144">
        <v>34000427</v>
      </c>
      <c r="D287" s="144" t="s">
        <v>1261</v>
      </c>
      <c r="E287" s="326">
        <v>40000</v>
      </c>
    </row>
    <row r="288" spans="1:6" ht="41.45" customHeight="1" x14ac:dyDescent="0.25">
      <c r="A288" s="144">
        <v>286</v>
      </c>
      <c r="B288" s="144" t="s">
        <v>1262</v>
      </c>
      <c r="C288" s="144">
        <v>34000605</v>
      </c>
      <c r="D288" s="144" t="s">
        <v>1263</v>
      </c>
      <c r="E288" s="326">
        <v>117000</v>
      </c>
    </row>
    <row r="289" spans="1:5" ht="41.45" customHeight="1" x14ac:dyDescent="0.25">
      <c r="A289" s="144">
        <v>287</v>
      </c>
      <c r="B289" s="144" t="s">
        <v>1264</v>
      </c>
      <c r="C289" s="144">
        <v>34000987</v>
      </c>
      <c r="D289" s="144" t="s">
        <v>1265</v>
      </c>
      <c r="E289" s="326">
        <v>38000</v>
      </c>
    </row>
    <row r="290" spans="1:5" ht="41.45" customHeight="1" x14ac:dyDescent="0.25">
      <c r="A290" s="144">
        <v>288</v>
      </c>
      <c r="B290" s="144" t="s">
        <v>1266</v>
      </c>
      <c r="C290" s="144">
        <v>34000687</v>
      </c>
      <c r="D290" s="144" t="s">
        <v>1267</v>
      </c>
      <c r="E290" s="326">
        <v>35000</v>
      </c>
    </row>
    <row r="291" spans="1:5" ht="41.45" customHeight="1" x14ac:dyDescent="0.25">
      <c r="A291" s="144">
        <v>289</v>
      </c>
      <c r="B291" s="144" t="s">
        <v>1268</v>
      </c>
      <c r="C291" s="144">
        <v>34001047</v>
      </c>
      <c r="D291" s="144" t="s">
        <v>1269</v>
      </c>
      <c r="E291" s="326">
        <v>35000</v>
      </c>
    </row>
    <row r="292" spans="1:5" ht="41.45" customHeight="1" x14ac:dyDescent="0.25">
      <c r="A292" s="144">
        <v>290</v>
      </c>
      <c r="B292" s="144" t="s">
        <v>1270</v>
      </c>
      <c r="C292" s="144">
        <v>34000273</v>
      </c>
      <c r="D292" s="144" t="s">
        <v>1271</v>
      </c>
      <c r="E292" s="326">
        <v>111000</v>
      </c>
    </row>
    <row r="293" spans="1:5" ht="41.45" customHeight="1" x14ac:dyDescent="0.25">
      <c r="A293" s="144">
        <v>291</v>
      </c>
      <c r="B293" s="144" t="s">
        <v>1272</v>
      </c>
      <c r="C293" s="144">
        <v>34000088</v>
      </c>
      <c r="D293" s="144" t="s">
        <v>1273</v>
      </c>
      <c r="E293" s="326">
        <v>35000</v>
      </c>
    </row>
    <row r="294" spans="1:5" ht="41.45" customHeight="1" x14ac:dyDescent="0.25">
      <c r="A294" s="144">
        <v>292</v>
      </c>
      <c r="B294" s="144" t="s">
        <v>1274</v>
      </c>
      <c r="C294" s="144">
        <v>34000121</v>
      </c>
      <c r="D294" s="144" t="s">
        <v>1275</v>
      </c>
      <c r="E294" s="326">
        <v>35000</v>
      </c>
    </row>
    <row r="295" spans="1:5" ht="41.45" customHeight="1" x14ac:dyDescent="0.25">
      <c r="A295" s="144">
        <v>295</v>
      </c>
      <c r="B295" s="144" t="s">
        <v>1276</v>
      </c>
      <c r="C295" s="144">
        <v>34000254</v>
      </c>
      <c r="D295" s="144" t="s">
        <v>1277</v>
      </c>
      <c r="E295" s="326">
        <v>30000</v>
      </c>
    </row>
    <row r="296" spans="1:5" ht="41.45" customHeight="1" x14ac:dyDescent="0.25">
      <c r="A296" s="144">
        <v>296</v>
      </c>
      <c r="B296" s="144" t="s">
        <v>1278</v>
      </c>
      <c r="C296" s="144">
        <v>34000789</v>
      </c>
      <c r="D296" s="144" t="s">
        <v>1279</v>
      </c>
      <c r="E296" s="326">
        <v>30000</v>
      </c>
    </row>
    <row r="297" spans="1:5" ht="41.45" customHeight="1" x14ac:dyDescent="0.25">
      <c r="A297" s="144">
        <v>297</v>
      </c>
      <c r="B297" s="144" t="s">
        <v>1280</v>
      </c>
      <c r="C297" s="144">
        <v>34000962</v>
      </c>
      <c r="D297" s="144" t="s">
        <v>1281</v>
      </c>
      <c r="E297" s="326">
        <v>85000</v>
      </c>
    </row>
    <row r="298" spans="1:5" ht="41.45" customHeight="1" x14ac:dyDescent="0.25">
      <c r="A298" s="144">
        <v>298</v>
      </c>
      <c r="B298" s="144" t="s">
        <v>1282</v>
      </c>
      <c r="C298" s="144">
        <v>34000423</v>
      </c>
      <c r="D298" s="144" t="s">
        <v>1283</v>
      </c>
      <c r="E298" s="326">
        <v>28000</v>
      </c>
    </row>
    <row r="299" spans="1:5" ht="41.45" customHeight="1" x14ac:dyDescent="0.25">
      <c r="A299" s="144">
        <v>299</v>
      </c>
      <c r="B299" s="144" t="s">
        <v>1284</v>
      </c>
      <c r="C299" s="144">
        <v>34001039</v>
      </c>
      <c r="D299" s="144" t="s">
        <v>1285</v>
      </c>
      <c r="E299" s="326">
        <v>28000</v>
      </c>
    </row>
    <row r="300" spans="1:5" ht="41.45" customHeight="1" x14ac:dyDescent="0.25">
      <c r="A300" s="144">
        <v>300</v>
      </c>
      <c r="B300" s="144" t="s">
        <v>1286</v>
      </c>
      <c r="C300" s="144">
        <v>34000935</v>
      </c>
      <c r="D300" s="144" t="s">
        <v>1287</v>
      </c>
      <c r="E300" s="326">
        <v>28000</v>
      </c>
    </row>
    <row r="301" spans="1:5" ht="41.45" customHeight="1" x14ac:dyDescent="0.25">
      <c r="A301" s="144">
        <v>301</v>
      </c>
      <c r="B301" s="144" t="s">
        <v>1288</v>
      </c>
      <c r="C301" s="144">
        <v>34001033</v>
      </c>
      <c r="D301" s="144" t="s">
        <v>1289</v>
      </c>
      <c r="E301" s="326">
        <v>28000</v>
      </c>
    </row>
    <row r="302" spans="1:5" ht="41.45" customHeight="1" x14ac:dyDescent="0.25">
      <c r="A302" s="144">
        <v>302</v>
      </c>
      <c r="B302" s="144" t="s">
        <v>1290</v>
      </c>
      <c r="C302" s="144">
        <v>34001074</v>
      </c>
      <c r="D302" s="144" t="s">
        <v>1291</v>
      </c>
      <c r="E302" s="326">
        <v>36000</v>
      </c>
    </row>
    <row r="303" spans="1:5" ht="41.45" customHeight="1" x14ac:dyDescent="0.25">
      <c r="A303" s="144">
        <v>303</v>
      </c>
      <c r="B303" s="144" t="s">
        <v>1292</v>
      </c>
      <c r="C303" s="144">
        <v>34000946</v>
      </c>
      <c r="D303" s="144" t="s">
        <v>1293</v>
      </c>
      <c r="E303" s="326">
        <v>28000</v>
      </c>
    </row>
    <row r="304" spans="1:5" ht="41.45" customHeight="1" x14ac:dyDescent="0.25">
      <c r="A304" s="144">
        <v>304</v>
      </c>
      <c r="B304" s="144" t="s">
        <v>1294</v>
      </c>
      <c r="C304" s="144">
        <v>34001031</v>
      </c>
      <c r="D304" s="144" t="s">
        <v>1295</v>
      </c>
      <c r="E304" s="326">
        <v>28000</v>
      </c>
    </row>
    <row r="305" spans="1:5" ht="41.45" customHeight="1" x14ac:dyDescent="0.25">
      <c r="A305" s="144">
        <v>305</v>
      </c>
      <c r="B305" s="144" t="s">
        <v>1296</v>
      </c>
      <c r="C305" s="144">
        <v>34000930</v>
      </c>
      <c r="D305" s="144" t="s">
        <v>1297</v>
      </c>
      <c r="E305" s="326">
        <v>25000</v>
      </c>
    </row>
    <row r="306" spans="1:5" ht="41.45" customHeight="1" x14ac:dyDescent="0.25">
      <c r="A306" s="144">
        <v>308</v>
      </c>
      <c r="B306" s="144" t="s">
        <v>1298</v>
      </c>
      <c r="C306" s="144">
        <v>34000067</v>
      </c>
      <c r="D306" s="144" t="s">
        <v>1299</v>
      </c>
      <c r="E306" s="326">
        <v>156000</v>
      </c>
    </row>
    <row r="307" spans="1:5" ht="41.45" customHeight="1" x14ac:dyDescent="0.25">
      <c r="A307" s="144">
        <v>309</v>
      </c>
      <c r="B307" s="144" t="s">
        <v>1300</v>
      </c>
      <c r="C307" s="144">
        <v>34001014</v>
      </c>
      <c r="D307" s="144" t="s">
        <v>1301</v>
      </c>
      <c r="E307" s="326">
        <v>20000</v>
      </c>
    </row>
    <row r="308" spans="1:5" ht="41.45" customHeight="1" x14ac:dyDescent="0.25">
      <c r="A308" s="144">
        <v>310</v>
      </c>
      <c r="B308" s="144" t="s">
        <v>1302</v>
      </c>
      <c r="C308" s="144">
        <v>34001061</v>
      </c>
      <c r="D308" s="144" t="s">
        <v>1303</v>
      </c>
      <c r="E308" s="326">
        <v>20000</v>
      </c>
    </row>
    <row r="309" spans="1:5" ht="41.45" customHeight="1" x14ac:dyDescent="0.25">
      <c r="A309" s="144">
        <v>311</v>
      </c>
      <c r="B309" s="144" t="s">
        <v>1304</v>
      </c>
      <c r="C309" s="144">
        <v>34001068</v>
      </c>
      <c r="D309" s="144" t="s">
        <v>1305</v>
      </c>
      <c r="E309" s="326">
        <v>20000</v>
      </c>
    </row>
    <row r="310" spans="1:5" ht="41.45" customHeight="1" x14ac:dyDescent="0.25">
      <c r="A310" s="144">
        <v>312</v>
      </c>
      <c r="B310" s="144" t="s">
        <v>1306</v>
      </c>
      <c r="C310" s="144">
        <v>34000322</v>
      </c>
      <c r="D310" s="144" t="s">
        <v>1307</v>
      </c>
      <c r="E310" s="326">
        <v>18000</v>
      </c>
    </row>
    <row r="311" spans="1:5" ht="41.45" customHeight="1" x14ac:dyDescent="0.25">
      <c r="A311" s="144">
        <v>314</v>
      </c>
      <c r="B311" s="144" t="s">
        <v>1308</v>
      </c>
      <c r="C311" s="144">
        <v>34000991</v>
      </c>
      <c r="D311" s="144" t="s">
        <v>1309</v>
      </c>
      <c r="E311" s="326">
        <v>15000</v>
      </c>
    </row>
    <row r="312" spans="1:5" ht="41.45" customHeight="1" x14ac:dyDescent="0.25">
      <c r="A312" s="144">
        <v>316</v>
      </c>
      <c r="B312" s="144" t="s">
        <v>1310</v>
      </c>
      <c r="C312" s="144">
        <v>34000949</v>
      </c>
      <c r="D312" s="144" t="s">
        <v>1311</v>
      </c>
      <c r="E312" s="326">
        <v>22000</v>
      </c>
    </row>
    <row r="313" spans="1:5" ht="41.45" customHeight="1" x14ac:dyDescent="0.25">
      <c r="A313" s="144">
        <v>317</v>
      </c>
      <c r="B313" s="144" t="s">
        <v>1312</v>
      </c>
      <c r="C313" s="144">
        <v>34001098</v>
      </c>
      <c r="D313" s="144" t="s">
        <v>1313</v>
      </c>
      <c r="E313" s="326">
        <v>13000</v>
      </c>
    </row>
    <row r="314" spans="1:5" ht="41.45" customHeight="1" x14ac:dyDescent="0.25">
      <c r="A314" s="144">
        <v>318</v>
      </c>
      <c r="B314" s="144" t="s">
        <v>1314</v>
      </c>
      <c r="C314" s="144">
        <v>34001094</v>
      </c>
      <c r="D314" s="144" t="s">
        <v>1315</v>
      </c>
      <c r="E314" s="326">
        <v>21000</v>
      </c>
    </row>
    <row r="315" spans="1:5" ht="41.45" customHeight="1" x14ac:dyDescent="0.25">
      <c r="A315" s="144">
        <v>319</v>
      </c>
      <c r="B315" s="144" t="s">
        <v>1316</v>
      </c>
      <c r="C315" s="144">
        <v>34001008</v>
      </c>
      <c r="D315" s="144" t="s">
        <v>1317</v>
      </c>
      <c r="E315" s="326">
        <v>13000</v>
      </c>
    </row>
    <row r="316" spans="1:5" ht="41.45" customHeight="1" x14ac:dyDescent="0.25">
      <c r="A316" s="144">
        <v>320</v>
      </c>
      <c r="B316" s="144" t="s">
        <v>1318</v>
      </c>
      <c r="C316" s="144">
        <v>34001057</v>
      </c>
      <c r="D316" s="144" t="s">
        <v>1319</v>
      </c>
      <c r="E316" s="326">
        <v>13000</v>
      </c>
    </row>
    <row r="317" spans="1:5" ht="41.45" customHeight="1" x14ac:dyDescent="0.25">
      <c r="A317" s="144">
        <v>321</v>
      </c>
      <c r="B317" s="144" t="s">
        <v>1320</v>
      </c>
      <c r="C317" s="144">
        <v>34000477</v>
      </c>
      <c r="D317" s="144" t="s">
        <v>1321</v>
      </c>
      <c r="E317" s="326">
        <v>13000</v>
      </c>
    </row>
    <row r="318" spans="1:5" ht="41.45" customHeight="1" x14ac:dyDescent="0.25">
      <c r="A318" s="144">
        <v>322</v>
      </c>
      <c r="B318" s="144" t="s">
        <v>1322</v>
      </c>
      <c r="C318" s="144">
        <v>34000956</v>
      </c>
      <c r="D318" s="144" t="s">
        <v>1323</v>
      </c>
      <c r="E318" s="326">
        <v>7000</v>
      </c>
    </row>
    <row r="319" spans="1:5" ht="41.45" customHeight="1" x14ac:dyDescent="0.25">
      <c r="A319" s="144">
        <v>323</v>
      </c>
      <c r="B319" s="144" t="s">
        <v>1324</v>
      </c>
      <c r="C319" s="144">
        <v>34000779</v>
      </c>
      <c r="D319" s="144" t="s">
        <v>1325</v>
      </c>
      <c r="E319" s="326">
        <v>5000</v>
      </c>
    </row>
    <row r="320" spans="1:5" ht="41.45" customHeight="1" x14ac:dyDescent="0.25">
      <c r="A320" s="144">
        <v>324</v>
      </c>
      <c r="B320" s="144" t="s">
        <v>1326</v>
      </c>
      <c r="C320" s="144">
        <v>34000214</v>
      </c>
      <c r="D320" s="144" t="s">
        <v>1327</v>
      </c>
      <c r="E320" s="326">
        <v>5000</v>
      </c>
    </row>
    <row r="321" spans="1:5" ht="41.45" customHeight="1" x14ac:dyDescent="0.25">
      <c r="A321" s="144">
        <v>325</v>
      </c>
      <c r="B321" s="140" t="s">
        <v>1328</v>
      </c>
      <c r="C321" s="141" t="s">
        <v>1329</v>
      </c>
      <c r="D321" s="325" t="s">
        <v>1330</v>
      </c>
      <c r="E321" s="326">
        <v>25000</v>
      </c>
    </row>
    <row r="322" spans="1:5" ht="41.45" customHeight="1" x14ac:dyDescent="0.25">
      <c r="A322" s="144">
        <v>326</v>
      </c>
      <c r="B322" s="140" t="s">
        <v>1331</v>
      </c>
      <c r="C322" s="141" t="s">
        <v>1329</v>
      </c>
      <c r="D322" s="325" t="s">
        <v>1332</v>
      </c>
      <c r="E322" s="326">
        <v>25000</v>
      </c>
    </row>
    <row r="323" spans="1:5" ht="41.45" customHeight="1" x14ac:dyDescent="0.25">
      <c r="A323" s="144">
        <v>327</v>
      </c>
      <c r="B323" s="140" t="s">
        <v>1333</v>
      </c>
      <c r="C323" s="140" t="s">
        <v>1334</v>
      </c>
      <c r="D323" s="140" t="s">
        <v>784</v>
      </c>
      <c r="E323" s="326">
        <v>25000</v>
      </c>
    </row>
    <row r="324" spans="1:5" ht="41.45" customHeight="1" x14ac:dyDescent="0.25">
      <c r="A324" s="144">
        <v>328</v>
      </c>
      <c r="B324" s="140" t="s">
        <v>1335</v>
      </c>
      <c r="C324" s="140" t="s">
        <v>1329</v>
      </c>
      <c r="D324" s="140" t="s">
        <v>1336</v>
      </c>
      <c r="E324" s="326">
        <v>23000</v>
      </c>
    </row>
    <row r="325" spans="1:5" ht="41.45" customHeight="1" x14ac:dyDescent="0.25">
      <c r="A325" s="144">
        <v>329</v>
      </c>
      <c r="B325" s="140" t="s">
        <v>1337</v>
      </c>
      <c r="C325" s="140" t="s">
        <v>1329</v>
      </c>
      <c r="D325" s="140" t="s">
        <v>1338</v>
      </c>
      <c r="E325" s="326">
        <v>23000</v>
      </c>
    </row>
    <row r="326" spans="1:5" ht="41.45" customHeight="1" x14ac:dyDescent="0.25">
      <c r="A326" s="144">
        <v>330</v>
      </c>
      <c r="B326" s="140" t="s">
        <v>1339</v>
      </c>
      <c r="C326" s="140" t="s">
        <v>1329</v>
      </c>
      <c r="D326" s="140" t="s">
        <v>1340</v>
      </c>
      <c r="E326" s="326">
        <v>23000</v>
      </c>
    </row>
    <row r="327" spans="1:5" ht="41.45" customHeight="1" x14ac:dyDescent="0.25">
      <c r="A327" s="144">
        <v>331</v>
      </c>
      <c r="B327" s="140" t="s">
        <v>1341</v>
      </c>
      <c r="C327" s="140" t="s">
        <v>1329</v>
      </c>
      <c r="D327" s="140" t="s">
        <v>1342</v>
      </c>
      <c r="E327" s="326">
        <v>23000</v>
      </c>
    </row>
    <row r="328" spans="1:5" ht="41.45" customHeight="1" x14ac:dyDescent="0.25">
      <c r="A328" s="144">
        <v>332</v>
      </c>
      <c r="B328" s="140" t="s">
        <v>1343</v>
      </c>
      <c r="C328" s="140" t="s">
        <v>1344</v>
      </c>
      <c r="D328" s="140" t="s">
        <v>1345</v>
      </c>
      <c r="E328" s="326">
        <v>23000</v>
      </c>
    </row>
    <row r="329" spans="1:5" ht="41.45" customHeight="1" x14ac:dyDescent="0.25">
      <c r="A329" s="144">
        <v>333</v>
      </c>
      <c r="B329" s="140" t="s">
        <v>1346</v>
      </c>
      <c r="C329" s="140" t="s">
        <v>1344</v>
      </c>
      <c r="D329" s="140" t="s">
        <v>1347</v>
      </c>
      <c r="E329" s="326">
        <v>23000</v>
      </c>
    </row>
    <row r="330" spans="1:5" ht="41.45" customHeight="1" x14ac:dyDescent="0.25">
      <c r="A330" s="144">
        <v>334</v>
      </c>
      <c r="B330" s="140" t="s">
        <v>1348</v>
      </c>
      <c r="C330" s="140" t="s">
        <v>1329</v>
      </c>
      <c r="D330" s="140" t="s">
        <v>1349</v>
      </c>
      <c r="E330" s="326">
        <v>23000</v>
      </c>
    </row>
    <row r="331" spans="1:5" ht="41.45" customHeight="1" x14ac:dyDescent="0.25">
      <c r="A331" s="144">
        <v>335</v>
      </c>
      <c r="B331" s="140" t="s">
        <v>1350</v>
      </c>
      <c r="C331" s="140" t="s">
        <v>1344</v>
      </c>
      <c r="D331" s="140" t="s">
        <v>1351</v>
      </c>
      <c r="E331" s="326">
        <v>23000</v>
      </c>
    </row>
    <row r="332" spans="1:5" ht="41.45" customHeight="1" x14ac:dyDescent="0.25">
      <c r="A332" s="144">
        <v>336</v>
      </c>
      <c r="B332" s="140" t="s">
        <v>1352</v>
      </c>
      <c r="C332" s="140" t="s">
        <v>1329</v>
      </c>
      <c r="D332" s="140" t="s">
        <v>1353</v>
      </c>
      <c r="E332" s="326">
        <v>23000</v>
      </c>
    </row>
    <row r="333" spans="1:5" ht="41.45" customHeight="1" x14ac:dyDescent="0.25">
      <c r="A333" s="144">
        <v>337</v>
      </c>
      <c r="B333" s="140" t="s">
        <v>1354</v>
      </c>
      <c r="C333" s="140" t="s">
        <v>1344</v>
      </c>
      <c r="D333" s="140" t="s">
        <v>1355</v>
      </c>
      <c r="E333" s="326">
        <v>23000</v>
      </c>
    </row>
    <row r="334" spans="1:5" ht="41.45" customHeight="1" x14ac:dyDescent="0.25">
      <c r="A334" s="144">
        <v>338</v>
      </c>
      <c r="B334" s="140" t="s">
        <v>1356</v>
      </c>
      <c r="C334" s="140" t="s">
        <v>1357</v>
      </c>
      <c r="D334" s="140" t="s">
        <v>1358</v>
      </c>
      <c r="E334" s="326">
        <v>23000</v>
      </c>
    </row>
    <row r="335" spans="1:5" ht="41.45" customHeight="1" x14ac:dyDescent="0.25">
      <c r="A335" s="144">
        <v>339</v>
      </c>
      <c r="B335" s="140" t="s">
        <v>1359</v>
      </c>
      <c r="C335" s="140" t="s">
        <v>1344</v>
      </c>
      <c r="D335" s="140" t="s">
        <v>1360</v>
      </c>
      <c r="E335" s="326">
        <v>23000</v>
      </c>
    </row>
    <row r="336" spans="1:5" ht="41.45" customHeight="1" x14ac:dyDescent="0.25">
      <c r="A336" s="144">
        <v>340</v>
      </c>
      <c r="B336" s="140" t="s">
        <v>1361</v>
      </c>
      <c r="C336" s="140" t="s">
        <v>1329</v>
      </c>
      <c r="D336" s="140" t="s">
        <v>1362</v>
      </c>
      <c r="E336" s="326">
        <v>20000</v>
      </c>
    </row>
    <row r="337" spans="1:5" ht="41.45" customHeight="1" x14ac:dyDescent="0.25">
      <c r="A337" s="144">
        <v>341</v>
      </c>
      <c r="B337" s="140" t="s">
        <v>1363</v>
      </c>
      <c r="C337" s="140" t="s">
        <v>1364</v>
      </c>
      <c r="D337" s="140" t="s">
        <v>1365</v>
      </c>
      <c r="E337" s="326">
        <v>20000</v>
      </c>
    </row>
    <row r="338" spans="1:5" ht="41.45" customHeight="1" x14ac:dyDescent="0.25">
      <c r="A338" s="144">
        <v>342</v>
      </c>
      <c r="B338" s="140" t="s">
        <v>1366</v>
      </c>
      <c r="C338" s="140" t="s">
        <v>1367</v>
      </c>
      <c r="D338" s="140" t="s">
        <v>1368</v>
      </c>
      <c r="E338" s="326">
        <v>18000</v>
      </c>
    </row>
    <row r="339" spans="1:5" ht="41.45" customHeight="1" x14ac:dyDescent="0.25">
      <c r="A339" s="144">
        <v>343</v>
      </c>
      <c r="B339" s="140" t="s">
        <v>1369</v>
      </c>
      <c r="C339" s="140" t="s">
        <v>1344</v>
      </c>
      <c r="D339" s="140" t="s">
        <v>1370</v>
      </c>
      <c r="E339" s="326">
        <v>18000</v>
      </c>
    </row>
    <row r="340" spans="1:5" ht="41.45" customHeight="1" x14ac:dyDescent="0.25">
      <c r="A340" s="144">
        <v>344</v>
      </c>
      <c r="B340" s="140" t="s">
        <v>1371</v>
      </c>
      <c r="C340" s="140" t="s">
        <v>1372</v>
      </c>
      <c r="D340" s="140" t="s">
        <v>1373</v>
      </c>
      <c r="E340" s="326">
        <v>15000</v>
      </c>
    </row>
    <row r="341" spans="1:5" ht="41.45" customHeight="1" x14ac:dyDescent="0.25">
      <c r="A341" s="144">
        <v>345</v>
      </c>
      <c r="B341" s="140" t="s">
        <v>1374</v>
      </c>
      <c r="C341" s="140" t="s">
        <v>1329</v>
      </c>
      <c r="D341" s="140" t="s">
        <v>1375</v>
      </c>
      <c r="E341" s="326">
        <v>15000</v>
      </c>
    </row>
    <row r="342" spans="1:5" ht="41.45" customHeight="1" x14ac:dyDescent="0.25">
      <c r="A342" s="144">
        <v>346</v>
      </c>
      <c r="B342" s="140" t="s">
        <v>1376</v>
      </c>
      <c r="C342" s="140" t="s">
        <v>1344</v>
      </c>
      <c r="D342" s="140" t="s">
        <v>1377</v>
      </c>
      <c r="E342" s="326">
        <v>13000</v>
      </c>
    </row>
    <row r="343" spans="1:5" ht="41.45" customHeight="1" x14ac:dyDescent="0.25">
      <c r="A343" s="144">
        <v>347</v>
      </c>
      <c r="B343" s="140" t="s">
        <v>1378</v>
      </c>
      <c r="C343" s="140" t="s">
        <v>1372</v>
      </c>
      <c r="D343" s="140" t="s">
        <v>1379</v>
      </c>
      <c r="E343" s="326">
        <v>10000</v>
      </c>
    </row>
    <row r="344" spans="1:5" ht="41.45" customHeight="1" x14ac:dyDescent="0.25">
      <c r="E344" s="152">
        <f>SUM(E3:E343)</f>
        <v>95643000</v>
      </c>
    </row>
  </sheetData>
  <autoFilter ref="A2:D258" xr:uid="{603D3537-97B1-4A35-AFB3-2FCA86ED4ED0}"/>
  <mergeCells count="1">
    <mergeCell ref="A1:F1"/>
  </mergeCells>
  <pageMargins left="0.43" right="0.25" top="0.75" bottom="0.75" header="0.3" footer="0.3"/>
  <pageSetup paperSize="9" scale="97" fitToHeight="0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16AAE-B261-457E-92AA-897A4EC5B8DF}">
  <sheetPr>
    <pageSetUpPr fitToPage="1"/>
  </sheetPr>
  <dimension ref="A1:F326"/>
  <sheetViews>
    <sheetView zoomScale="85" zoomScaleNormal="85" workbookViewId="0">
      <selection activeCell="J312" sqref="J312"/>
    </sheetView>
  </sheetViews>
  <sheetFormatPr defaultColWidth="8.85546875" defaultRowHeight="15.75" x14ac:dyDescent="0.25"/>
  <cols>
    <col min="1" max="1" width="4.140625" style="153" bestFit="1" customWidth="1"/>
    <col min="2" max="2" width="11.7109375" style="153" customWidth="1"/>
    <col min="3" max="3" width="9.85546875" style="153" bestFit="1" customWidth="1"/>
    <col min="4" max="4" width="29.42578125" style="165" customWidth="1"/>
    <col min="5" max="5" width="18.7109375" style="152" customWidth="1"/>
    <col min="6" max="6" width="27.85546875" style="153" customWidth="1"/>
    <col min="7" max="16384" width="8.85546875" style="153"/>
  </cols>
  <sheetData>
    <row r="1" spans="1:6" ht="18" x14ac:dyDescent="0.25">
      <c r="A1" s="382" t="s">
        <v>827</v>
      </c>
      <c r="B1" s="382"/>
      <c r="C1" s="382"/>
      <c r="D1" s="382"/>
      <c r="E1" s="382"/>
      <c r="F1" s="382"/>
    </row>
    <row r="3" spans="1:6" s="156" customFormat="1" ht="29.45" customHeight="1" x14ac:dyDescent="0.25">
      <c r="A3" s="149" t="s">
        <v>122</v>
      </c>
      <c r="B3" s="150" t="s">
        <v>123</v>
      </c>
      <c r="C3" s="150" t="s">
        <v>124</v>
      </c>
      <c r="D3" s="151" t="s">
        <v>125</v>
      </c>
      <c r="E3" s="151" t="s">
        <v>808</v>
      </c>
      <c r="F3" s="151" t="s">
        <v>807</v>
      </c>
    </row>
    <row r="4" spans="1:6" s="159" customFormat="1" ht="40.15" customHeight="1" x14ac:dyDescent="0.2">
      <c r="A4" s="157">
        <v>1</v>
      </c>
      <c r="B4" s="146" t="s">
        <v>126</v>
      </c>
      <c r="C4" s="147">
        <v>34000095</v>
      </c>
      <c r="D4" s="154" t="s">
        <v>127</v>
      </c>
      <c r="E4" s="160" t="s">
        <v>809</v>
      </c>
      <c r="F4" s="161"/>
    </row>
    <row r="5" spans="1:6" s="159" customFormat="1" ht="40.15" customHeight="1" x14ac:dyDescent="0.2">
      <c r="A5" s="157">
        <v>2</v>
      </c>
      <c r="B5" s="146" t="s">
        <v>128</v>
      </c>
      <c r="C5" s="147">
        <v>34000484</v>
      </c>
      <c r="D5" s="154" t="s">
        <v>129</v>
      </c>
      <c r="E5" s="160" t="s">
        <v>809</v>
      </c>
      <c r="F5" s="158"/>
    </row>
    <row r="6" spans="1:6" s="159" customFormat="1" ht="40.15" customHeight="1" x14ac:dyDescent="0.2">
      <c r="A6" s="157">
        <v>3</v>
      </c>
      <c r="B6" s="146" t="s">
        <v>130</v>
      </c>
      <c r="C6" s="147">
        <v>34000653</v>
      </c>
      <c r="D6" s="154" t="s">
        <v>131</v>
      </c>
      <c r="E6" s="160" t="s">
        <v>809</v>
      </c>
      <c r="F6" s="158"/>
    </row>
    <row r="7" spans="1:6" s="159" customFormat="1" ht="40.15" customHeight="1" x14ac:dyDescent="0.2">
      <c r="A7" s="157">
        <v>4</v>
      </c>
      <c r="B7" s="146" t="s">
        <v>132</v>
      </c>
      <c r="C7" s="147">
        <v>34000257</v>
      </c>
      <c r="D7" s="154" t="s">
        <v>133</v>
      </c>
      <c r="E7" s="160" t="s">
        <v>809</v>
      </c>
      <c r="F7" s="158"/>
    </row>
    <row r="8" spans="1:6" s="159" customFormat="1" ht="40.15" customHeight="1" x14ac:dyDescent="0.2">
      <c r="A8" s="157">
        <v>5</v>
      </c>
      <c r="B8" s="146" t="s">
        <v>134</v>
      </c>
      <c r="C8" s="147">
        <v>34000570</v>
      </c>
      <c r="D8" s="154" t="s">
        <v>135</v>
      </c>
      <c r="E8" s="160" t="s">
        <v>809</v>
      </c>
      <c r="F8" s="158"/>
    </row>
    <row r="9" spans="1:6" s="159" customFormat="1" ht="40.15" customHeight="1" x14ac:dyDescent="0.2">
      <c r="A9" s="157">
        <v>6</v>
      </c>
      <c r="B9" s="146" t="s">
        <v>136</v>
      </c>
      <c r="C9" s="147">
        <v>34000215</v>
      </c>
      <c r="D9" s="154" t="s">
        <v>137</v>
      </c>
      <c r="E9" s="160" t="s">
        <v>809</v>
      </c>
      <c r="F9" s="158"/>
    </row>
    <row r="10" spans="1:6" s="159" customFormat="1" ht="40.15" customHeight="1" x14ac:dyDescent="0.2">
      <c r="A10" s="157">
        <v>7</v>
      </c>
      <c r="B10" s="146" t="s">
        <v>138</v>
      </c>
      <c r="C10" s="147" t="s">
        <v>139</v>
      </c>
      <c r="D10" s="154" t="s">
        <v>140</v>
      </c>
      <c r="E10" s="160" t="s">
        <v>809</v>
      </c>
      <c r="F10" s="158"/>
    </row>
    <row r="11" spans="1:6" s="159" customFormat="1" ht="40.15" customHeight="1" x14ac:dyDescent="0.2">
      <c r="A11" s="157">
        <v>8</v>
      </c>
      <c r="B11" s="146" t="s">
        <v>141</v>
      </c>
      <c r="C11" s="147" t="s">
        <v>715</v>
      </c>
      <c r="D11" s="154" t="s">
        <v>142</v>
      </c>
      <c r="E11" s="160" t="s">
        <v>809</v>
      </c>
      <c r="F11" s="158"/>
    </row>
    <row r="12" spans="1:6" s="159" customFormat="1" ht="40.15" customHeight="1" x14ac:dyDescent="0.2">
      <c r="A12" s="157">
        <v>9</v>
      </c>
      <c r="B12" s="146" t="s">
        <v>143</v>
      </c>
      <c r="C12" s="147" t="s">
        <v>144</v>
      </c>
      <c r="D12" s="154" t="s">
        <v>145</v>
      </c>
      <c r="E12" s="160" t="s">
        <v>809</v>
      </c>
      <c r="F12" s="158"/>
    </row>
    <row r="13" spans="1:6" s="159" customFormat="1" ht="40.15" customHeight="1" x14ac:dyDescent="0.2">
      <c r="A13" s="157">
        <v>10</v>
      </c>
      <c r="B13" s="146" t="s">
        <v>146</v>
      </c>
      <c r="C13" s="147">
        <v>34000004</v>
      </c>
      <c r="D13" s="154" t="s">
        <v>147</v>
      </c>
      <c r="E13" s="160" t="s">
        <v>809</v>
      </c>
      <c r="F13" s="158"/>
    </row>
    <row r="14" spans="1:6" s="159" customFormat="1" ht="40.15" customHeight="1" x14ac:dyDescent="0.2">
      <c r="A14" s="157">
        <v>11</v>
      </c>
      <c r="B14" s="146" t="s">
        <v>148</v>
      </c>
      <c r="C14" s="147">
        <v>34000623</v>
      </c>
      <c r="D14" s="154" t="s">
        <v>149</v>
      </c>
      <c r="E14" s="160" t="s">
        <v>809</v>
      </c>
      <c r="F14" s="158"/>
    </row>
    <row r="15" spans="1:6" s="159" customFormat="1" ht="40.15" customHeight="1" x14ac:dyDescent="0.2">
      <c r="A15" s="157">
        <v>12</v>
      </c>
      <c r="B15" s="146" t="s">
        <v>150</v>
      </c>
      <c r="C15" s="147">
        <v>34000656</v>
      </c>
      <c r="D15" s="154" t="s">
        <v>151</v>
      </c>
      <c r="E15" s="160" t="s">
        <v>809</v>
      </c>
      <c r="F15" s="158"/>
    </row>
    <row r="16" spans="1:6" s="159" customFormat="1" ht="40.15" customHeight="1" x14ac:dyDescent="0.2">
      <c r="A16" s="157">
        <v>13</v>
      </c>
      <c r="B16" s="146" t="s">
        <v>152</v>
      </c>
      <c r="C16" s="147">
        <v>34000130</v>
      </c>
      <c r="D16" s="154" t="s">
        <v>153</v>
      </c>
      <c r="E16" s="160" t="s">
        <v>809</v>
      </c>
      <c r="F16" s="158"/>
    </row>
    <row r="17" spans="1:6" s="159" customFormat="1" ht="40.15" customHeight="1" x14ac:dyDescent="0.2">
      <c r="A17" s="157">
        <v>14</v>
      </c>
      <c r="B17" s="146" t="s">
        <v>154</v>
      </c>
      <c r="C17" s="147">
        <v>34000692</v>
      </c>
      <c r="D17" s="154" t="s">
        <v>155</v>
      </c>
      <c r="E17" s="160" t="s">
        <v>809</v>
      </c>
      <c r="F17" s="158"/>
    </row>
    <row r="18" spans="1:6" s="159" customFormat="1" ht="40.15" customHeight="1" x14ac:dyDescent="0.2">
      <c r="A18" s="157">
        <v>15</v>
      </c>
      <c r="B18" s="146" t="s">
        <v>156</v>
      </c>
      <c r="C18" s="147">
        <v>34000514</v>
      </c>
      <c r="D18" s="154" t="s">
        <v>694</v>
      </c>
      <c r="E18" s="160" t="s">
        <v>809</v>
      </c>
      <c r="F18" s="158"/>
    </row>
    <row r="19" spans="1:6" s="159" customFormat="1" ht="40.15" customHeight="1" x14ac:dyDescent="0.2">
      <c r="A19" s="157">
        <v>16</v>
      </c>
      <c r="B19" s="146" t="s">
        <v>157</v>
      </c>
      <c r="C19" s="147">
        <v>34000392</v>
      </c>
      <c r="D19" s="154" t="s">
        <v>158</v>
      </c>
      <c r="E19" s="160" t="s">
        <v>809</v>
      </c>
      <c r="F19" s="158"/>
    </row>
    <row r="20" spans="1:6" s="159" customFormat="1" ht="40.15" customHeight="1" x14ac:dyDescent="0.2">
      <c r="A20" s="157">
        <v>17</v>
      </c>
      <c r="B20" s="146" t="s">
        <v>159</v>
      </c>
      <c r="C20" s="147">
        <v>34000510</v>
      </c>
      <c r="D20" s="154" t="s">
        <v>160</v>
      </c>
      <c r="E20" s="160" t="s">
        <v>809</v>
      </c>
      <c r="F20" s="158"/>
    </row>
    <row r="21" spans="1:6" s="159" customFormat="1" ht="40.15" customHeight="1" x14ac:dyDescent="0.2">
      <c r="A21" s="157">
        <v>18</v>
      </c>
      <c r="B21" s="146" t="s">
        <v>161</v>
      </c>
      <c r="C21" s="147">
        <v>34000469</v>
      </c>
      <c r="D21" s="154" t="s">
        <v>162</v>
      </c>
      <c r="E21" s="160" t="s">
        <v>809</v>
      </c>
      <c r="F21" s="158"/>
    </row>
    <row r="22" spans="1:6" s="159" customFormat="1" ht="40.15" customHeight="1" x14ac:dyDescent="0.2">
      <c r="A22" s="157">
        <v>19</v>
      </c>
      <c r="B22" s="146" t="s">
        <v>163</v>
      </c>
      <c r="C22" s="147">
        <v>34000158</v>
      </c>
      <c r="D22" s="154" t="s">
        <v>164</v>
      </c>
      <c r="E22" s="160" t="s">
        <v>809</v>
      </c>
      <c r="F22" s="158"/>
    </row>
    <row r="23" spans="1:6" s="159" customFormat="1" ht="40.15" customHeight="1" x14ac:dyDescent="0.2">
      <c r="A23" s="157">
        <v>20</v>
      </c>
      <c r="B23" s="146" t="s">
        <v>165</v>
      </c>
      <c r="C23" s="147">
        <v>34000346</v>
      </c>
      <c r="D23" s="154" t="s">
        <v>166</v>
      </c>
      <c r="E23" s="160" t="s">
        <v>809</v>
      </c>
      <c r="F23" s="158"/>
    </row>
    <row r="24" spans="1:6" s="159" customFormat="1" ht="40.15" customHeight="1" x14ac:dyDescent="0.2">
      <c r="A24" s="157">
        <v>21</v>
      </c>
      <c r="B24" s="146" t="s">
        <v>167</v>
      </c>
      <c r="C24" s="147">
        <v>34000320</v>
      </c>
      <c r="D24" s="154" t="s">
        <v>168</v>
      </c>
      <c r="E24" s="160" t="s">
        <v>809</v>
      </c>
      <c r="F24" s="158"/>
    </row>
    <row r="25" spans="1:6" s="159" customFormat="1" ht="40.15" customHeight="1" x14ac:dyDescent="0.2">
      <c r="A25" s="157">
        <v>22</v>
      </c>
      <c r="B25" s="146" t="s">
        <v>169</v>
      </c>
      <c r="C25" s="147">
        <v>34000419</v>
      </c>
      <c r="D25" s="154" t="s">
        <v>170</v>
      </c>
      <c r="E25" s="160" t="s">
        <v>809</v>
      </c>
      <c r="F25" s="158"/>
    </row>
    <row r="26" spans="1:6" s="159" customFormat="1" ht="40.15" customHeight="1" x14ac:dyDescent="0.2">
      <c r="A26" s="157">
        <v>23</v>
      </c>
      <c r="B26" s="146" t="s">
        <v>171</v>
      </c>
      <c r="C26" s="147">
        <v>34000625</v>
      </c>
      <c r="D26" s="154" t="s">
        <v>172</v>
      </c>
      <c r="E26" s="160" t="s">
        <v>809</v>
      </c>
      <c r="F26" s="158"/>
    </row>
    <row r="27" spans="1:6" s="159" customFormat="1" ht="40.15" customHeight="1" x14ac:dyDescent="0.2">
      <c r="A27" s="157">
        <v>24</v>
      </c>
      <c r="B27" s="146" t="s">
        <v>173</v>
      </c>
      <c r="C27" s="147">
        <v>34000518</v>
      </c>
      <c r="D27" s="154" t="s">
        <v>174</v>
      </c>
      <c r="E27" s="160" t="s">
        <v>809</v>
      </c>
      <c r="F27" s="158"/>
    </row>
    <row r="28" spans="1:6" s="159" customFormat="1" ht="40.15" customHeight="1" x14ac:dyDescent="0.2">
      <c r="A28" s="157">
        <v>25</v>
      </c>
      <c r="B28" s="146" t="s">
        <v>175</v>
      </c>
      <c r="C28" s="147">
        <v>34000313</v>
      </c>
      <c r="D28" s="154" t="s">
        <v>176</v>
      </c>
      <c r="E28" s="160" t="s">
        <v>809</v>
      </c>
      <c r="F28" s="158"/>
    </row>
    <row r="29" spans="1:6" s="159" customFormat="1" ht="40.15" customHeight="1" x14ac:dyDescent="0.2">
      <c r="A29" s="157">
        <v>26</v>
      </c>
      <c r="B29" s="146" t="s">
        <v>177</v>
      </c>
      <c r="C29" s="147">
        <v>34000405</v>
      </c>
      <c r="D29" s="154" t="s">
        <v>178</v>
      </c>
      <c r="E29" s="160" t="s">
        <v>809</v>
      </c>
      <c r="F29" s="158"/>
    </row>
    <row r="30" spans="1:6" s="159" customFormat="1" ht="40.15" customHeight="1" x14ac:dyDescent="0.2">
      <c r="A30" s="157">
        <v>27</v>
      </c>
      <c r="B30" s="146" t="s">
        <v>179</v>
      </c>
      <c r="C30" s="147">
        <v>34000042</v>
      </c>
      <c r="D30" s="155" t="s">
        <v>180</v>
      </c>
      <c r="E30" s="160" t="s">
        <v>809</v>
      </c>
      <c r="F30" s="158"/>
    </row>
    <row r="31" spans="1:6" s="159" customFormat="1" ht="40.15" customHeight="1" x14ac:dyDescent="0.2">
      <c r="A31" s="157">
        <v>28</v>
      </c>
      <c r="B31" s="146" t="s">
        <v>181</v>
      </c>
      <c r="C31" s="147">
        <v>34000148</v>
      </c>
      <c r="D31" s="155" t="s">
        <v>182</v>
      </c>
      <c r="E31" s="160" t="s">
        <v>809</v>
      </c>
      <c r="F31" s="158"/>
    </row>
    <row r="32" spans="1:6" s="159" customFormat="1" ht="40.15" customHeight="1" x14ac:dyDescent="0.2">
      <c r="A32" s="157">
        <v>29</v>
      </c>
      <c r="B32" s="146" t="s">
        <v>183</v>
      </c>
      <c r="C32" s="147">
        <v>34000370</v>
      </c>
      <c r="D32" s="155" t="s">
        <v>184</v>
      </c>
      <c r="E32" s="160" t="s">
        <v>809</v>
      </c>
      <c r="F32" s="158"/>
    </row>
    <row r="33" spans="1:6" s="159" customFormat="1" ht="40.15" customHeight="1" x14ac:dyDescent="0.2">
      <c r="A33" s="157">
        <v>30</v>
      </c>
      <c r="B33" s="146" t="s">
        <v>185</v>
      </c>
      <c r="C33" s="147">
        <v>34000517</v>
      </c>
      <c r="D33" s="155" t="s">
        <v>186</v>
      </c>
      <c r="E33" s="160" t="s">
        <v>809</v>
      </c>
      <c r="F33" s="158"/>
    </row>
    <row r="34" spans="1:6" s="159" customFormat="1" ht="40.15" customHeight="1" x14ac:dyDescent="0.2">
      <c r="A34" s="157">
        <v>31</v>
      </c>
      <c r="B34" s="146" t="s">
        <v>187</v>
      </c>
      <c r="C34" s="147">
        <v>34000270</v>
      </c>
      <c r="D34" s="155" t="s">
        <v>188</v>
      </c>
      <c r="E34" s="160" t="s">
        <v>809</v>
      </c>
      <c r="F34" s="158"/>
    </row>
    <row r="35" spans="1:6" s="159" customFormat="1" ht="40.15" customHeight="1" x14ac:dyDescent="0.2">
      <c r="A35" s="157">
        <v>32</v>
      </c>
      <c r="B35" s="146" t="s">
        <v>189</v>
      </c>
      <c r="C35" s="147">
        <v>34000691</v>
      </c>
      <c r="D35" s="154" t="s">
        <v>190</v>
      </c>
      <c r="E35" s="160" t="s">
        <v>809</v>
      </c>
      <c r="F35" s="158"/>
    </row>
    <row r="36" spans="1:6" s="159" customFormat="1" ht="40.15" customHeight="1" x14ac:dyDescent="0.2">
      <c r="A36" s="157">
        <v>33</v>
      </c>
      <c r="B36" s="146" t="s">
        <v>191</v>
      </c>
      <c r="C36" s="147">
        <v>34000173</v>
      </c>
      <c r="D36" s="154" t="s">
        <v>192</v>
      </c>
      <c r="E36" s="160" t="s">
        <v>809</v>
      </c>
      <c r="F36" s="158"/>
    </row>
    <row r="37" spans="1:6" s="159" customFormat="1" ht="40.15" customHeight="1" x14ac:dyDescent="0.2">
      <c r="A37" s="157">
        <v>34</v>
      </c>
      <c r="B37" s="146" t="s">
        <v>193</v>
      </c>
      <c r="C37" s="147">
        <v>34000060</v>
      </c>
      <c r="D37" s="154" t="s">
        <v>194</v>
      </c>
      <c r="E37" s="160" t="s">
        <v>809</v>
      </c>
      <c r="F37" s="158"/>
    </row>
    <row r="38" spans="1:6" s="159" customFormat="1" ht="40.15" customHeight="1" x14ac:dyDescent="0.2">
      <c r="A38" s="157">
        <v>35</v>
      </c>
      <c r="B38" s="146" t="s">
        <v>195</v>
      </c>
      <c r="C38" s="147">
        <v>34000283</v>
      </c>
      <c r="D38" s="154" t="s">
        <v>196</v>
      </c>
      <c r="E38" s="160" t="s">
        <v>809</v>
      </c>
      <c r="F38" s="158"/>
    </row>
    <row r="39" spans="1:6" s="159" customFormat="1" ht="40.15" customHeight="1" x14ac:dyDescent="0.2">
      <c r="A39" s="157">
        <v>36</v>
      </c>
      <c r="B39" s="146" t="s">
        <v>197</v>
      </c>
      <c r="C39" s="147">
        <v>34000502</v>
      </c>
      <c r="D39" s="154" t="s">
        <v>198</v>
      </c>
      <c r="E39" s="160" t="s">
        <v>809</v>
      </c>
      <c r="F39" s="158"/>
    </row>
    <row r="40" spans="1:6" s="159" customFormat="1" ht="40.15" customHeight="1" x14ac:dyDescent="0.2">
      <c r="A40" s="157">
        <v>37</v>
      </c>
      <c r="B40" s="146" t="s">
        <v>199</v>
      </c>
      <c r="C40" s="147">
        <v>34000142</v>
      </c>
      <c r="D40" s="154" t="s">
        <v>182</v>
      </c>
      <c r="E40" s="160" t="s">
        <v>809</v>
      </c>
      <c r="F40" s="158"/>
    </row>
    <row r="41" spans="1:6" s="159" customFormat="1" ht="40.15" customHeight="1" x14ac:dyDescent="0.2">
      <c r="A41" s="157">
        <v>38</v>
      </c>
      <c r="B41" s="146" t="s">
        <v>201</v>
      </c>
      <c r="C41" s="147">
        <v>34000097</v>
      </c>
      <c r="D41" s="154" t="s">
        <v>202</v>
      </c>
      <c r="E41" s="160" t="s">
        <v>809</v>
      </c>
      <c r="F41" s="158"/>
    </row>
    <row r="42" spans="1:6" s="159" customFormat="1" ht="40.15" customHeight="1" x14ac:dyDescent="0.2">
      <c r="A42" s="157">
        <v>39</v>
      </c>
      <c r="B42" s="146" t="s">
        <v>203</v>
      </c>
      <c r="C42" s="147">
        <v>34000491</v>
      </c>
      <c r="D42" s="154" t="s">
        <v>204</v>
      </c>
      <c r="E42" s="160" t="s">
        <v>809</v>
      </c>
      <c r="F42" s="158"/>
    </row>
    <row r="43" spans="1:6" s="159" customFormat="1" ht="40.15" customHeight="1" x14ac:dyDescent="0.2">
      <c r="A43" s="157">
        <v>40</v>
      </c>
      <c r="B43" s="146" t="s">
        <v>205</v>
      </c>
      <c r="C43" s="147">
        <v>34000526</v>
      </c>
      <c r="D43" s="154" t="s">
        <v>206</v>
      </c>
      <c r="E43" s="160" t="s">
        <v>809</v>
      </c>
      <c r="F43" s="158"/>
    </row>
    <row r="44" spans="1:6" s="159" customFormat="1" ht="40.15" customHeight="1" x14ac:dyDescent="0.2">
      <c r="A44" s="157">
        <v>41</v>
      </c>
      <c r="B44" s="146" t="s">
        <v>207</v>
      </c>
      <c r="C44" s="147">
        <v>34000769</v>
      </c>
      <c r="D44" s="154" t="s">
        <v>208</v>
      </c>
      <c r="E44" s="160" t="s">
        <v>809</v>
      </c>
      <c r="F44" s="158"/>
    </row>
    <row r="45" spans="1:6" s="159" customFormat="1" ht="40.15" customHeight="1" x14ac:dyDescent="0.2">
      <c r="A45" s="157">
        <v>42</v>
      </c>
      <c r="B45" s="146" t="s">
        <v>209</v>
      </c>
      <c r="C45" s="147">
        <v>34000112</v>
      </c>
      <c r="D45" s="154" t="s">
        <v>210</v>
      </c>
      <c r="E45" s="160" t="s">
        <v>809</v>
      </c>
      <c r="F45" s="158"/>
    </row>
    <row r="46" spans="1:6" s="159" customFormat="1" ht="40.15" customHeight="1" x14ac:dyDescent="0.2">
      <c r="A46" s="157">
        <v>43</v>
      </c>
      <c r="B46" s="146" t="s">
        <v>211</v>
      </c>
      <c r="C46" s="147">
        <v>34000359</v>
      </c>
      <c r="D46" s="154" t="s">
        <v>212</v>
      </c>
      <c r="E46" s="160" t="s">
        <v>809</v>
      </c>
      <c r="F46" s="158"/>
    </row>
    <row r="47" spans="1:6" s="159" customFormat="1" ht="40.15" customHeight="1" x14ac:dyDescent="0.2">
      <c r="A47" s="157">
        <v>44</v>
      </c>
      <c r="B47" s="146" t="s">
        <v>213</v>
      </c>
      <c r="C47" s="147">
        <v>34000237</v>
      </c>
      <c r="D47" s="154" t="s">
        <v>214</v>
      </c>
      <c r="E47" s="160" t="s">
        <v>809</v>
      </c>
      <c r="F47" s="158"/>
    </row>
    <row r="48" spans="1:6" s="159" customFormat="1" ht="40.15" customHeight="1" x14ac:dyDescent="0.2">
      <c r="A48" s="157">
        <v>45</v>
      </c>
      <c r="B48" s="146" t="s">
        <v>215</v>
      </c>
      <c r="C48" s="147">
        <v>34000571</v>
      </c>
      <c r="D48" s="154" t="s">
        <v>216</v>
      </c>
      <c r="E48" s="160" t="s">
        <v>809</v>
      </c>
      <c r="F48" s="158"/>
    </row>
    <row r="49" spans="1:6" s="159" customFormat="1" ht="40.15" customHeight="1" x14ac:dyDescent="0.2">
      <c r="A49" s="157">
        <v>46</v>
      </c>
      <c r="B49" s="146" t="s">
        <v>217</v>
      </c>
      <c r="C49" s="147">
        <v>34000460</v>
      </c>
      <c r="D49" s="154" t="s">
        <v>218</v>
      </c>
      <c r="E49" s="160" t="s">
        <v>809</v>
      </c>
      <c r="F49" s="158"/>
    </row>
    <row r="50" spans="1:6" s="159" customFormat="1" ht="40.15" customHeight="1" x14ac:dyDescent="0.2">
      <c r="A50" s="157">
        <v>47</v>
      </c>
      <c r="B50" s="146" t="s">
        <v>219</v>
      </c>
      <c r="C50" s="147">
        <v>34000654</v>
      </c>
      <c r="D50" s="154" t="s">
        <v>220</v>
      </c>
      <c r="E50" s="160" t="s">
        <v>809</v>
      </c>
      <c r="F50" s="158"/>
    </row>
    <row r="51" spans="1:6" s="159" customFormat="1" ht="40.15" customHeight="1" x14ac:dyDescent="0.2">
      <c r="A51" s="157">
        <v>48</v>
      </c>
      <c r="B51" s="146" t="s">
        <v>221</v>
      </c>
      <c r="C51" s="146">
        <v>34000486</v>
      </c>
      <c r="D51" s="154" t="s">
        <v>222</v>
      </c>
      <c r="E51" s="160" t="s">
        <v>809</v>
      </c>
      <c r="F51" s="158"/>
    </row>
    <row r="52" spans="1:6" s="159" customFormat="1" ht="40.15" customHeight="1" x14ac:dyDescent="0.2">
      <c r="A52" s="157">
        <v>49</v>
      </c>
      <c r="B52" s="146" t="s">
        <v>223</v>
      </c>
      <c r="C52" s="147" t="s">
        <v>716</v>
      </c>
      <c r="D52" s="154" t="s">
        <v>224</v>
      </c>
      <c r="E52" s="160" t="s">
        <v>809</v>
      </c>
      <c r="F52" s="158"/>
    </row>
    <row r="53" spans="1:6" s="159" customFormat="1" ht="40.15" customHeight="1" x14ac:dyDescent="0.2">
      <c r="A53" s="157">
        <v>50</v>
      </c>
      <c r="B53" s="146" t="s">
        <v>225</v>
      </c>
      <c r="C53" s="147" t="s">
        <v>717</v>
      </c>
      <c r="D53" s="154" t="s">
        <v>226</v>
      </c>
      <c r="E53" s="160" t="s">
        <v>809</v>
      </c>
      <c r="F53" s="158"/>
    </row>
    <row r="54" spans="1:6" s="159" customFormat="1" ht="40.15" customHeight="1" x14ac:dyDescent="0.2">
      <c r="A54" s="157">
        <v>51</v>
      </c>
      <c r="B54" s="146" t="s">
        <v>227</v>
      </c>
      <c r="C54" s="147" t="s">
        <v>718</v>
      </c>
      <c r="D54" s="154" t="s">
        <v>228</v>
      </c>
      <c r="E54" s="160" t="s">
        <v>809</v>
      </c>
      <c r="F54" s="158"/>
    </row>
    <row r="55" spans="1:6" s="159" customFormat="1" ht="40.15" customHeight="1" x14ac:dyDescent="0.2">
      <c r="A55" s="157">
        <v>52</v>
      </c>
      <c r="B55" s="146" t="s">
        <v>229</v>
      </c>
      <c r="C55" s="147">
        <v>34000640</v>
      </c>
      <c r="D55" s="154" t="s">
        <v>230</v>
      </c>
      <c r="E55" s="160" t="s">
        <v>809</v>
      </c>
      <c r="F55" s="158"/>
    </row>
    <row r="56" spans="1:6" s="159" customFormat="1" ht="40.15" customHeight="1" x14ac:dyDescent="0.2">
      <c r="A56" s="157">
        <v>53</v>
      </c>
      <c r="B56" s="146" t="s">
        <v>231</v>
      </c>
      <c r="C56" s="147">
        <v>34000492</v>
      </c>
      <c r="D56" s="154" t="s">
        <v>232</v>
      </c>
      <c r="E56" s="160" t="s">
        <v>809</v>
      </c>
      <c r="F56" s="158"/>
    </row>
    <row r="57" spans="1:6" s="159" customFormat="1" ht="40.15" customHeight="1" x14ac:dyDescent="0.2">
      <c r="A57" s="157">
        <v>54</v>
      </c>
      <c r="B57" s="146" t="s">
        <v>233</v>
      </c>
      <c r="C57" s="147">
        <v>34000488</v>
      </c>
      <c r="D57" s="163" t="s">
        <v>234</v>
      </c>
      <c r="E57" s="160" t="s">
        <v>809</v>
      </c>
      <c r="F57" s="158"/>
    </row>
    <row r="58" spans="1:6" s="159" customFormat="1" ht="40.15" customHeight="1" x14ac:dyDescent="0.2">
      <c r="A58" s="157">
        <v>55</v>
      </c>
      <c r="B58" s="146" t="s">
        <v>235</v>
      </c>
      <c r="C58" s="147">
        <v>34000363</v>
      </c>
      <c r="D58" s="154" t="s">
        <v>236</v>
      </c>
      <c r="E58" s="160" t="s">
        <v>809</v>
      </c>
      <c r="F58" s="158"/>
    </row>
    <row r="59" spans="1:6" s="159" customFormat="1" ht="40.15" customHeight="1" x14ac:dyDescent="0.2">
      <c r="A59" s="157">
        <v>56</v>
      </c>
      <c r="B59" s="146" t="s">
        <v>237</v>
      </c>
      <c r="C59" s="147">
        <v>34000277</v>
      </c>
      <c r="D59" s="154" t="s">
        <v>238</v>
      </c>
      <c r="E59" s="160" t="s">
        <v>809</v>
      </c>
      <c r="F59" s="158"/>
    </row>
    <row r="60" spans="1:6" s="159" customFormat="1" ht="40.15" customHeight="1" x14ac:dyDescent="0.2">
      <c r="A60" s="157">
        <v>57</v>
      </c>
      <c r="B60" s="146" t="s">
        <v>239</v>
      </c>
      <c r="C60" s="147">
        <v>34000446</v>
      </c>
      <c r="D60" s="154" t="s">
        <v>240</v>
      </c>
      <c r="E60" s="160" t="s">
        <v>809</v>
      </c>
      <c r="F60" s="158"/>
    </row>
    <row r="61" spans="1:6" s="159" customFormat="1" ht="40.15" customHeight="1" x14ac:dyDescent="0.2">
      <c r="A61" s="157">
        <v>58</v>
      </c>
      <c r="B61" s="146" t="s">
        <v>241</v>
      </c>
      <c r="C61" s="147">
        <v>34000160</v>
      </c>
      <c r="D61" s="154" t="s">
        <v>242</v>
      </c>
      <c r="E61" s="160" t="s">
        <v>809</v>
      </c>
      <c r="F61" s="158"/>
    </row>
    <row r="62" spans="1:6" s="159" customFormat="1" ht="40.15" customHeight="1" x14ac:dyDescent="0.2">
      <c r="A62" s="157">
        <v>59</v>
      </c>
      <c r="B62" s="146" t="s">
        <v>243</v>
      </c>
      <c r="C62" s="147">
        <v>34000100</v>
      </c>
      <c r="D62" s="154" t="s">
        <v>244</v>
      </c>
      <c r="E62" s="160" t="s">
        <v>809</v>
      </c>
      <c r="F62" s="158"/>
    </row>
    <row r="63" spans="1:6" s="159" customFormat="1" ht="40.15" customHeight="1" x14ac:dyDescent="0.2">
      <c r="A63" s="157">
        <v>60</v>
      </c>
      <c r="B63" s="146" t="s">
        <v>246</v>
      </c>
      <c r="C63" s="147">
        <v>34000631</v>
      </c>
      <c r="D63" s="154" t="s">
        <v>247</v>
      </c>
      <c r="E63" s="160" t="s">
        <v>809</v>
      </c>
      <c r="F63" s="158"/>
    </row>
    <row r="64" spans="1:6" s="159" customFormat="1" ht="40.15" customHeight="1" x14ac:dyDescent="0.2">
      <c r="A64" s="157">
        <v>61</v>
      </c>
      <c r="B64" s="146" t="s">
        <v>248</v>
      </c>
      <c r="C64" s="147" t="s">
        <v>719</v>
      </c>
      <c r="D64" s="154" t="s">
        <v>249</v>
      </c>
      <c r="E64" s="160" t="s">
        <v>809</v>
      </c>
      <c r="F64" s="158"/>
    </row>
    <row r="65" spans="1:6" s="159" customFormat="1" ht="40.15" customHeight="1" x14ac:dyDescent="0.2">
      <c r="A65" s="157">
        <v>62</v>
      </c>
      <c r="B65" s="146" t="s">
        <v>250</v>
      </c>
      <c r="C65" s="147" t="s">
        <v>720</v>
      </c>
      <c r="D65" s="154" t="s">
        <v>251</v>
      </c>
      <c r="E65" s="160" t="s">
        <v>809</v>
      </c>
      <c r="F65" s="158"/>
    </row>
    <row r="66" spans="1:6" s="159" customFormat="1" ht="40.15" customHeight="1" x14ac:dyDescent="0.2">
      <c r="A66" s="157">
        <v>63</v>
      </c>
      <c r="B66" s="146" t="s">
        <v>252</v>
      </c>
      <c r="C66" s="147" t="s">
        <v>721</v>
      </c>
      <c r="D66" s="154" t="s">
        <v>253</v>
      </c>
      <c r="E66" s="160" t="s">
        <v>809</v>
      </c>
      <c r="F66" s="158"/>
    </row>
    <row r="67" spans="1:6" s="159" customFormat="1" ht="40.15" customHeight="1" x14ac:dyDescent="0.2">
      <c r="A67" s="157">
        <v>64</v>
      </c>
      <c r="B67" s="146" t="s">
        <v>254</v>
      </c>
      <c r="C67" s="147">
        <v>34000476</v>
      </c>
      <c r="D67" s="154" t="s">
        <v>255</v>
      </c>
      <c r="E67" s="160" t="s">
        <v>809</v>
      </c>
      <c r="F67" s="158"/>
    </row>
    <row r="68" spans="1:6" s="159" customFormat="1" ht="40.15" customHeight="1" x14ac:dyDescent="0.2">
      <c r="A68" s="157">
        <v>65</v>
      </c>
      <c r="B68" s="146" t="s">
        <v>256</v>
      </c>
      <c r="C68" s="147">
        <v>34000579</v>
      </c>
      <c r="D68" s="154" t="s">
        <v>257</v>
      </c>
      <c r="E68" s="160" t="s">
        <v>809</v>
      </c>
      <c r="F68" s="158"/>
    </row>
    <row r="69" spans="1:6" s="159" customFormat="1" ht="40.15" customHeight="1" x14ac:dyDescent="0.2">
      <c r="A69" s="157">
        <v>66</v>
      </c>
      <c r="B69" s="146" t="s">
        <v>259</v>
      </c>
      <c r="C69" s="147">
        <v>34000695</v>
      </c>
      <c r="D69" s="163" t="s">
        <v>260</v>
      </c>
      <c r="E69" s="160" t="s">
        <v>809</v>
      </c>
      <c r="F69" s="158"/>
    </row>
    <row r="70" spans="1:6" s="159" customFormat="1" ht="40.15" customHeight="1" x14ac:dyDescent="0.2">
      <c r="A70" s="157">
        <v>67</v>
      </c>
      <c r="B70" s="146" t="s">
        <v>261</v>
      </c>
      <c r="C70" s="147">
        <v>34000455</v>
      </c>
      <c r="D70" s="154" t="s">
        <v>262</v>
      </c>
      <c r="E70" s="160" t="s">
        <v>809</v>
      </c>
      <c r="F70" s="158"/>
    </row>
    <row r="71" spans="1:6" s="159" customFormat="1" ht="40.15" customHeight="1" x14ac:dyDescent="0.2">
      <c r="A71" s="157">
        <v>68</v>
      </c>
      <c r="B71" s="146" t="s">
        <v>263</v>
      </c>
      <c r="C71" s="147">
        <v>34000303</v>
      </c>
      <c r="D71" s="154" t="s">
        <v>264</v>
      </c>
      <c r="E71" s="160" t="s">
        <v>809</v>
      </c>
      <c r="F71" s="158"/>
    </row>
    <row r="72" spans="1:6" s="159" customFormat="1" ht="40.15" customHeight="1" x14ac:dyDescent="0.2">
      <c r="A72" s="157">
        <v>69</v>
      </c>
      <c r="B72" s="146" t="s">
        <v>265</v>
      </c>
      <c r="C72" s="147" t="s">
        <v>722</v>
      </c>
      <c r="D72" s="154" t="s">
        <v>266</v>
      </c>
      <c r="E72" s="160" t="s">
        <v>809</v>
      </c>
      <c r="F72" s="158"/>
    </row>
    <row r="73" spans="1:6" s="159" customFormat="1" ht="40.15" customHeight="1" x14ac:dyDescent="0.2">
      <c r="A73" s="157">
        <v>70</v>
      </c>
      <c r="B73" s="146" t="s">
        <v>267</v>
      </c>
      <c r="C73" s="147">
        <v>34000503</v>
      </c>
      <c r="D73" s="154" t="s">
        <v>268</v>
      </c>
      <c r="E73" s="160" t="s">
        <v>809</v>
      </c>
      <c r="F73" s="158"/>
    </row>
    <row r="74" spans="1:6" s="159" customFormat="1" ht="40.15" customHeight="1" x14ac:dyDescent="0.2">
      <c r="A74" s="157">
        <v>71</v>
      </c>
      <c r="B74" s="146" t="s">
        <v>269</v>
      </c>
      <c r="C74" s="147">
        <v>34000527</v>
      </c>
      <c r="D74" s="164" t="s">
        <v>270</v>
      </c>
      <c r="E74" s="160" t="s">
        <v>809</v>
      </c>
      <c r="F74" s="158"/>
    </row>
    <row r="75" spans="1:6" s="159" customFormat="1" ht="40.15" customHeight="1" x14ac:dyDescent="0.2">
      <c r="A75" s="157">
        <v>72</v>
      </c>
      <c r="B75" s="146" t="s">
        <v>271</v>
      </c>
      <c r="C75" s="147">
        <v>34000210</v>
      </c>
      <c r="D75" s="154" t="s">
        <v>272</v>
      </c>
      <c r="E75" s="160" t="s">
        <v>809</v>
      </c>
      <c r="F75" s="158"/>
    </row>
    <row r="76" spans="1:6" s="159" customFormat="1" ht="40.15" customHeight="1" x14ac:dyDescent="0.2">
      <c r="A76" s="157">
        <v>73</v>
      </c>
      <c r="B76" s="146" t="s">
        <v>273</v>
      </c>
      <c r="C76" s="147">
        <v>34000115</v>
      </c>
      <c r="D76" s="154" t="s">
        <v>274</v>
      </c>
      <c r="E76" s="160" t="s">
        <v>809</v>
      </c>
      <c r="F76" s="158"/>
    </row>
    <row r="77" spans="1:6" s="159" customFormat="1" ht="40.15" customHeight="1" x14ac:dyDescent="0.2">
      <c r="A77" s="157">
        <v>74</v>
      </c>
      <c r="B77" s="146" t="s">
        <v>275</v>
      </c>
      <c r="C77" s="147">
        <v>34000124</v>
      </c>
      <c r="D77" s="154" t="s">
        <v>276</v>
      </c>
      <c r="E77" s="160" t="s">
        <v>809</v>
      </c>
      <c r="F77" s="158"/>
    </row>
    <row r="78" spans="1:6" s="159" customFormat="1" ht="40.15" customHeight="1" x14ac:dyDescent="0.2">
      <c r="A78" s="157">
        <v>75</v>
      </c>
      <c r="B78" s="146" t="s">
        <v>277</v>
      </c>
      <c r="C78" s="147">
        <v>34000131</v>
      </c>
      <c r="D78" s="154" t="s">
        <v>278</v>
      </c>
      <c r="E78" s="160" t="s">
        <v>809</v>
      </c>
      <c r="F78" s="158"/>
    </row>
    <row r="79" spans="1:6" s="159" customFormat="1" ht="40.15" customHeight="1" x14ac:dyDescent="0.2">
      <c r="A79" s="157">
        <v>76</v>
      </c>
      <c r="B79" s="146" t="s">
        <v>279</v>
      </c>
      <c r="C79" s="147">
        <v>34000516</v>
      </c>
      <c r="D79" s="154" t="s">
        <v>280</v>
      </c>
      <c r="E79" s="160" t="s">
        <v>809</v>
      </c>
      <c r="F79" s="158"/>
    </row>
    <row r="80" spans="1:6" s="159" customFormat="1" ht="40.15" customHeight="1" x14ac:dyDescent="0.2">
      <c r="A80" s="157">
        <v>77</v>
      </c>
      <c r="B80" s="146" t="s">
        <v>281</v>
      </c>
      <c r="C80" s="147">
        <v>34000230</v>
      </c>
      <c r="D80" s="154" t="s">
        <v>282</v>
      </c>
      <c r="E80" s="160" t="s">
        <v>809</v>
      </c>
      <c r="F80" s="158"/>
    </row>
    <row r="81" spans="1:6" s="159" customFormat="1" ht="40.15" customHeight="1" x14ac:dyDescent="0.2">
      <c r="A81" s="157">
        <v>78</v>
      </c>
      <c r="B81" s="146" t="s">
        <v>283</v>
      </c>
      <c r="C81" s="147">
        <v>34000050</v>
      </c>
      <c r="D81" s="154" t="s">
        <v>284</v>
      </c>
      <c r="E81" s="160" t="s">
        <v>809</v>
      </c>
      <c r="F81" s="158"/>
    </row>
    <row r="82" spans="1:6" s="159" customFormat="1" ht="40.15" customHeight="1" x14ac:dyDescent="0.2">
      <c r="A82" s="157">
        <v>79</v>
      </c>
      <c r="B82" s="146" t="s">
        <v>285</v>
      </c>
      <c r="C82" s="147">
        <v>34000150</v>
      </c>
      <c r="D82" s="154" t="s">
        <v>286</v>
      </c>
      <c r="E82" s="160" t="s">
        <v>809</v>
      </c>
      <c r="F82" s="158"/>
    </row>
    <row r="83" spans="1:6" s="159" customFormat="1" ht="40.15" customHeight="1" x14ac:dyDescent="0.2">
      <c r="A83" s="157">
        <v>80</v>
      </c>
      <c r="B83" s="146" t="s">
        <v>287</v>
      </c>
      <c r="C83" s="147" t="s">
        <v>723</v>
      </c>
      <c r="D83" s="154" t="s">
        <v>288</v>
      </c>
      <c r="E83" s="160" t="s">
        <v>809</v>
      </c>
      <c r="F83" s="158"/>
    </row>
    <row r="84" spans="1:6" s="159" customFormat="1" ht="40.15" customHeight="1" x14ac:dyDescent="0.2">
      <c r="A84" s="157">
        <v>81</v>
      </c>
      <c r="B84" s="146" t="s">
        <v>289</v>
      </c>
      <c r="C84" s="147">
        <v>34000499</v>
      </c>
      <c r="D84" s="154" t="s">
        <v>290</v>
      </c>
      <c r="E84" s="160" t="s">
        <v>809</v>
      </c>
      <c r="F84" s="158"/>
    </row>
    <row r="85" spans="1:6" s="159" customFormat="1" ht="40.15" customHeight="1" x14ac:dyDescent="0.2">
      <c r="A85" s="157">
        <v>82</v>
      </c>
      <c r="B85" s="146" t="s">
        <v>291</v>
      </c>
      <c r="C85" s="147">
        <v>34000316</v>
      </c>
      <c r="D85" s="154" t="s">
        <v>292</v>
      </c>
      <c r="E85" s="160" t="s">
        <v>809</v>
      </c>
      <c r="F85" s="158"/>
    </row>
    <row r="86" spans="1:6" s="159" customFormat="1" ht="40.15" customHeight="1" x14ac:dyDescent="0.2">
      <c r="A86" s="157">
        <v>83</v>
      </c>
      <c r="B86" s="146" t="s">
        <v>293</v>
      </c>
      <c r="C86" s="147">
        <v>34000422</v>
      </c>
      <c r="D86" s="154" t="s">
        <v>294</v>
      </c>
      <c r="E86" s="160" t="s">
        <v>809</v>
      </c>
      <c r="F86" s="158"/>
    </row>
    <row r="87" spans="1:6" s="159" customFormat="1" ht="40.15" customHeight="1" x14ac:dyDescent="0.2">
      <c r="A87" s="157">
        <v>84</v>
      </c>
      <c r="B87" s="146" t="s">
        <v>295</v>
      </c>
      <c r="C87" s="147">
        <v>34000398</v>
      </c>
      <c r="D87" s="154" t="s">
        <v>296</v>
      </c>
      <c r="E87" s="160" t="s">
        <v>809</v>
      </c>
      <c r="F87" s="158"/>
    </row>
    <row r="88" spans="1:6" s="159" customFormat="1" ht="40.15" customHeight="1" x14ac:dyDescent="0.2">
      <c r="A88" s="157">
        <v>85</v>
      </c>
      <c r="B88" s="146" t="s">
        <v>297</v>
      </c>
      <c r="C88" s="147">
        <v>34000462</v>
      </c>
      <c r="D88" s="154" t="s">
        <v>298</v>
      </c>
      <c r="E88" s="160" t="s">
        <v>809</v>
      </c>
      <c r="F88" s="158"/>
    </row>
    <row r="89" spans="1:6" s="159" customFormat="1" ht="40.15" customHeight="1" x14ac:dyDescent="0.2">
      <c r="A89" s="157">
        <v>86</v>
      </c>
      <c r="B89" s="146" t="s">
        <v>299</v>
      </c>
      <c r="C89" s="147">
        <v>34000119</v>
      </c>
      <c r="D89" s="154" t="s">
        <v>300</v>
      </c>
      <c r="E89" s="160" t="s">
        <v>809</v>
      </c>
      <c r="F89" s="158"/>
    </row>
    <row r="90" spans="1:6" s="159" customFormat="1" ht="40.15" customHeight="1" x14ac:dyDescent="0.2">
      <c r="A90" s="157">
        <v>87</v>
      </c>
      <c r="B90" s="146" t="s">
        <v>301</v>
      </c>
      <c r="C90" s="147">
        <v>34000217</v>
      </c>
      <c r="D90" s="154" t="s">
        <v>302</v>
      </c>
      <c r="E90" s="160" t="s">
        <v>809</v>
      </c>
      <c r="F90" s="158"/>
    </row>
    <row r="91" spans="1:6" s="159" customFormat="1" ht="40.15" customHeight="1" x14ac:dyDescent="0.2">
      <c r="A91" s="157">
        <v>88</v>
      </c>
      <c r="B91" s="146" t="s">
        <v>303</v>
      </c>
      <c r="C91" s="147">
        <v>34000252</v>
      </c>
      <c r="D91" s="154" t="s">
        <v>304</v>
      </c>
      <c r="E91" s="160" t="s">
        <v>809</v>
      </c>
      <c r="F91" s="158"/>
    </row>
    <row r="92" spans="1:6" s="159" customFormat="1" ht="40.15" customHeight="1" x14ac:dyDescent="0.2">
      <c r="A92" s="157">
        <v>89</v>
      </c>
      <c r="B92" s="146" t="s">
        <v>305</v>
      </c>
      <c r="C92" s="147">
        <v>34000593</v>
      </c>
      <c r="D92" s="154" t="s">
        <v>306</v>
      </c>
      <c r="E92" s="160" t="s">
        <v>809</v>
      </c>
      <c r="F92" s="158"/>
    </row>
    <row r="93" spans="1:6" s="159" customFormat="1" ht="40.15" customHeight="1" x14ac:dyDescent="0.2">
      <c r="A93" s="157">
        <v>90</v>
      </c>
      <c r="B93" s="146" t="s">
        <v>307</v>
      </c>
      <c r="C93" s="147">
        <v>34000582</v>
      </c>
      <c r="D93" s="154" t="s">
        <v>308</v>
      </c>
      <c r="E93" s="160" t="s">
        <v>809</v>
      </c>
      <c r="F93" s="158"/>
    </row>
    <row r="94" spans="1:6" s="159" customFormat="1" ht="40.15" customHeight="1" x14ac:dyDescent="0.2">
      <c r="A94" s="157">
        <v>91</v>
      </c>
      <c r="B94" s="146" t="s">
        <v>309</v>
      </c>
      <c r="C94" s="147">
        <v>34000336</v>
      </c>
      <c r="D94" s="154" t="s">
        <v>310</v>
      </c>
      <c r="E94" s="160" t="s">
        <v>809</v>
      </c>
      <c r="F94" s="158"/>
    </row>
    <row r="95" spans="1:6" s="159" customFormat="1" ht="40.15" customHeight="1" x14ac:dyDescent="0.2">
      <c r="A95" s="157">
        <v>92</v>
      </c>
      <c r="B95" s="146" t="s">
        <v>312</v>
      </c>
      <c r="C95" s="147">
        <v>34000221</v>
      </c>
      <c r="D95" s="154" t="s">
        <v>313</v>
      </c>
      <c r="E95" s="160" t="s">
        <v>809</v>
      </c>
      <c r="F95" s="158"/>
    </row>
    <row r="96" spans="1:6" s="159" customFormat="1" ht="40.15" customHeight="1" x14ac:dyDescent="0.2">
      <c r="A96" s="157">
        <v>93</v>
      </c>
      <c r="B96" s="146" t="s">
        <v>314</v>
      </c>
      <c r="C96" s="147">
        <v>34000624</v>
      </c>
      <c r="D96" s="154" t="s">
        <v>315</v>
      </c>
      <c r="E96" s="160" t="s">
        <v>809</v>
      </c>
      <c r="F96" s="158"/>
    </row>
    <row r="97" spans="1:6" s="159" customFormat="1" ht="40.15" customHeight="1" x14ac:dyDescent="0.2">
      <c r="A97" s="157">
        <v>94</v>
      </c>
      <c r="B97" s="146" t="s">
        <v>316</v>
      </c>
      <c r="C97" s="147">
        <v>34000241</v>
      </c>
      <c r="D97" s="154" t="s">
        <v>317</v>
      </c>
      <c r="E97" s="160" t="s">
        <v>809</v>
      </c>
      <c r="F97" s="158"/>
    </row>
    <row r="98" spans="1:6" s="159" customFormat="1" ht="40.15" customHeight="1" x14ac:dyDescent="0.2">
      <c r="A98" s="157">
        <v>95</v>
      </c>
      <c r="B98" s="146" t="s">
        <v>319</v>
      </c>
      <c r="C98" s="147">
        <v>34000780</v>
      </c>
      <c r="D98" s="154" t="s">
        <v>320</v>
      </c>
      <c r="E98" s="160" t="s">
        <v>809</v>
      </c>
      <c r="F98" s="158"/>
    </row>
    <row r="99" spans="1:6" s="159" customFormat="1" ht="40.15" customHeight="1" x14ac:dyDescent="0.2">
      <c r="A99" s="157">
        <v>96</v>
      </c>
      <c r="B99" s="146" t="s">
        <v>322</v>
      </c>
      <c r="C99" s="147">
        <v>34000027</v>
      </c>
      <c r="D99" s="154" t="s">
        <v>323</v>
      </c>
      <c r="E99" s="160" t="s">
        <v>809</v>
      </c>
      <c r="F99" s="158"/>
    </row>
    <row r="100" spans="1:6" s="159" customFormat="1" ht="40.15" customHeight="1" x14ac:dyDescent="0.2">
      <c r="A100" s="157">
        <v>97</v>
      </c>
      <c r="B100" s="146" t="s">
        <v>324</v>
      </c>
      <c r="C100" s="147">
        <v>34000301</v>
      </c>
      <c r="D100" s="154" t="s">
        <v>325</v>
      </c>
      <c r="E100" s="160" t="s">
        <v>809</v>
      </c>
      <c r="F100" s="158"/>
    </row>
    <row r="101" spans="1:6" s="159" customFormat="1" ht="40.15" customHeight="1" x14ac:dyDescent="0.2">
      <c r="A101" s="157">
        <v>98</v>
      </c>
      <c r="B101" s="146" t="s">
        <v>326</v>
      </c>
      <c r="C101" s="147">
        <v>34000278</v>
      </c>
      <c r="D101" s="154" t="s">
        <v>327</v>
      </c>
      <c r="E101" s="160" t="s">
        <v>809</v>
      </c>
      <c r="F101" s="158"/>
    </row>
    <row r="102" spans="1:6" s="159" customFormat="1" ht="40.15" customHeight="1" x14ac:dyDescent="0.2">
      <c r="A102" s="157">
        <v>99</v>
      </c>
      <c r="B102" s="146" t="s">
        <v>329</v>
      </c>
      <c r="C102" s="147">
        <v>34000638</v>
      </c>
      <c r="D102" s="154" t="s">
        <v>330</v>
      </c>
      <c r="E102" s="160" t="s">
        <v>809</v>
      </c>
      <c r="F102" s="158"/>
    </row>
    <row r="103" spans="1:6" s="159" customFormat="1" ht="40.15" customHeight="1" x14ac:dyDescent="0.2">
      <c r="A103" s="157">
        <v>100</v>
      </c>
      <c r="B103" s="146" t="s">
        <v>331</v>
      </c>
      <c r="C103" s="147">
        <v>34000111</v>
      </c>
      <c r="D103" s="154" t="s">
        <v>332</v>
      </c>
      <c r="E103" s="160" t="s">
        <v>809</v>
      </c>
      <c r="F103" s="158"/>
    </row>
    <row r="104" spans="1:6" s="159" customFormat="1" ht="40.15" customHeight="1" x14ac:dyDescent="0.2">
      <c r="A104" s="157">
        <v>101</v>
      </c>
      <c r="B104" s="146" t="s">
        <v>333</v>
      </c>
      <c r="C104" s="147">
        <v>34000233</v>
      </c>
      <c r="D104" s="154" t="s">
        <v>334</v>
      </c>
      <c r="E104" s="160" t="s">
        <v>809</v>
      </c>
      <c r="F104" s="158"/>
    </row>
    <row r="105" spans="1:6" s="159" customFormat="1" ht="40.15" customHeight="1" x14ac:dyDescent="0.2">
      <c r="A105" s="157">
        <v>102</v>
      </c>
      <c r="B105" s="146" t="s">
        <v>335</v>
      </c>
      <c r="C105" s="147">
        <v>34000474</v>
      </c>
      <c r="D105" s="154" t="s">
        <v>336</v>
      </c>
      <c r="E105" s="160" t="s">
        <v>809</v>
      </c>
      <c r="F105" s="158"/>
    </row>
    <row r="106" spans="1:6" s="159" customFormat="1" ht="40.15" customHeight="1" x14ac:dyDescent="0.2">
      <c r="A106" s="157">
        <v>103</v>
      </c>
      <c r="B106" s="146" t="s">
        <v>337</v>
      </c>
      <c r="C106" s="147">
        <v>34000714</v>
      </c>
      <c r="D106" s="154" t="s">
        <v>338</v>
      </c>
      <c r="E106" s="160" t="s">
        <v>809</v>
      </c>
      <c r="F106" s="158"/>
    </row>
    <row r="107" spans="1:6" s="159" customFormat="1" ht="40.15" customHeight="1" x14ac:dyDescent="0.2">
      <c r="A107" s="157">
        <v>104</v>
      </c>
      <c r="B107" s="146" t="s">
        <v>339</v>
      </c>
      <c r="C107" s="147">
        <v>34000224</v>
      </c>
      <c r="D107" s="154" t="s">
        <v>340</v>
      </c>
      <c r="E107" s="160" t="s">
        <v>809</v>
      </c>
      <c r="F107" s="158"/>
    </row>
    <row r="108" spans="1:6" s="159" customFormat="1" ht="40.15" customHeight="1" x14ac:dyDescent="0.2">
      <c r="A108" s="157">
        <v>105</v>
      </c>
      <c r="B108" s="146" t="s">
        <v>341</v>
      </c>
      <c r="C108" s="147" t="s">
        <v>342</v>
      </c>
      <c r="D108" s="154" t="s">
        <v>343</v>
      </c>
      <c r="E108" s="160" t="s">
        <v>809</v>
      </c>
      <c r="F108" s="158"/>
    </row>
    <row r="109" spans="1:6" s="159" customFormat="1" ht="40.15" customHeight="1" x14ac:dyDescent="0.2">
      <c r="A109" s="157">
        <v>106</v>
      </c>
      <c r="B109" s="146" t="s">
        <v>344</v>
      </c>
      <c r="C109" s="147" t="s">
        <v>724</v>
      </c>
      <c r="D109" s="154" t="s">
        <v>345</v>
      </c>
      <c r="E109" s="160" t="s">
        <v>809</v>
      </c>
      <c r="F109" s="158"/>
    </row>
    <row r="110" spans="1:6" s="159" customFormat="1" ht="40.15" customHeight="1" x14ac:dyDescent="0.2">
      <c r="A110" s="157">
        <v>107</v>
      </c>
      <c r="B110" s="146" t="s">
        <v>346</v>
      </c>
      <c r="C110" s="147" t="s">
        <v>725</v>
      </c>
      <c r="D110" s="154" t="s">
        <v>347</v>
      </c>
      <c r="E110" s="160" t="s">
        <v>809</v>
      </c>
      <c r="F110" s="158"/>
    </row>
    <row r="111" spans="1:6" s="159" customFormat="1" ht="40.15" customHeight="1" x14ac:dyDescent="0.2">
      <c r="A111" s="157">
        <v>108</v>
      </c>
      <c r="B111" s="146" t="s">
        <v>348</v>
      </c>
      <c r="C111" s="147">
        <v>34000077</v>
      </c>
      <c r="D111" s="154" t="s">
        <v>349</v>
      </c>
      <c r="E111" s="160" t="s">
        <v>809</v>
      </c>
      <c r="F111" s="158"/>
    </row>
    <row r="112" spans="1:6" s="159" customFormat="1" ht="40.15" customHeight="1" x14ac:dyDescent="0.2">
      <c r="A112" s="157">
        <v>109</v>
      </c>
      <c r="B112" s="146" t="s">
        <v>350</v>
      </c>
      <c r="C112" s="147">
        <v>34000757</v>
      </c>
      <c r="D112" s="154" t="s">
        <v>351</v>
      </c>
      <c r="E112" s="160" t="s">
        <v>809</v>
      </c>
      <c r="F112" s="158"/>
    </row>
    <row r="113" spans="1:6" s="159" customFormat="1" ht="40.15" customHeight="1" x14ac:dyDescent="0.2">
      <c r="A113" s="157">
        <v>110</v>
      </c>
      <c r="B113" s="146" t="s">
        <v>352</v>
      </c>
      <c r="C113" s="147">
        <v>34000012</v>
      </c>
      <c r="D113" s="154" t="s">
        <v>353</v>
      </c>
      <c r="E113" s="160" t="s">
        <v>809</v>
      </c>
      <c r="F113" s="158"/>
    </row>
    <row r="114" spans="1:6" s="159" customFormat="1" ht="40.15" customHeight="1" x14ac:dyDescent="0.2">
      <c r="A114" s="157">
        <v>111</v>
      </c>
      <c r="B114" s="146" t="s">
        <v>354</v>
      </c>
      <c r="C114" s="147">
        <v>34000794</v>
      </c>
      <c r="D114" s="154" t="s">
        <v>355</v>
      </c>
      <c r="E114" s="160" t="s">
        <v>809</v>
      </c>
      <c r="F114" s="158"/>
    </row>
    <row r="115" spans="1:6" s="159" customFormat="1" ht="40.15" customHeight="1" x14ac:dyDescent="0.2">
      <c r="A115" s="157">
        <v>112</v>
      </c>
      <c r="B115" s="146" t="s">
        <v>356</v>
      </c>
      <c r="C115" s="147">
        <v>34000850</v>
      </c>
      <c r="D115" s="154" t="s">
        <v>357</v>
      </c>
      <c r="E115" s="160" t="s">
        <v>809</v>
      </c>
      <c r="F115" s="158"/>
    </row>
    <row r="116" spans="1:6" s="159" customFormat="1" ht="40.15" customHeight="1" x14ac:dyDescent="0.2">
      <c r="A116" s="157">
        <v>113</v>
      </c>
      <c r="B116" s="146" t="s">
        <v>358</v>
      </c>
      <c r="C116" s="147">
        <v>34000513</v>
      </c>
      <c r="D116" s="163" t="s">
        <v>359</v>
      </c>
      <c r="E116" s="160" t="s">
        <v>809</v>
      </c>
      <c r="F116" s="158"/>
    </row>
    <row r="117" spans="1:6" s="159" customFormat="1" ht="40.15" customHeight="1" x14ac:dyDescent="0.2">
      <c r="A117" s="157">
        <v>114</v>
      </c>
      <c r="B117" s="146" t="s">
        <v>360</v>
      </c>
      <c r="C117" s="147">
        <v>34000478</v>
      </c>
      <c r="D117" s="154" t="s">
        <v>361</v>
      </c>
      <c r="E117" s="160" t="s">
        <v>809</v>
      </c>
      <c r="F117" s="158"/>
    </row>
    <row r="118" spans="1:6" s="159" customFormat="1" ht="40.15" customHeight="1" x14ac:dyDescent="0.2">
      <c r="A118" s="157">
        <v>115</v>
      </c>
      <c r="B118" s="146" t="s">
        <v>362</v>
      </c>
      <c r="C118" s="147">
        <v>34000552</v>
      </c>
      <c r="D118" s="154" t="s">
        <v>363</v>
      </c>
      <c r="E118" s="160" t="s">
        <v>809</v>
      </c>
      <c r="F118" s="158"/>
    </row>
    <row r="119" spans="1:6" s="159" customFormat="1" ht="40.15" customHeight="1" x14ac:dyDescent="0.2">
      <c r="A119" s="157">
        <v>116</v>
      </c>
      <c r="B119" s="146" t="s">
        <v>364</v>
      </c>
      <c r="C119" s="147">
        <v>34000351</v>
      </c>
      <c r="D119" s="154" t="s">
        <v>365</v>
      </c>
      <c r="E119" s="160" t="s">
        <v>809</v>
      </c>
      <c r="F119" s="158"/>
    </row>
    <row r="120" spans="1:6" s="159" customFormat="1" ht="40.15" customHeight="1" x14ac:dyDescent="0.2">
      <c r="A120" s="157">
        <v>117</v>
      </c>
      <c r="B120" s="146" t="s">
        <v>366</v>
      </c>
      <c r="C120" s="147">
        <v>34000105</v>
      </c>
      <c r="D120" s="154" t="s">
        <v>367</v>
      </c>
      <c r="E120" s="160" t="s">
        <v>809</v>
      </c>
      <c r="F120" s="158"/>
    </row>
    <row r="121" spans="1:6" s="159" customFormat="1" ht="40.15" customHeight="1" x14ac:dyDescent="0.2">
      <c r="A121" s="157">
        <v>118</v>
      </c>
      <c r="B121" s="146" t="s">
        <v>368</v>
      </c>
      <c r="C121" s="147">
        <v>34000180</v>
      </c>
      <c r="D121" s="154" t="s">
        <v>369</v>
      </c>
      <c r="E121" s="160" t="s">
        <v>809</v>
      </c>
      <c r="F121" s="158"/>
    </row>
    <row r="122" spans="1:6" s="159" customFormat="1" ht="40.15" customHeight="1" x14ac:dyDescent="0.2">
      <c r="A122" s="157">
        <v>119</v>
      </c>
      <c r="B122" s="146" t="s">
        <v>370</v>
      </c>
      <c r="C122" s="147">
        <v>34000738</v>
      </c>
      <c r="D122" s="154" t="s">
        <v>371</v>
      </c>
      <c r="E122" s="160" t="s">
        <v>809</v>
      </c>
      <c r="F122" s="158"/>
    </row>
    <row r="123" spans="1:6" s="159" customFormat="1" ht="40.15" customHeight="1" x14ac:dyDescent="0.2">
      <c r="A123" s="157">
        <v>120</v>
      </c>
      <c r="B123" s="146" t="s">
        <v>372</v>
      </c>
      <c r="C123" s="147">
        <v>34000265</v>
      </c>
      <c r="D123" s="154" t="s">
        <v>373</v>
      </c>
      <c r="E123" s="160" t="s">
        <v>809</v>
      </c>
      <c r="F123" s="158"/>
    </row>
    <row r="124" spans="1:6" s="159" customFormat="1" ht="40.15" customHeight="1" x14ac:dyDescent="0.2">
      <c r="A124" s="157">
        <v>121</v>
      </c>
      <c r="B124" s="146" t="s">
        <v>374</v>
      </c>
      <c r="C124" s="146">
        <v>34000643</v>
      </c>
      <c r="D124" s="163" t="s">
        <v>375</v>
      </c>
      <c r="E124" s="160" t="s">
        <v>809</v>
      </c>
      <c r="F124" s="158"/>
    </row>
    <row r="125" spans="1:6" s="159" customFormat="1" ht="40.15" customHeight="1" x14ac:dyDescent="0.2">
      <c r="A125" s="157">
        <v>122</v>
      </c>
      <c r="B125" s="146" t="s">
        <v>376</v>
      </c>
      <c r="C125" s="146">
        <v>34000721</v>
      </c>
      <c r="D125" s="163" t="s">
        <v>377</v>
      </c>
      <c r="E125" s="160" t="s">
        <v>809</v>
      </c>
      <c r="F125" s="158"/>
    </row>
    <row r="126" spans="1:6" s="159" customFormat="1" ht="40.15" customHeight="1" x14ac:dyDescent="0.2">
      <c r="A126" s="157">
        <v>123</v>
      </c>
      <c r="B126" s="146" t="s">
        <v>378</v>
      </c>
      <c r="C126" s="146">
        <v>34000362</v>
      </c>
      <c r="D126" s="163" t="s">
        <v>379</v>
      </c>
      <c r="E126" s="160" t="s">
        <v>809</v>
      </c>
      <c r="F126" s="158"/>
    </row>
    <row r="127" spans="1:6" s="159" customFormat="1" ht="40.15" customHeight="1" x14ac:dyDescent="0.2">
      <c r="A127" s="157">
        <v>124</v>
      </c>
      <c r="B127" s="146" t="s">
        <v>380</v>
      </c>
      <c r="C127" s="146">
        <v>34000534</v>
      </c>
      <c r="D127" s="163" t="s">
        <v>381</v>
      </c>
      <c r="E127" s="160" t="s">
        <v>809</v>
      </c>
      <c r="F127" s="158"/>
    </row>
    <row r="128" spans="1:6" s="159" customFormat="1" ht="40.15" customHeight="1" x14ac:dyDescent="0.2">
      <c r="A128" s="157">
        <v>125</v>
      </c>
      <c r="B128" s="146" t="s">
        <v>382</v>
      </c>
      <c r="C128" s="146">
        <v>34000467</v>
      </c>
      <c r="D128" s="163" t="s">
        <v>383</v>
      </c>
      <c r="E128" s="160" t="s">
        <v>809</v>
      </c>
      <c r="F128" s="158"/>
    </row>
    <row r="129" spans="1:6" s="159" customFormat="1" ht="40.15" customHeight="1" x14ac:dyDescent="0.2">
      <c r="A129" s="157">
        <v>126</v>
      </c>
      <c r="B129" s="146" t="s">
        <v>384</v>
      </c>
      <c r="C129" s="146">
        <v>34000181</v>
      </c>
      <c r="D129" s="163" t="s">
        <v>385</v>
      </c>
      <c r="E129" s="160" t="s">
        <v>809</v>
      </c>
      <c r="F129" s="158"/>
    </row>
    <row r="130" spans="1:6" s="159" customFormat="1" ht="40.15" customHeight="1" x14ac:dyDescent="0.2">
      <c r="A130" s="157">
        <v>127</v>
      </c>
      <c r="B130" s="146" t="s">
        <v>386</v>
      </c>
      <c r="C130" s="146">
        <v>34000247</v>
      </c>
      <c r="D130" s="163" t="s">
        <v>387</v>
      </c>
      <c r="E130" s="160" t="s">
        <v>809</v>
      </c>
      <c r="F130" s="158"/>
    </row>
    <row r="131" spans="1:6" s="159" customFormat="1" ht="40.15" customHeight="1" x14ac:dyDescent="0.2">
      <c r="A131" s="157">
        <v>128</v>
      </c>
      <c r="B131" s="146" t="s">
        <v>388</v>
      </c>
      <c r="C131" s="146">
        <v>34000298</v>
      </c>
      <c r="D131" s="163" t="s">
        <v>389</v>
      </c>
      <c r="E131" s="160" t="s">
        <v>809</v>
      </c>
      <c r="F131" s="158"/>
    </row>
    <row r="132" spans="1:6" s="159" customFormat="1" ht="40.15" customHeight="1" x14ac:dyDescent="0.2">
      <c r="A132" s="157">
        <v>129</v>
      </c>
      <c r="B132" s="146" t="s">
        <v>390</v>
      </c>
      <c r="C132" s="146">
        <v>34000340</v>
      </c>
      <c r="D132" s="163" t="s">
        <v>391</v>
      </c>
      <c r="E132" s="160" t="s">
        <v>809</v>
      </c>
      <c r="F132" s="158"/>
    </row>
    <row r="133" spans="1:6" s="159" customFormat="1" ht="40.15" customHeight="1" x14ac:dyDescent="0.2">
      <c r="A133" s="157">
        <v>130</v>
      </c>
      <c r="B133" s="146" t="s">
        <v>392</v>
      </c>
      <c r="C133" s="146">
        <v>34000184</v>
      </c>
      <c r="D133" s="163" t="s">
        <v>393</v>
      </c>
      <c r="E133" s="160" t="s">
        <v>809</v>
      </c>
      <c r="F133" s="158"/>
    </row>
    <row r="134" spans="1:6" s="159" customFormat="1" ht="40.15" customHeight="1" x14ac:dyDescent="0.2">
      <c r="A134" s="157">
        <v>131</v>
      </c>
      <c r="B134" s="146" t="s">
        <v>394</v>
      </c>
      <c r="C134" s="146">
        <v>34000009</v>
      </c>
      <c r="D134" s="163" t="s">
        <v>395</v>
      </c>
      <c r="E134" s="160" t="s">
        <v>809</v>
      </c>
      <c r="F134" s="158"/>
    </row>
    <row r="135" spans="1:6" s="159" customFormat="1" ht="40.15" customHeight="1" x14ac:dyDescent="0.2">
      <c r="A135" s="157">
        <v>132</v>
      </c>
      <c r="B135" s="146" t="s">
        <v>396</v>
      </c>
      <c r="C135" s="146">
        <v>34000495</v>
      </c>
      <c r="D135" s="163" t="s">
        <v>397</v>
      </c>
      <c r="E135" s="160" t="s">
        <v>809</v>
      </c>
      <c r="F135" s="158"/>
    </row>
    <row r="136" spans="1:6" s="159" customFormat="1" ht="40.15" customHeight="1" x14ac:dyDescent="0.2">
      <c r="A136" s="157">
        <v>133</v>
      </c>
      <c r="B136" s="146" t="s">
        <v>398</v>
      </c>
      <c r="C136" s="147">
        <v>34000344</v>
      </c>
      <c r="D136" s="154" t="s">
        <v>399</v>
      </c>
      <c r="E136" s="160" t="s">
        <v>809</v>
      </c>
      <c r="F136" s="158"/>
    </row>
    <row r="137" spans="1:6" s="159" customFormat="1" ht="40.15" customHeight="1" x14ac:dyDescent="0.2">
      <c r="A137" s="157">
        <v>134</v>
      </c>
      <c r="B137" s="146" t="s">
        <v>400</v>
      </c>
      <c r="C137" s="147">
        <v>34000424</v>
      </c>
      <c r="D137" s="154" t="s">
        <v>401</v>
      </c>
      <c r="E137" s="160" t="s">
        <v>809</v>
      </c>
      <c r="F137" s="158"/>
    </row>
    <row r="138" spans="1:6" s="159" customFormat="1" ht="40.15" customHeight="1" x14ac:dyDescent="0.2">
      <c r="A138" s="157">
        <v>135</v>
      </c>
      <c r="B138" s="146" t="s">
        <v>402</v>
      </c>
      <c r="C138" s="147">
        <v>34000532</v>
      </c>
      <c r="D138" s="163" t="s">
        <v>403</v>
      </c>
      <c r="E138" s="160" t="s">
        <v>809</v>
      </c>
      <c r="F138" s="158"/>
    </row>
    <row r="139" spans="1:6" s="159" customFormat="1" ht="40.15" customHeight="1" x14ac:dyDescent="0.2">
      <c r="A139" s="157">
        <v>136</v>
      </c>
      <c r="B139" s="146" t="s">
        <v>404</v>
      </c>
      <c r="C139" s="147">
        <v>34000391</v>
      </c>
      <c r="D139" s="163" t="s">
        <v>405</v>
      </c>
      <c r="E139" s="160" t="s">
        <v>809</v>
      </c>
      <c r="F139" s="158"/>
    </row>
    <row r="140" spans="1:6" s="159" customFormat="1" ht="40.15" customHeight="1" x14ac:dyDescent="0.2">
      <c r="A140" s="157">
        <v>137</v>
      </c>
      <c r="B140" s="146" t="s">
        <v>406</v>
      </c>
      <c r="C140" s="147">
        <v>34000393</v>
      </c>
      <c r="D140" s="163" t="s">
        <v>407</v>
      </c>
      <c r="E140" s="160" t="s">
        <v>809</v>
      </c>
      <c r="F140" s="158"/>
    </row>
    <row r="141" spans="1:6" s="159" customFormat="1" ht="40.15" customHeight="1" x14ac:dyDescent="0.2">
      <c r="A141" s="157">
        <v>138</v>
      </c>
      <c r="B141" s="146" t="s">
        <v>408</v>
      </c>
      <c r="C141" s="147">
        <v>34000412</v>
      </c>
      <c r="D141" s="163" t="s">
        <v>409</v>
      </c>
      <c r="E141" s="160" t="s">
        <v>809</v>
      </c>
      <c r="F141" s="158"/>
    </row>
    <row r="142" spans="1:6" s="159" customFormat="1" ht="40.15" customHeight="1" x14ac:dyDescent="0.2">
      <c r="A142" s="157">
        <v>139</v>
      </c>
      <c r="B142" s="146" t="s">
        <v>410</v>
      </c>
      <c r="C142" s="147">
        <v>34000136</v>
      </c>
      <c r="D142" s="154" t="s">
        <v>411</v>
      </c>
      <c r="E142" s="160" t="s">
        <v>809</v>
      </c>
      <c r="F142" s="158"/>
    </row>
    <row r="143" spans="1:6" s="159" customFormat="1" ht="40.15" customHeight="1" x14ac:dyDescent="0.2">
      <c r="A143" s="157">
        <v>140</v>
      </c>
      <c r="B143" s="146" t="s">
        <v>412</v>
      </c>
      <c r="C143" s="146">
        <v>34000415</v>
      </c>
      <c r="D143" s="163" t="s">
        <v>413</v>
      </c>
      <c r="E143" s="160" t="s">
        <v>809</v>
      </c>
      <c r="F143" s="158"/>
    </row>
    <row r="144" spans="1:6" s="159" customFormat="1" ht="40.15" customHeight="1" x14ac:dyDescent="0.2">
      <c r="A144" s="157">
        <v>141</v>
      </c>
      <c r="B144" s="146" t="s">
        <v>414</v>
      </c>
      <c r="C144" s="147">
        <v>34000754</v>
      </c>
      <c r="D144" s="163" t="s">
        <v>415</v>
      </c>
      <c r="E144" s="160" t="s">
        <v>809</v>
      </c>
      <c r="F144" s="158"/>
    </row>
    <row r="145" spans="1:6" s="159" customFormat="1" ht="40.15" customHeight="1" x14ac:dyDescent="0.2">
      <c r="A145" s="157">
        <v>142</v>
      </c>
      <c r="B145" s="146" t="s">
        <v>416</v>
      </c>
      <c r="C145" s="147">
        <v>34000342</v>
      </c>
      <c r="D145" s="154" t="s">
        <v>417</v>
      </c>
      <c r="E145" s="160" t="s">
        <v>809</v>
      </c>
      <c r="F145" s="158"/>
    </row>
    <row r="146" spans="1:6" s="159" customFormat="1" ht="40.15" customHeight="1" x14ac:dyDescent="0.2">
      <c r="A146" s="157">
        <v>143</v>
      </c>
      <c r="B146" s="146" t="s">
        <v>418</v>
      </c>
      <c r="C146" s="147">
        <v>34000127</v>
      </c>
      <c r="D146" s="154" t="s">
        <v>419</v>
      </c>
      <c r="E146" s="160" t="s">
        <v>809</v>
      </c>
      <c r="F146" s="158"/>
    </row>
    <row r="147" spans="1:6" s="159" customFormat="1" ht="40.15" customHeight="1" x14ac:dyDescent="0.2">
      <c r="A147" s="157">
        <v>144</v>
      </c>
      <c r="B147" s="146" t="s">
        <v>420</v>
      </c>
      <c r="C147" s="147">
        <v>34000264</v>
      </c>
      <c r="D147" s="154" t="s">
        <v>421</v>
      </c>
      <c r="E147" s="160" t="s">
        <v>809</v>
      </c>
      <c r="F147" s="158"/>
    </row>
    <row r="148" spans="1:6" s="159" customFormat="1" ht="40.15" customHeight="1" x14ac:dyDescent="0.2">
      <c r="A148" s="157">
        <v>145</v>
      </c>
      <c r="B148" s="146" t="s">
        <v>422</v>
      </c>
      <c r="C148" s="147">
        <v>34000807</v>
      </c>
      <c r="D148" s="154" t="s">
        <v>423</v>
      </c>
      <c r="E148" s="160" t="s">
        <v>809</v>
      </c>
      <c r="F148" s="158"/>
    </row>
    <row r="149" spans="1:6" s="159" customFormat="1" ht="40.15" customHeight="1" x14ac:dyDescent="0.2">
      <c r="A149" s="157">
        <v>146</v>
      </c>
      <c r="B149" s="146" t="s">
        <v>424</v>
      </c>
      <c r="C149" s="146">
        <v>34000411</v>
      </c>
      <c r="D149" s="163" t="s">
        <v>425</v>
      </c>
      <c r="E149" s="160" t="s">
        <v>809</v>
      </c>
      <c r="F149" s="158"/>
    </row>
    <row r="150" spans="1:6" s="159" customFormat="1" ht="40.15" customHeight="1" x14ac:dyDescent="0.2">
      <c r="A150" s="157">
        <v>147</v>
      </c>
      <c r="B150" s="146" t="s">
        <v>426</v>
      </c>
      <c r="C150" s="146">
        <v>34000020</v>
      </c>
      <c r="D150" s="163" t="s">
        <v>427</v>
      </c>
      <c r="E150" s="160" t="s">
        <v>809</v>
      </c>
      <c r="F150" s="158"/>
    </row>
    <row r="151" spans="1:6" s="159" customFormat="1" ht="40.15" customHeight="1" x14ac:dyDescent="0.2">
      <c r="A151" s="157">
        <v>148</v>
      </c>
      <c r="B151" s="146" t="s">
        <v>428</v>
      </c>
      <c r="C151" s="146">
        <v>34000522</v>
      </c>
      <c r="D151" s="163" t="s">
        <v>429</v>
      </c>
      <c r="E151" s="160" t="s">
        <v>809</v>
      </c>
      <c r="F151" s="158"/>
    </row>
    <row r="152" spans="1:6" s="159" customFormat="1" ht="40.15" customHeight="1" x14ac:dyDescent="0.2">
      <c r="A152" s="157">
        <v>149</v>
      </c>
      <c r="B152" s="146" t="s">
        <v>430</v>
      </c>
      <c r="C152" s="146">
        <v>34000753</v>
      </c>
      <c r="D152" s="163" t="s">
        <v>431</v>
      </c>
      <c r="E152" s="160" t="s">
        <v>809</v>
      </c>
      <c r="F152" s="158"/>
    </row>
    <row r="153" spans="1:6" s="159" customFormat="1" ht="40.15" customHeight="1" x14ac:dyDescent="0.2">
      <c r="A153" s="157">
        <v>150</v>
      </c>
      <c r="B153" s="146" t="s">
        <v>432</v>
      </c>
      <c r="C153" s="146">
        <v>34000701</v>
      </c>
      <c r="D153" s="163" t="s">
        <v>433</v>
      </c>
      <c r="E153" s="160" t="s">
        <v>809</v>
      </c>
      <c r="F153" s="158"/>
    </row>
    <row r="154" spans="1:6" s="159" customFormat="1" ht="40.15" customHeight="1" x14ac:dyDescent="0.2">
      <c r="A154" s="157">
        <v>151</v>
      </c>
      <c r="B154" s="146" t="s">
        <v>434</v>
      </c>
      <c r="C154" s="146">
        <v>34000272</v>
      </c>
      <c r="D154" s="163" t="s">
        <v>435</v>
      </c>
      <c r="E154" s="160" t="s">
        <v>809</v>
      </c>
      <c r="F154" s="158"/>
    </row>
    <row r="155" spans="1:6" s="159" customFormat="1" ht="40.15" customHeight="1" x14ac:dyDescent="0.2">
      <c r="A155" s="157">
        <v>152</v>
      </c>
      <c r="B155" s="146" t="s">
        <v>436</v>
      </c>
      <c r="C155" s="146">
        <v>34000120</v>
      </c>
      <c r="D155" s="163" t="s">
        <v>437</v>
      </c>
      <c r="E155" s="160" t="s">
        <v>809</v>
      </c>
      <c r="F155" s="158"/>
    </row>
    <row r="156" spans="1:6" s="159" customFormat="1" ht="40.15" customHeight="1" x14ac:dyDescent="0.2">
      <c r="A156" s="157">
        <v>153</v>
      </c>
      <c r="B156" s="146" t="s">
        <v>438</v>
      </c>
      <c r="C156" s="146">
        <v>34000229</v>
      </c>
      <c r="D156" s="163" t="s">
        <v>439</v>
      </c>
      <c r="E156" s="160" t="s">
        <v>809</v>
      </c>
      <c r="F156" s="158"/>
    </row>
    <row r="157" spans="1:6" s="159" customFormat="1" ht="40.15" customHeight="1" x14ac:dyDescent="0.2">
      <c r="A157" s="157">
        <v>154</v>
      </c>
      <c r="B157" s="146" t="s">
        <v>440</v>
      </c>
      <c r="C157" s="146">
        <v>34000541</v>
      </c>
      <c r="D157" s="163" t="s">
        <v>441</v>
      </c>
      <c r="E157" s="160" t="s">
        <v>809</v>
      </c>
      <c r="F157" s="158"/>
    </row>
    <row r="158" spans="1:6" s="159" customFormat="1" ht="40.15" customHeight="1" x14ac:dyDescent="0.2">
      <c r="A158" s="157">
        <v>155</v>
      </c>
      <c r="B158" s="146" t="s">
        <v>442</v>
      </c>
      <c r="C158" s="146">
        <v>34000727</v>
      </c>
      <c r="D158" s="163" t="s">
        <v>443</v>
      </c>
      <c r="E158" s="160" t="s">
        <v>809</v>
      </c>
      <c r="F158" s="158"/>
    </row>
    <row r="159" spans="1:6" s="159" customFormat="1" ht="40.15" customHeight="1" x14ac:dyDescent="0.2">
      <c r="A159" s="157">
        <v>156</v>
      </c>
      <c r="B159" s="146" t="s">
        <v>444</v>
      </c>
      <c r="C159" s="146">
        <v>34000390</v>
      </c>
      <c r="D159" s="163" t="s">
        <v>445</v>
      </c>
      <c r="E159" s="160" t="s">
        <v>809</v>
      </c>
      <c r="F159" s="158"/>
    </row>
    <row r="160" spans="1:6" s="159" customFormat="1" ht="40.15" customHeight="1" x14ac:dyDescent="0.2">
      <c r="A160" s="157">
        <v>157</v>
      </c>
      <c r="B160" s="146" t="s">
        <v>446</v>
      </c>
      <c r="C160" s="146">
        <v>34000341</v>
      </c>
      <c r="D160" s="163" t="s">
        <v>447</v>
      </c>
      <c r="E160" s="160" t="s">
        <v>809</v>
      </c>
      <c r="F160" s="158"/>
    </row>
    <row r="161" spans="1:6" s="159" customFormat="1" ht="40.15" customHeight="1" x14ac:dyDescent="0.2">
      <c r="A161" s="157">
        <v>158</v>
      </c>
      <c r="B161" s="146" t="s">
        <v>448</v>
      </c>
      <c r="C161" s="146">
        <v>34000520</v>
      </c>
      <c r="D161" s="163" t="s">
        <v>449</v>
      </c>
      <c r="E161" s="160" t="s">
        <v>809</v>
      </c>
      <c r="F161" s="158"/>
    </row>
    <row r="162" spans="1:6" s="159" customFormat="1" ht="40.15" customHeight="1" x14ac:dyDescent="0.2">
      <c r="A162" s="157">
        <v>159</v>
      </c>
      <c r="B162" s="146" t="s">
        <v>450</v>
      </c>
      <c r="C162" s="146">
        <v>34000575</v>
      </c>
      <c r="D162" s="163" t="s">
        <v>451</v>
      </c>
      <c r="E162" s="160" t="s">
        <v>809</v>
      </c>
      <c r="F162" s="158"/>
    </row>
    <row r="163" spans="1:6" s="159" customFormat="1" ht="40.15" customHeight="1" x14ac:dyDescent="0.2">
      <c r="A163" s="157">
        <v>160</v>
      </c>
      <c r="B163" s="146" t="s">
        <v>452</v>
      </c>
      <c r="C163" s="146">
        <v>34000630</v>
      </c>
      <c r="D163" s="163" t="s">
        <v>453</v>
      </c>
      <c r="E163" s="160" t="s">
        <v>809</v>
      </c>
      <c r="F163" s="158"/>
    </row>
    <row r="164" spans="1:6" s="159" customFormat="1" ht="40.15" customHeight="1" x14ac:dyDescent="0.2">
      <c r="A164" s="157">
        <v>161</v>
      </c>
      <c r="B164" s="146" t="s">
        <v>454</v>
      </c>
      <c r="C164" s="146">
        <v>34000497</v>
      </c>
      <c r="D164" s="163" t="s">
        <v>455</v>
      </c>
      <c r="E164" s="160" t="s">
        <v>809</v>
      </c>
      <c r="F164" s="158"/>
    </row>
    <row r="165" spans="1:6" s="159" customFormat="1" ht="40.15" customHeight="1" x14ac:dyDescent="0.2">
      <c r="A165" s="157">
        <v>162</v>
      </c>
      <c r="B165" s="146" t="s">
        <v>456</v>
      </c>
      <c r="C165" s="146">
        <v>34000765</v>
      </c>
      <c r="D165" s="163" t="s">
        <v>457</v>
      </c>
      <c r="E165" s="160" t="s">
        <v>809</v>
      </c>
      <c r="F165" s="158"/>
    </row>
    <row r="166" spans="1:6" s="159" customFormat="1" ht="40.15" customHeight="1" x14ac:dyDescent="0.2">
      <c r="A166" s="157">
        <v>163</v>
      </c>
      <c r="B166" s="146" t="s">
        <v>458</v>
      </c>
      <c r="C166" s="146">
        <v>34000352</v>
      </c>
      <c r="D166" s="163" t="s">
        <v>459</v>
      </c>
      <c r="E166" s="160" t="s">
        <v>809</v>
      </c>
      <c r="F166" s="158"/>
    </row>
    <row r="167" spans="1:6" s="159" customFormat="1" ht="40.15" customHeight="1" x14ac:dyDescent="0.2">
      <c r="A167" s="157">
        <v>164</v>
      </c>
      <c r="B167" s="146" t="s">
        <v>460</v>
      </c>
      <c r="C167" s="146">
        <v>34000337</v>
      </c>
      <c r="D167" s="163" t="s">
        <v>238</v>
      </c>
      <c r="E167" s="160" t="s">
        <v>809</v>
      </c>
      <c r="F167" s="158"/>
    </row>
    <row r="168" spans="1:6" s="159" customFormat="1" ht="40.15" customHeight="1" x14ac:dyDescent="0.2">
      <c r="A168" s="157">
        <v>165</v>
      </c>
      <c r="B168" s="146" t="s">
        <v>461</v>
      </c>
      <c r="C168" s="146">
        <v>34000648</v>
      </c>
      <c r="D168" s="163" t="s">
        <v>462</v>
      </c>
      <c r="E168" s="160" t="s">
        <v>809</v>
      </c>
      <c r="F168" s="158"/>
    </row>
    <row r="169" spans="1:6" s="159" customFormat="1" ht="40.15" customHeight="1" x14ac:dyDescent="0.2">
      <c r="A169" s="157">
        <v>166</v>
      </c>
      <c r="B169" s="146" t="s">
        <v>463</v>
      </c>
      <c r="C169" s="146">
        <v>34000198</v>
      </c>
      <c r="D169" s="163" t="s">
        <v>464</v>
      </c>
      <c r="E169" s="160" t="s">
        <v>809</v>
      </c>
      <c r="F169" s="158"/>
    </row>
    <row r="170" spans="1:6" s="159" customFormat="1" ht="40.15" customHeight="1" x14ac:dyDescent="0.2">
      <c r="A170" s="157">
        <v>167</v>
      </c>
      <c r="B170" s="146" t="s">
        <v>465</v>
      </c>
      <c r="C170" s="146">
        <v>34000192</v>
      </c>
      <c r="D170" s="163" t="s">
        <v>466</v>
      </c>
      <c r="E170" s="160" t="s">
        <v>809</v>
      </c>
      <c r="F170" s="158"/>
    </row>
    <row r="171" spans="1:6" s="159" customFormat="1" ht="40.15" customHeight="1" x14ac:dyDescent="0.2">
      <c r="A171" s="157">
        <v>168</v>
      </c>
      <c r="B171" s="146" t="s">
        <v>467</v>
      </c>
      <c r="C171" s="146">
        <v>34000166</v>
      </c>
      <c r="D171" s="163" t="s">
        <v>468</v>
      </c>
      <c r="E171" s="160" t="s">
        <v>809</v>
      </c>
      <c r="F171" s="158"/>
    </row>
    <row r="172" spans="1:6" s="159" customFormat="1" ht="40.15" customHeight="1" x14ac:dyDescent="0.2">
      <c r="A172" s="157">
        <v>169</v>
      </c>
      <c r="B172" s="146" t="s">
        <v>469</v>
      </c>
      <c r="C172" s="146">
        <v>34000639</v>
      </c>
      <c r="D172" s="163" t="s">
        <v>470</v>
      </c>
      <c r="E172" s="160" t="s">
        <v>809</v>
      </c>
      <c r="F172" s="158"/>
    </row>
    <row r="173" spans="1:6" s="159" customFormat="1" ht="40.15" customHeight="1" x14ac:dyDescent="0.2">
      <c r="A173" s="157">
        <v>170</v>
      </c>
      <c r="B173" s="146" t="s">
        <v>471</v>
      </c>
      <c r="C173" s="146">
        <v>34000106</v>
      </c>
      <c r="D173" s="163" t="s">
        <v>472</v>
      </c>
      <c r="E173" s="160" t="s">
        <v>809</v>
      </c>
      <c r="F173" s="158"/>
    </row>
    <row r="174" spans="1:6" s="159" customFormat="1" ht="40.15" customHeight="1" x14ac:dyDescent="0.2">
      <c r="A174" s="157">
        <v>171</v>
      </c>
      <c r="B174" s="146" t="s">
        <v>473</v>
      </c>
      <c r="C174" s="146">
        <v>34000758</v>
      </c>
      <c r="D174" s="163" t="s">
        <v>474</v>
      </c>
      <c r="E174" s="160" t="s">
        <v>809</v>
      </c>
      <c r="F174" s="158"/>
    </row>
    <row r="175" spans="1:6" s="159" customFormat="1" ht="40.15" customHeight="1" x14ac:dyDescent="0.2">
      <c r="A175" s="157">
        <v>172</v>
      </c>
      <c r="B175" s="146" t="s">
        <v>475</v>
      </c>
      <c r="C175" s="146">
        <v>34000118</v>
      </c>
      <c r="D175" s="163" t="s">
        <v>476</v>
      </c>
      <c r="E175" s="160" t="s">
        <v>809</v>
      </c>
      <c r="F175" s="158"/>
    </row>
    <row r="176" spans="1:6" s="159" customFormat="1" ht="40.15" customHeight="1" x14ac:dyDescent="0.2">
      <c r="A176" s="157">
        <v>173</v>
      </c>
      <c r="B176" s="148" t="s">
        <v>477</v>
      </c>
      <c r="C176" s="146">
        <v>34000529</v>
      </c>
      <c r="D176" s="163" t="s">
        <v>478</v>
      </c>
      <c r="E176" s="160" t="s">
        <v>809</v>
      </c>
      <c r="F176" s="158"/>
    </row>
    <row r="177" spans="1:6" s="159" customFormat="1" ht="40.15" customHeight="1" x14ac:dyDescent="0.2">
      <c r="A177" s="157">
        <v>174</v>
      </c>
      <c r="B177" s="148" t="s">
        <v>479</v>
      </c>
      <c r="C177" s="146">
        <v>34000259</v>
      </c>
      <c r="D177" s="163" t="s">
        <v>480</v>
      </c>
      <c r="E177" s="160" t="s">
        <v>809</v>
      </c>
      <c r="F177" s="158"/>
    </row>
    <row r="178" spans="1:6" s="159" customFormat="1" ht="40.15" customHeight="1" x14ac:dyDescent="0.2">
      <c r="A178" s="157">
        <v>175</v>
      </c>
      <c r="B178" s="148" t="s">
        <v>481</v>
      </c>
      <c r="C178" s="146">
        <v>34000218</v>
      </c>
      <c r="D178" s="163" t="s">
        <v>482</v>
      </c>
      <c r="E178" s="160" t="s">
        <v>809</v>
      </c>
      <c r="F178" s="158"/>
    </row>
    <row r="179" spans="1:6" s="159" customFormat="1" ht="40.15" customHeight="1" x14ac:dyDescent="0.2">
      <c r="A179" s="157">
        <v>176</v>
      </c>
      <c r="B179" s="146" t="s">
        <v>483</v>
      </c>
      <c r="C179" s="146">
        <v>34000379</v>
      </c>
      <c r="D179" s="163" t="s">
        <v>484</v>
      </c>
      <c r="E179" s="160" t="s">
        <v>809</v>
      </c>
      <c r="F179" s="158"/>
    </row>
    <row r="180" spans="1:6" s="159" customFormat="1" ht="40.15" customHeight="1" x14ac:dyDescent="0.2">
      <c r="A180" s="157">
        <v>177</v>
      </c>
      <c r="B180" s="148" t="s">
        <v>485</v>
      </c>
      <c r="C180" s="146">
        <v>34000490</v>
      </c>
      <c r="D180" s="163" t="s">
        <v>486</v>
      </c>
      <c r="E180" s="160" t="s">
        <v>809</v>
      </c>
      <c r="F180" s="158"/>
    </row>
    <row r="181" spans="1:6" s="159" customFormat="1" ht="40.15" customHeight="1" x14ac:dyDescent="0.2">
      <c r="A181" s="157">
        <v>178</v>
      </c>
      <c r="B181" s="146" t="s">
        <v>489</v>
      </c>
      <c r="C181" s="146">
        <v>34000565</v>
      </c>
      <c r="D181" s="163" t="s">
        <v>490</v>
      </c>
      <c r="E181" s="160" t="s">
        <v>809</v>
      </c>
      <c r="F181" s="158"/>
    </row>
    <row r="182" spans="1:6" s="159" customFormat="1" ht="40.15" customHeight="1" x14ac:dyDescent="0.2">
      <c r="A182" s="157">
        <v>179</v>
      </c>
      <c r="B182" s="148" t="s">
        <v>491</v>
      </c>
      <c r="C182" s="146">
        <v>34000470</v>
      </c>
      <c r="D182" s="163" t="s">
        <v>492</v>
      </c>
      <c r="E182" s="160" t="s">
        <v>809</v>
      </c>
      <c r="F182" s="158"/>
    </row>
    <row r="183" spans="1:6" s="159" customFormat="1" ht="40.15" customHeight="1" x14ac:dyDescent="0.2">
      <c r="A183" s="157">
        <v>180</v>
      </c>
      <c r="B183" s="148" t="s">
        <v>559</v>
      </c>
      <c r="C183" s="146">
        <v>34000242</v>
      </c>
      <c r="D183" s="163" t="s">
        <v>560</v>
      </c>
      <c r="E183" s="160" t="s">
        <v>809</v>
      </c>
      <c r="F183" s="158"/>
    </row>
    <row r="184" spans="1:6" s="159" customFormat="1" ht="40.15" customHeight="1" x14ac:dyDescent="0.2">
      <c r="A184" s="157">
        <v>181</v>
      </c>
      <c r="B184" s="148" t="s">
        <v>493</v>
      </c>
      <c r="C184" s="146">
        <v>34000213</v>
      </c>
      <c r="D184" s="163" t="s">
        <v>494</v>
      </c>
      <c r="E184" s="160" t="s">
        <v>809</v>
      </c>
      <c r="F184" s="158"/>
    </row>
    <row r="185" spans="1:6" s="159" customFormat="1" ht="40.15" customHeight="1" x14ac:dyDescent="0.2">
      <c r="A185" s="157">
        <v>182</v>
      </c>
      <c r="B185" s="148" t="s">
        <v>495</v>
      </c>
      <c r="C185" s="146">
        <v>34000562</v>
      </c>
      <c r="D185" s="163" t="s">
        <v>496</v>
      </c>
      <c r="E185" s="160" t="s">
        <v>809</v>
      </c>
      <c r="F185" s="158"/>
    </row>
    <row r="186" spans="1:6" s="159" customFormat="1" ht="40.15" customHeight="1" x14ac:dyDescent="0.2">
      <c r="A186" s="157">
        <v>183</v>
      </c>
      <c r="B186" s="148" t="s">
        <v>561</v>
      </c>
      <c r="C186" s="146">
        <v>34000453</v>
      </c>
      <c r="D186" s="163" t="s">
        <v>562</v>
      </c>
      <c r="E186" s="160" t="s">
        <v>809</v>
      </c>
      <c r="F186" s="158"/>
    </row>
    <row r="187" spans="1:6" s="159" customFormat="1" ht="40.15" customHeight="1" x14ac:dyDescent="0.2">
      <c r="A187" s="157">
        <v>184</v>
      </c>
      <c r="B187" s="148" t="s">
        <v>563</v>
      </c>
      <c r="C187" s="146">
        <v>34000129</v>
      </c>
      <c r="D187" s="163" t="s">
        <v>564</v>
      </c>
      <c r="E187" s="160" t="s">
        <v>809</v>
      </c>
      <c r="F187" s="158"/>
    </row>
    <row r="188" spans="1:6" s="159" customFormat="1" ht="40.15" customHeight="1" x14ac:dyDescent="0.2">
      <c r="A188" s="157">
        <v>185</v>
      </c>
      <c r="B188" s="148" t="s">
        <v>565</v>
      </c>
      <c r="C188" s="146">
        <v>34000394</v>
      </c>
      <c r="D188" s="163" t="s">
        <v>535</v>
      </c>
      <c r="E188" s="160" t="s">
        <v>809</v>
      </c>
      <c r="F188" s="158"/>
    </row>
    <row r="189" spans="1:6" s="159" customFormat="1" ht="40.15" customHeight="1" x14ac:dyDescent="0.2">
      <c r="A189" s="157">
        <v>186</v>
      </c>
      <c r="B189" s="148" t="s">
        <v>566</v>
      </c>
      <c r="C189" s="146">
        <v>34000668</v>
      </c>
      <c r="D189" s="163" t="s">
        <v>567</v>
      </c>
      <c r="E189" s="160" t="s">
        <v>809</v>
      </c>
      <c r="F189" s="158"/>
    </row>
    <row r="190" spans="1:6" s="159" customFormat="1" ht="40.15" customHeight="1" x14ac:dyDescent="0.2">
      <c r="A190" s="157">
        <v>187</v>
      </c>
      <c r="B190" s="148" t="s">
        <v>568</v>
      </c>
      <c r="C190" s="146">
        <v>34000388</v>
      </c>
      <c r="D190" s="163" t="s">
        <v>538</v>
      </c>
      <c r="E190" s="160" t="s">
        <v>809</v>
      </c>
      <c r="F190" s="158"/>
    </row>
    <row r="191" spans="1:6" s="159" customFormat="1" ht="40.15" customHeight="1" x14ac:dyDescent="0.2">
      <c r="A191" s="157">
        <v>188</v>
      </c>
      <c r="B191" s="148" t="s">
        <v>569</v>
      </c>
      <c r="C191" s="146">
        <v>34000414</v>
      </c>
      <c r="D191" s="163" t="s">
        <v>570</v>
      </c>
      <c r="E191" s="160" t="s">
        <v>809</v>
      </c>
      <c r="F191" s="158"/>
    </row>
    <row r="192" spans="1:6" s="159" customFormat="1" ht="40.15" customHeight="1" x14ac:dyDescent="0.2">
      <c r="A192" s="157">
        <v>189</v>
      </c>
      <c r="B192" s="148" t="s">
        <v>571</v>
      </c>
      <c r="C192" s="146">
        <v>34000151</v>
      </c>
      <c r="D192" s="163" t="s">
        <v>572</v>
      </c>
      <c r="E192" s="160" t="s">
        <v>809</v>
      </c>
      <c r="F192" s="158"/>
    </row>
    <row r="193" spans="1:6" s="159" customFormat="1" ht="40.15" customHeight="1" x14ac:dyDescent="0.2">
      <c r="A193" s="157">
        <v>190</v>
      </c>
      <c r="B193" s="148" t="s">
        <v>573</v>
      </c>
      <c r="C193" s="146">
        <v>34000282</v>
      </c>
      <c r="D193" s="163" t="s">
        <v>574</v>
      </c>
      <c r="E193" s="160" t="s">
        <v>809</v>
      </c>
      <c r="F193" s="158"/>
    </row>
    <row r="194" spans="1:6" s="159" customFormat="1" ht="40.15" customHeight="1" x14ac:dyDescent="0.2">
      <c r="A194" s="157">
        <v>191</v>
      </c>
      <c r="B194" s="148" t="s">
        <v>575</v>
      </c>
      <c r="C194" s="146">
        <v>34000096</v>
      </c>
      <c r="D194" s="163" t="s">
        <v>576</v>
      </c>
      <c r="E194" s="160" t="s">
        <v>809</v>
      </c>
      <c r="F194" s="158"/>
    </row>
    <row r="195" spans="1:6" s="159" customFormat="1" ht="40.15" customHeight="1" x14ac:dyDescent="0.2">
      <c r="A195" s="157">
        <v>192</v>
      </c>
      <c r="B195" s="148" t="s">
        <v>577</v>
      </c>
      <c r="C195" s="146">
        <v>34000128</v>
      </c>
      <c r="D195" s="163" t="s">
        <v>578</v>
      </c>
      <c r="E195" s="160" t="s">
        <v>809</v>
      </c>
      <c r="F195" s="158"/>
    </row>
    <row r="196" spans="1:6" s="159" customFormat="1" ht="40.15" customHeight="1" x14ac:dyDescent="0.2">
      <c r="A196" s="157">
        <v>193</v>
      </c>
      <c r="B196" s="148" t="s">
        <v>579</v>
      </c>
      <c r="C196" s="146">
        <v>34000628</v>
      </c>
      <c r="D196" s="163" t="s">
        <v>580</v>
      </c>
      <c r="E196" s="160" t="s">
        <v>809</v>
      </c>
      <c r="F196" s="158"/>
    </row>
    <row r="197" spans="1:6" s="159" customFormat="1" ht="40.15" customHeight="1" x14ac:dyDescent="0.2">
      <c r="A197" s="157">
        <v>194</v>
      </c>
      <c r="B197" s="148" t="s">
        <v>581</v>
      </c>
      <c r="C197" s="146">
        <v>34000670</v>
      </c>
      <c r="D197" s="163" t="s">
        <v>536</v>
      </c>
      <c r="E197" s="160" t="s">
        <v>809</v>
      </c>
      <c r="F197" s="158"/>
    </row>
    <row r="198" spans="1:6" s="159" customFormat="1" ht="40.15" customHeight="1" x14ac:dyDescent="0.2">
      <c r="A198" s="157">
        <v>195</v>
      </c>
      <c r="B198" s="148" t="s">
        <v>582</v>
      </c>
      <c r="C198" s="146">
        <v>34000425</v>
      </c>
      <c r="D198" s="163" t="s">
        <v>583</v>
      </c>
      <c r="E198" s="160" t="s">
        <v>809</v>
      </c>
      <c r="F198" s="158"/>
    </row>
    <row r="199" spans="1:6" s="159" customFormat="1" ht="40.15" customHeight="1" x14ac:dyDescent="0.2">
      <c r="A199" s="157">
        <v>196</v>
      </c>
      <c r="B199" s="148" t="s">
        <v>584</v>
      </c>
      <c r="C199" s="146">
        <v>34000049</v>
      </c>
      <c r="D199" s="163" t="s">
        <v>585</v>
      </c>
      <c r="E199" s="160" t="s">
        <v>809</v>
      </c>
      <c r="F199" s="158"/>
    </row>
    <row r="200" spans="1:6" s="159" customFormat="1" ht="40.15" customHeight="1" x14ac:dyDescent="0.2">
      <c r="A200" s="157">
        <v>197</v>
      </c>
      <c r="B200" s="148" t="s">
        <v>586</v>
      </c>
      <c r="C200" s="146">
        <v>34000785</v>
      </c>
      <c r="D200" s="163" t="s">
        <v>587</v>
      </c>
      <c r="E200" s="160" t="s">
        <v>809</v>
      </c>
      <c r="F200" s="158"/>
    </row>
    <row r="201" spans="1:6" s="159" customFormat="1" ht="40.15" customHeight="1" x14ac:dyDescent="0.2">
      <c r="A201" s="157">
        <v>198</v>
      </c>
      <c r="B201" s="148" t="s">
        <v>588</v>
      </c>
      <c r="C201" s="146">
        <v>34000634</v>
      </c>
      <c r="D201" s="163" t="s">
        <v>589</v>
      </c>
      <c r="E201" s="160" t="s">
        <v>809</v>
      </c>
      <c r="F201" s="158"/>
    </row>
    <row r="202" spans="1:6" s="159" customFormat="1" ht="40.15" customHeight="1" x14ac:dyDescent="0.2">
      <c r="A202" s="157">
        <v>199</v>
      </c>
      <c r="B202" s="148" t="s">
        <v>590</v>
      </c>
      <c r="C202" s="146">
        <v>34000048</v>
      </c>
      <c r="D202" s="163" t="s">
        <v>591</v>
      </c>
      <c r="E202" s="160" t="s">
        <v>809</v>
      </c>
      <c r="F202" s="158"/>
    </row>
    <row r="203" spans="1:6" s="159" customFormat="1" ht="40.15" customHeight="1" x14ac:dyDescent="0.2">
      <c r="A203" s="157">
        <v>200</v>
      </c>
      <c r="B203" s="148" t="s">
        <v>592</v>
      </c>
      <c r="C203" s="146">
        <v>34000138</v>
      </c>
      <c r="D203" s="163" t="s">
        <v>593</v>
      </c>
      <c r="E203" s="160" t="s">
        <v>809</v>
      </c>
      <c r="F203" s="158"/>
    </row>
    <row r="204" spans="1:6" s="159" customFormat="1" ht="40.15" customHeight="1" x14ac:dyDescent="0.2">
      <c r="A204" s="157">
        <v>201</v>
      </c>
      <c r="B204" s="148" t="s">
        <v>594</v>
      </c>
      <c r="C204" s="146">
        <v>34000627</v>
      </c>
      <c r="D204" s="163" t="s">
        <v>595</v>
      </c>
      <c r="E204" s="160" t="s">
        <v>809</v>
      </c>
      <c r="F204" s="158"/>
    </row>
    <row r="205" spans="1:6" s="159" customFormat="1" ht="40.15" customHeight="1" x14ac:dyDescent="0.2">
      <c r="A205" s="157">
        <v>202</v>
      </c>
      <c r="B205" s="148" t="s">
        <v>596</v>
      </c>
      <c r="C205" s="146">
        <v>34000395</v>
      </c>
      <c r="D205" s="163" t="s">
        <v>597</v>
      </c>
      <c r="E205" s="160" t="s">
        <v>809</v>
      </c>
      <c r="F205" s="158"/>
    </row>
    <row r="206" spans="1:6" s="159" customFormat="1" ht="40.15" customHeight="1" x14ac:dyDescent="0.2">
      <c r="A206" s="157">
        <v>203</v>
      </c>
      <c r="B206" s="148" t="s">
        <v>598</v>
      </c>
      <c r="C206" s="146">
        <v>34000132</v>
      </c>
      <c r="D206" s="163" t="s">
        <v>599</v>
      </c>
      <c r="E206" s="160" t="s">
        <v>809</v>
      </c>
      <c r="F206" s="158"/>
    </row>
    <row r="207" spans="1:6" s="159" customFormat="1" ht="40.15" customHeight="1" x14ac:dyDescent="0.2">
      <c r="A207" s="157">
        <v>204</v>
      </c>
      <c r="B207" s="148" t="s">
        <v>600</v>
      </c>
      <c r="C207" s="146">
        <v>34000594</v>
      </c>
      <c r="D207" s="163" t="s">
        <v>601</v>
      </c>
      <c r="E207" s="160" t="s">
        <v>809</v>
      </c>
      <c r="F207" s="158"/>
    </row>
    <row r="208" spans="1:6" s="159" customFormat="1" ht="40.15" customHeight="1" x14ac:dyDescent="0.2">
      <c r="A208" s="157">
        <v>205</v>
      </c>
      <c r="B208" s="148" t="s">
        <v>602</v>
      </c>
      <c r="C208" s="146">
        <v>34000125</v>
      </c>
      <c r="D208" s="163" t="s">
        <v>603</v>
      </c>
      <c r="E208" s="160" t="s">
        <v>809</v>
      </c>
      <c r="F208" s="158"/>
    </row>
    <row r="209" spans="1:6" s="159" customFormat="1" ht="40.15" customHeight="1" x14ac:dyDescent="0.2">
      <c r="A209" s="157">
        <v>206</v>
      </c>
      <c r="B209" s="148" t="s">
        <v>604</v>
      </c>
      <c r="C209" s="146">
        <v>34000314</v>
      </c>
      <c r="D209" s="163" t="s">
        <v>605</v>
      </c>
      <c r="E209" s="160" t="s">
        <v>809</v>
      </c>
      <c r="F209" s="158"/>
    </row>
    <row r="210" spans="1:6" s="159" customFormat="1" ht="40.15" customHeight="1" x14ac:dyDescent="0.2">
      <c r="A210" s="157">
        <v>207</v>
      </c>
      <c r="B210" s="148" t="s">
        <v>606</v>
      </c>
      <c r="C210" s="146">
        <v>34000104</v>
      </c>
      <c r="D210" s="163" t="s">
        <v>607</v>
      </c>
      <c r="E210" s="160" t="s">
        <v>809</v>
      </c>
      <c r="F210" s="158"/>
    </row>
    <row r="211" spans="1:6" s="159" customFormat="1" ht="40.15" customHeight="1" x14ac:dyDescent="0.2">
      <c r="A211" s="157">
        <v>208</v>
      </c>
      <c r="B211" s="148" t="s">
        <v>628</v>
      </c>
      <c r="C211" s="146">
        <v>34000776</v>
      </c>
      <c r="D211" s="163" t="s">
        <v>614</v>
      </c>
      <c r="E211" s="160" t="s">
        <v>809</v>
      </c>
      <c r="F211" s="158"/>
    </row>
    <row r="212" spans="1:6" s="159" customFormat="1" ht="40.15" customHeight="1" x14ac:dyDescent="0.2">
      <c r="A212" s="157">
        <v>209</v>
      </c>
      <c r="B212" s="146" t="s">
        <v>629</v>
      </c>
      <c r="C212" s="146">
        <v>34000728</v>
      </c>
      <c r="D212" s="163" t="s">
        <v>616</v>
      </c>
      <c r="E212" s="160" t="s">
        <v>809</v>
      </c>
      <c r="F212" s="158"/>
    </row>
    <row r="213" spans="1:6" s="159" customFormat="1" ht="40.15" customHeight="1" x14ac:dyDescent="0.2">
      <c r="A213" s="157">
        <v>210</v>
      </c>
      <c r="B213" s="146" t="s">
        <v>630</v>
      </c>
      <c r="C213" s="146">
        <v>34000508</v>
      </c>
      <c r="D213" s="163" t="s">
        <v>631</v>
      </c>
      <c r="E213" s="160" t="s">
        <v>809</v>
      </c>
      <c r="F213" s="158"/>
    </row>
    <row r="214" spans="1:6" s="159" customFormat="1" ht="40.15" customHeight="1" x14ac:dyDescent="0.2">
      <c r="A214" s="157">
        <v>211</v>
      </c>
      <c r="B214" s="146" t="s">
        <v>632</v>
      </c>
      <c r="C214" s="146">
        <v>34000311</v>
      </c>
      <c r="D214" s="163" t="s">
        <v>633</v>
      </c>
      <c r="E214" s="160" t="s">
        <v>809</v>
      </c>
      <c r="F214" s="158"/>
    </row>
    <row r="215" spans="1:6" s="159" customFormat="1" ht="40.15" customHeight="1" x14ac:dyDescent="0.2">
      <c r="A215" s="157">
        <v>212</v>
      </c>
      <c r="B215" s="146" t="s">
        <v>634</v>
      </c>
      <c r="C215" s="146">
        <v>34000777</v>
      </c>
      <c r="D215" s="163" t="s">
        <v>615</v>
      </c>
      <c r="E215" s="160" t="s">
        <v>809</v>
      </c>
      <c r="F215" s="158"/>
    </row>
    <row r="216" spans="1:6" s="159" customFormat="1" ht="40.15" customHeight="1" x14ac:dyDescent="0.2">
      <c r="A216" s="157">
        <v>213</v>
      </c>
      <c r="B216" s="146" t="s">
        <v>635</v>
      </c>
      <c r="C216" s="146">
        <v>34000162</v>
      </c>
      <c r="D216" s="163" t="s">
        <v>636</v>
      </c>
      <c r="E216" s="160" t="s">
        <v>809</v>
      </c>
      <c r="F216" s="158"/>
    </row>
    <row r="217" spans="1:6" s="159" customFormat="1" ht="40.15" customHeight="1" x14ac:dyDescent="0.2">
      <c r="A217" s="157">
        <v>214</v>
      </c>
      <c r="B217" s="146" t="s">
        <v>637</v>
      </c>
      <c r="C217" s="146">
        <v>34000825</v>
      </c>
      <c r="D217" s="163" t="s">
        <v>638</v>
      </c>
      <c r="E217" s="160" t="s">
        <v>809</v>
      </c>
      <c r="F217" s="158"/>
    </row>
    <row r="218" spans="1:6" s="159" customFormat="1" ht="40.15" customHeight="1" x14ac:dyDescent="0.2">
      <c r="A218" s="157">
        <v>215</v>
      </c>
      <c r="B218" s="146" t="s">
        <v>639</v>
      </c>
      <c r="C218" s="146">
        <v>34000031</v>
      </c>
      <c r="D218" s="163" t="s">
        <v>640</v>
      </c>
      <c r="E218" s="160" t="s">
        <v>809</v>
      </c>
      <c r="F218" s="158"/>
    </row>
    <row r="219" spans="1:6" s="159" customFormat="1" ht="40.15" customHeight="1" x14ac:dyDescent="0.2">
      <c r="A219" s="157">
        <v>216</v>
      </c>
      <c r="B219" s="146" t="s">
        <v>641</v>
      </c>
      <c r="C219" s="146">
        <v>34000589</v>
      </c>
      <c r="D219" s="163" t="s">
        <v>642</v>
      </c>
      <c r="E219" s="160" t="s">
        <v>809</v>
      </c>
      <c r="F219" s="158"/>
    </row>
    <row r="220" spans="1:6" s="159" customFormat="1" ht="40.15" customHeight="1" x14ac:dyDescent="0.2">
      <c r="A220" s="157">
        <v>217</v>
      </c>
      <c r="B220" s="146" t="s">
        <v>643</v>
      </c>
      <c r="C220" s="146">
        <v>34000216</v>
      </c>
      <c r="D220" s="163" t="s">
        <v>644</v>
      </c>
      <c r="E220" s="160" t="s">
        <v>809</v>
      </c>
      <c r="F220" s="158"/>
    </row>
    <row r="221" spans="1:6" s="159" customFormat="1" ht="40.15" customHeight="1" x14ac:dyDescent="0.2">
      <c r="A221" s="157">
        <v>218</v>
      </c>
      <c r="B221" s="146" t="s">
        <v>645</v>
      </c>
      <c r="C221" s="146">
        <v>34000689</v>
      </c>
      <c r="D221" s="163" t="s">
        <v>646</v>
      </c>
      <c r="E221" s="160" t="s">
        <v>809</v>
      </c>
      <c r="F221" s="158"/>
    </row>
    <row r="222" spans="1:6" s="159" customFormat="1" ht="40.15" customHeight="1" x14ac:dyDescent="0.2">
      <c r="A222" s="157">
        <v>219</v>
      </c>
      <c r="B222" s="146" t="s">
        <v>647</v>
      </c>
      <c r="C222" s="146">
        <v>34000698</v>
      </c>
      <c r="D222" s="163" t="s">
        <v>648</v>
      </c>
      <c r="E222" s="160" t="s">
        <v>809</v>
      </c>
      <c r="F222" s="158"/>
    </row>
    <row r="223" spans="1:6" s="159" customFormat="1" ht="40.15" customHeight="1" x14ac:dyDescent="0.2">
      <c r="A223" s="157">
        <v>220</v>
      </c>
      <c r="B223" s="146" t="s">
        <v>649</v>
      </c>
      <c r="C223" s="146">
        <v>34000574</v>
      </c>
      <c r="D223" s="163" t="s">
        <v>650</v>
      </c>
      <c r="E223" s="160" t="s">
        <v>809</v>
      </c>
      <c r="F223" s="158"/>
    </row>
    <row r="224" spans="1:6" s="159" customFormat="1" ht="40.15" customHeight="1" x14ac:dyDescent="0.2">
      <c r="A224" s="157">
        <v>221</v>
      </c>
      <c r="B224" s="146" t="s">
        <v>651</v>
      </c>
      <c r="C224" s="146">
        <v>34000601</v>
      </c>
      <c r="D224" s="163" t="s">
        <v>652</v>
      </c>
      <c r="E224" s="160" t="s">
        <v>809</v>
      </c>
      <c r="F224" s="158"/>
    </row>
    <row r="225" spans="1:6" s="159" customFormat="1" ht="40.15" customHeight="1" x14ac:dyDescent="0.2">
      <c r="A225" s="157">
        <v>222</v>
      </c>
      <c r="B225" s="146" t="s">
        <v>653</v>
      </c>
      <c r="C225" s="146">
        <v>34000380</v>
      </c>
      <c r="D225" s="163" t="s">
        <v>654</v>
      </c>
      <c r="E225" s="160" t="s">
        <v>809</v>
      </c>
      <c r="F225" s="158"/>
    </row>
    <row r="226" spans="1:6" s="159" customFormat="1" ht="40.15" customHeight="1" x14ac:dyDescent="0.2">
      <c r="A226" s="157">
        <v>223</v>
      </c>
      <c r="B226" s="146" t="s">
        <v>655</v>
      </c>
      <c r="C226" s="146">
        <v>34000475</v>
      </c>
      <c r="D226" s="163" t="s">
        <v>656</v>
      </c>
      <c r="E226" s="160" t="s">
        <v>809</v>
      </c>
      <c r="F226" s="158"/>
    </row>
    <row r="227" spans="1:6" s="159" customFormat="1" ht="40.15" customHeight="1" x14ac:dyDescent="0.2">
      <c r="A227" s="157">
        <v>224</v>
      </c>
      <c r="B227" s="146" t="s">
        <v>657</v>
      </c>
      <c r="C227" s="146">
        <v>34000680</v>
      </c>
      <c r="D227" s="163" t="s">
        <v>617</v>
      </c>
      <c r="E227" s="160" t="s">
        <v>809</v>
      </c>
      <c r="F227" s="158"/>
    </row>
    <row r="228" spans="1:6" s="159" customFormat="1" ht="40.15" customHeight="1" x14ac:dyDescent="0.2">
      <c r="A228" s="157">
        <v>225</v>
      </c>
      <c r="B228" s="146" t="s">
        <v>658</v>
      </c>
      <c r="C228" s="146">
        <v>34000781</v>
      </c>
      <c r="D228" s="163" t="s">
        <v>659</v>
      </c>
      <c r="E228" s="160" t="s">
        <v>809</v>
      </c>
      <c r="F228" s="158"/>
    </row>
    <row r="229" spans="1:6" s="159" customFormat="1" ht="40.15" customHeight="1" x14ac:dyDescent="0.2">
      <c r="A229" s="157">
        <v>226</v>
      </c>
      <c r="B229" s="146" t="s">
        <v>660</v>
      </c>
      <c r="C229" s="146">
        <v>34000250</v>
      </c>
      <c r="D229" s="163" t="s">
        <v>661</v>
      </c>
      <c r="E229" s="160" t="s">
        <v>809</v>
      </c>
      <c r="F229" s="158"/>
    </row>
    <row r="230" spans="1:6" s="159" customFormat="1" ht="40.15" customHeight="1" x14ac:dyDescent="0.2">
      <c r="A230" s="157">
        <v>227</v>
      </c>
      <c r="B230" s="146" t="s">
        <v>662</v>
      </c>
      <c r="C230" s="146">
        <v>34000177</v>
      </c>
      <c r="D230" s="163" t="s">
        <v>663</v>
      </c>
      <c r="E230" s="160" t="s">
        <v>809</v>
      </c>
      <c r="F230" s="158"/>
    </row>
    <row r="231" spans="1:6" s="159" customFormat="1" ht="40.15" customHeight="1" x14ac:dyDescent="0.2">
      <c r="A231" s="157">
        <v>228</v>
      </c>
      <c r="B231" s="146" t="s">
        <v>664</v>
      </c>
      <c r="C231" s="146">
        <v>34000736</v>
      </c>
      <c r="D231" s="163" t="s">
        <v>665</v>
      </c>
      <c r="E231" s="160" t="s">
        <v>809</v>
      </c>
      <c r="F231" s="158"/>
    </row>
    <row r="232" spans="1:6" s="159" customFormat="1" ht="40.15" customHeight="1" x14ac:dyDescent="0.2">
      <c r="A232" s="157">
        <v>229</v>
      </c>
      <c r="B232" s="146" t="s">
        <v>666</v>
      </c>
      <c r="C232" s="146">
        <v>34000300</v>
      </c>
      <c r="D232" s="163" t="s">
        <v>667</v>
      </c>
      <c r="E232" s="160" t="s">
        <v>809</v>
      </c>
      <c r="F232" s="158"/>
    </row>
    <row r="233" spans="1:6" s="159" customFormat="1" ht="40.15" customHeight="1" x14ac:dyDescent="0.2">
      <c r="A233" s="157">
        <v>230</v>
      </c>
      <c r="B233" s="146" t="s">
        <v>668</v>
      </c>
      <c r="C233" s="146">
        <v>34000773</v>
      </c>
      <c r="D233" s="163" t="s">
        <v>669</v>
      </c>
      <c r="E233" s="160" t="s">
        <v>809</v>
      </c>
      <c r="F233" s="158"/>
    </row>
    <row r="234" spans="1:6" s="159" customFormat="1" ht="40.15" customHeight="1" x14ac:dyDescent="0.2">
      <c r="A234" s="157">
        <v>231</v>
      </c>
      <c r="B234" s="146" t="s">
        <v>670</v>
      </c>
      <c r="C234" s="146">
        <v>34000307</v>
      </c>
      <c r="D234" s="163" t="s">
        <v>671</v>
      </c>
      <c r="E234" s="160" t="s">
        <v>809</v>
      </c>
      <c r="F234" s="158"/>
    </row>
    <row r="235" spans="1:6" s="159" customFormat="1" ht="40.15" customHeight="1" x14ac:dyDescent="0.2">
      <c r="A235" s="157">
        <v>232</v>
      </c>
      <c r="B235" s="146" t="s">
        <v>672</v>
      </c>
      <c r="C235" s="146">
        <v>34000201</v>
      </c>
      <c r="D235" s="163" t="s">
        <v>673</v>
      </c>
      <c r="E235" s="160" t="s">
        <v>809</v>
      </c>
      <c r="F235" s="158"/>
    </row>
    <row r="236" spans="1:6" s="159" customFormat="1" ht="40.15" customHeight="1" x14ac:dyDescent="0.2">
      <c r="A236" s="157">
        <v>233</v>
      </c>
      <c r="B236" s="146" t="s">
        <v>674</v>
      </c>
      <c r="C236" s="146">
        <v>34000766</v>
      </c>
      <c r="D236" s="163" t="s">
        <v>675</v>
      </c>
      <c r="E236" s="160" t="s">
        <v>809</v>
      </c>
      <c r="F236" s="158"/>
    </row>
    <row r="237" spans="1:6" s="159" customFormat="1" ht="40.15" customHeight="1" x14ac:dyDescent="0.2">
      <c r="A237" s="157">
        <v>234</v>
      </c>
      <c r="B237" s="146" t="s">
        <v>676</v>
      </c>
      <c r="C237" s="146">
        <v>34000255</v>
      </c>
      <c r="D237" s="163" t="s">
        <v>677</v>
      </c>
      <c r="E237" s="160" t="s">
        <v>809</v>
      </c>
      <c r="F237" s="158"/>
    </row>
    <row r="238" spans="1:6" s="159" customFormat="1" ht="40.15" customHeight="1" x14ac:dyDescent="0.2">
      <c r="A238" s="157">
        <v>235</v>
      </c>
      <c r="B238" s="146" t="s">
        <v>678</v>
      </c>
      <c r="C238" s="146">
        <v>34000536</v>
      </c>
      <c r="D238" s="163" t="s">
        <v>679</v>
      </c>
      <c r="E238" s="160" t="s">
        <v>809</v>
      </c>
      <c r="F238" s="158"/>
    </row>
    <row r="239" spans="1:6" s="159" customFormat="1" ht="40.15" customHeight="1" x14ac:dyDescent="0.2">
      <c r="A239" s="157">
        <v>236</v>
      </c>
      <c r="B239" s="146" t="s">
        <v>680</v>
      </c>
      <c r="C239" s="146">
        <v>34000573</v>
      </c>
      <c r="D239" s="163" t="s">
        <v>681</v>
      </c>
      <c r="E239" s="160" t="s">
        <v>809</v>
      </c>
      <c r="F239" s="158"/>
    </row>
    <row r="240" spans="1:6" s="159" customFormat="1" ht="40.15" customHeight="1" x14ac:dyDescent="0.2">
      <c r="A240" s="157">
        <v>237</v>
      </c>
      <c r="B240" s="146" t="s">
        <v>682</v>
      </c>
      <c r="C240" s="146">
        <v>34000761</v>
      </c>
      <c r="D240" s="163" t="s">
        <v>683</v>
      </c>
      <c r="E240" s="160" t="s">
        <v>809</v>
      </c>
      <c r="F240" s="158"/>
    </row>
    <row r="241" spans="1:6" s="159" customFormat="1" ht="40.15" customHeight="1" x14ac:dyDescent="0.2">
      <c r="A241" s="157">
        <v>238</v>
      </c>
      <c r="B241" s="146" t="s">
        <v>684</v>
      </c>
      <c r="C241" s="147">
        <v>34000263</v>
      </c>
      <c r="D241" s="154" t="s">
        <v>200</v>
      </c>
      <c r="E241" s="160" t="s">
        <v>809</v>
      </c>
      <c r="F241" s="158"/>
    </row>
    <row r="242" spans="1:6" s="159" customFormat="1" ht="40.15" customHeight="1" x14ac:dyDescent="0.2">
      <c r="A242" s="157">
        <v>239</v>
      </c>
      <c r="B242" s="146" t="s">
        <v>685</v>
      </c>
      <c r="C242" s="147">
        <v>34000116</v>
      </c>
      <c r="D242" s="154" t="s">
        <v>321</v>
      </c>
      <c r="E242" s="160" t="s">
        <v>809</v>
      </c>
      <c r="F242" s="158"/>
    </row>
    <row r="243" spans="1:6" s="159" customFormat="1" ht="40.15" customHeight="1" x14ac:dyDescent="0.2">
      <c r="A243" s="157">
        <v>240</v>
      </c>
      <c r="B243" s="146" t="s">
        <v>686</v>
      </c>
      <c r="C243" s="146">
        <v>34000101</v>
      </c>
      <c r="D243" s="163" t="s">
        <v>687</v>
      </c>
      <c r="E243" s="160" t="s">
        <v>809</v>
      </c>
      <c r="F243" s="158"/>
    </row>
    <row r="244" spans="1:6" s="159" customFormat="1" ht="40.15" customHeight="1" x14ac:dyDescent="0.2">
      <c r="A244" s="157">
        <v>241</v>
      </c>
      <c r="B244" s="146" t="s">
        <v>688</v>
      </c>
      <c r="C244" s="146">
        <v>34000592</v>
      </c>
      <c r="D244" s="163" t="s">
        <v>689</v>
      </c>
      <c r="E244" s="160" t="s">
        <v>809</v>
      </c>
      <c r="F244" s="158"/>
    </row>
    <row r="245" spans="1:6" s="159" customFormat="1" ht="40.15" customHeight="1" x14ac:dyDescent="0.2">
      <c r="A245" s="157">
        <v>242</v>
      </c>
      <c r="B245" s="146" t="s">
        <v>690</v>
      </c>
      <c r="C245" s="146">
        <v>34000578</v>
      </c>
      <c r="D245" s="163" t="s">
        <v>691</v>
      </c>
      <c r="E245" s="160" t="s">
        <v>809</v>
      </c>
      <c r="F245" s="158"/>
    </row>
    <row r="246" spans="1:6" s="159" customFormat="1" ht="40.15" customHeight="1" x14ac:dyDescent="0.2">
      <c r="A246" s="157">
        <v>243</v>
      </c>
      <c r="B246" s="146" t="s">
        <v>726</v>
      </c>
      <c r="C246" s="146">
        <v>34000533</v>
      </c>
      <c r="D246" s="163" t="s">
        <v>727</v>
      </c>
      <c r="E246" s="160" t="s">
        <v>809</v>
      </c>
      <c r="F246" s="158"/>
    </row>
    <row r="247" spans="1:6" s="159" customFormat="1" ht="40.15" customHeight="1" x14ac:dyDescent="0.2">
      <c r="A247" s="157">
        <v>244</v>
      </c>
      <c r="B247" s="146" t="s">
        <v>728</v>
      </c>
      <c r="C247" s="146">
        <v>34000862</v>
      </c>
      <c r="D247" s="163" t="s">
        <v>729</v>
      </c>
      <c r="E247" s="160" t="s">
        <v>809</v>
      </c>
      <c r="F247" s="158"/>
    </row>
    <row r="248" spans="1:6" s="159" customFormat="1" ht="40.15" customHeight="1" x14ac:dyDescent="0.2">
      <c r="A248" s="157">
        <v>245</v>
      </c>
      <c r="B248" s="146" t="s">
        <v>730</v>
      </c>
      <c r="C248" s="146">
        <v>34000071</v>
      </c>
      <c r="D248" s="163" t="s">
        <v>731</v>
      </c>
      <c r="E248" s="160" t="s">
        <v>809</v>
      </c>
      <c r="F248" s="158"/>
    </row>
    <row r="249" spans="1:6" s="159" customFormat="1" ht="40.15" customHeight="1" x14ac:dyDescent="0.2">
      <c r="A249" s="157">
        <v>246</v>
      </c>
      <c r="B249" s="146" t="s">
        <v>732</v>
      </c>
      <c r="C249" s="146">
        <v>34000515</v>
      </c>
      <c r="D249" s="163" t="s">
        <v>733</v>
      </c>
      <c r="E249" s="160" t="s">
        <v>809</v>
      </c>
      <c r="F249" s="158"/>
    </row>
    <row r="250" spans="1:6" s="159" customFormat="1" ht="40.15" customHeight="1" x14ac:dyDescent="0.2">
      <c r="A250" s="157">
        <v>247</v>
      </c>
      <c r="B250" s="146" t="s">
        <v>734</v>
      </c>
      <c r="C250" s="146">
        <v>34000372</v>
      </c>
      <c r="D250" s="163" t="s">
        <v>735</v>
      </c>
      <c r="E250" s="160" t="s">
        <v>809</v>
      </c>
      <c r="F250" s="158"/>
    </row>
    <row r="251" spans="1:6" s="159" customFormat="1" ht="40.15" customHeight="1" x14ac:dyDescent="0.2">
      <c r="A251" s="157">
        <v>248</v>
      </c>
      <c r="B251" s="146" t="s">
        <v>736</v>
      </c>
      <c r="C251" s="146">
        <v>34000645</v>
      </c>
      <c r="D251" s="163" t="s">
        <v>737</v>
      </c>
      <c r="E251" s="160" t="s">
        <v>809</v>
      </c>
      <c r="F251" s="158"/>
    </row>
    <row r="252" spans="1:6" s="159" customFormat="1" ht="40.15" customHeight="1" x14ac:dyDescent="0.2">
      <c r="A252" s="157">
        <v>249</v>
      </c>
      <c r="B252" s="146" t="s">
        <v>738</v>
      </c>
      <c r="C252" s="146">
        <v>34000413</v>
      </c>
      <c r="D252" s="163" t="s">
        <v>739</v>
      </c>
      <c r="E252" s="160" t="s">
        <v>809</v>
      </c>
      <c r="F252" s="158"/>
    </row>
    <row r="253" spans="1:6" s="159" customFormat="1" ht="40.15" customHeight="1" x14ac:dyDescent="0.2">
      <c r="A253" s="157">
        <v>250</v>
      </c>
      <c r="B253" s="146" t="s">
        <v>740</v>
      </c>
      <c r="C253" s="146">
        <v>34000401</v>
      </c>
      <c r="D253" s="163" t="s">
        <v>741</v>
      </c>
      <c r="E253" s="160" t="s">
        <v>809</v>
      </c>
      <c r="F253" s="158"/>
    </row>
    <row r="254" spans="1:6" s="159" customFormat="1" ht="40.15" customHeight="1" x14ac:dyDescent="0.2">
      <c r="A254" s="157">
        <v>251</v>
      </c>
      <c r="B254" s="146" t="s">
        <v>742</v>
      </c>
      <c r="C254" s="146">
        <v>34000500</v>
      </c>
      <c r="D254" s="163" t="s">
        <v>743</v>
      </c>
      <c r="E254" s="160" t="s">
        <v>809</v>
      </c>
      <c r="F254" s="158"/>
    </row>
    <row r="255" spans="1:6" s="159" customFormat="1" ht="40.15" customHeight="1" x14ac:dyDescent="0.2">
      <c r="A255" s="157">
        <v>252</v>
      </c>
      <c r="B255" s="146" t="s">
        <v>744</v>
      </c>
      <c r="C255" s="146">
        <v>34000418</v>
      </c>
      <c r="D255" s="163" t="s">
        <v>745</v>
      </c>
      <c r="E255" s="160" t="s">
        <v>809</v>
      </c>
      <c r="F255" s="158"/>
    </row>
    <row r="256" spans="1:6" s="159" customFormat="1" ht="40.15" customHeight="1" x14ac:dyDescent="0.2">
      <c r="A256" s="157">
        <v>253</v>
      </c>
      <c r="B256" s="146" t="s">
        <v>746</v>
      </c>
      <c r="C256" s="146">
        <v>34000479</v>
      </c>
      <c r="D256" s="163" t="s">
        <v>747</v>
      </c>
      <c r="E256" s="160" t="s">
        <v>809</v>
      </c>
      <c r="F256" s="158"/>
    </row>
    <row r="257" spans="1:6" s="159" customFormat="1" ht="40.15" customHeight="1" x14ac:dyDescent="0.2">
      <c r="A257" s="157">
        <v>254</v>
      </c>
      <c r="B257" s="146" t="s">
        <v>748</v>
      </c>
      <c r="C257" s="146">
        <v>34000238</v>
      </c>
      <c r="D257" s="163" t="s">
        <v>749</v>
      </c>
      <c r="E257" s="160" t="s">
        <v>809</v>
      </c>
      <c r="F257" s="157"/>
    </row>
    <row r="258" spans="1:6" s="159" customFormat="1" ht="40.15" customHeight="1" x14ac:dyDescent="0.2">
      <c r="A258" s="157">
        <v>255</v>
      </c>
      <c r="B258" s="146" t="s">
        <v>750</v>
      </c>
      <c r="C258" s="146">
        <v>34000143</v>
      </c>
      <c r="D258" s="163" t="s">
        <v>751</v>
      </c>
      <c r="E258" s="160" t="s">
        <v>809</v>
      </c>
      <c r="F258" s="157"/>
    </row>
    <row r="259" spans="1:6" s="159" customFormat="1" ht="40.15" customHeight="1" x14ac:dyDescent="0.2">
      <c r="A259" s="157">
        <v>256</v>
      </c>
      <c r="B259" s="146" t="s">
        <v>752</v>
      </c>
      <c r="C259" s="146">
        <v>34000787</v>
      </c>
      <c r="D259" s="163" t="s">
        <v>753</v>
      </c>
      <c r="E259" s="160" t="s">
        <v>809</v>
      </c>
      <c r="F259" s="157"/>
    </row>
    <row r="260" spans="1:6" s="159" customFormat="1" ht="40.15" customHeight="1" x14ac:dyDescent="0.2">
      <c r="A260" s="157">
        <v>257</v>
      </c>
      <c r="B260" s="146" t="s">
        <v>754</v>
      </c>
      <c r="C260" s="146">
        <v>34000658</v>
      </c>
      <c r="D260" s="163" t="s">
        <v>755</v>
      </c>
      <c r="E260" s="160" t="s">
        <v>809</v>
      </c>
      <c r="F260" s="157"/>
    </row>
    <row r="261" spans="1:6" s="159" customFormat="1" ht="40.15" customHeight="1" x14ac:dyDescent="0.2">
      <c r="A261" s="157">
        <v>258</v>
      </c>
      <c r="B261" s="146" t="s">
        <v>756</v>
      </c>
      <c r="C261" s="146">
        <v>34000755</v>
      </c>
      <c r="D261" s="163" t="s">
        <v>757</v>
      </c>
      <c r="E261" s="160" t="s">
        <v>809</v>
      </c>
      <c r="F261" s="157"/>
    </row>
    <row r="262" spans="1:6" s="159" customFormat="1" ht="40.15" customHeight="1" x14ac:dyDescent="0.2">
      <c r="A262" s="157">
        <v>259</v>
      </c>
      <c r="B262" s="146" t="s">
        <v>758</v>
      </c>
      <c r="C262" s="146">
        <v>34000030</v>
      </c>
      <c r="D262" s="163" t="s">
        <v>759</v>
      </c>
      <c r="E262" s="160" t="s">
        <v>809</v>
      </c>
      <c r="F262" s="157"/>
    </row>
    <row r="263" spans="1:6" s="159" customFormat="1" ht="40.15" customHeight="1" x14ac:dyDescent="0.2">
      <c r="A263" s="157">
        <v>260</v>
      </c>
      <c r="B263" s="146" t="s">
        <v>760</v>
      </c>
      <c r="C263" s="146">
        <v>34000440</v>
      </c>
      <c r="D263" s="163" t="s">
        <v>761</v>
      </c>
      <c r="E263" s="160" t="s">
        <v>809</v>
      </c>
      <c r="F263" s="157"/>
    </row>
    <row r="264" spans="1:6" s="159" customFormat="1" ht="40.15" customHeight="1" x14ac:dyDescent="0.2">
      <c r="A264" s="157">
        <v>261</v>
      </c>
      <c r="B264" s="146" t="s">
        <v>762</v>
      </c>
      <c r="C264" s="146">
        <v>34000332</v>
      </c>
      <c r="D264" s="163" t="s">
        <v>763</v>
      </c>
      <c r="E264" s="160" t="s">
        <v>809</v>
      </c>
      <c r="F264" s="157"/>
    </row>
    <row r="265" spans="1:6" s="159" customFormat="1" ht="40.15" customHeight="1" x14ac:dyDescent="0.2">
      <c r="A265" s="157">
        <v>262</v>
      </c>
      <c r="B265" s="146" t="s">
        <v>764</v>
      </c>
      <c r="C265" s="146">
        <v>34000617</v>
      </c>
      <c r="D265" s="163" t="s">
        <v>765</v>
      </c>
      <c r="E265" s="160" t="s">
        <v>809</v>
      </c>
      <c r="F265" s="157"/>
    </row>
    <row r="266" spans="1:6" s="159" customFormat="1" ht="40.15" customHeight="1" x14ac:dyDescent="0.2">
      <c r="A266" s="157">
        <v>263</v>
      </c>
      <c r="B266" s="146" t="s">
        <v>766</v>
      </c>
      <c r="C266" s="146">
        <v>34000383</v>
      </c>
      <c r="D266" s="163" t="s">
        <v>767</v>
      </c>
      <c r="E266" s="160" t="s">
        <v>809</v>
      </c>
      <c r="F266" s="157"/>
    </row>
    <row r="267" spans="1:6" s="159" customFormat="1" ht="40.15" customHeight="1" x14ac:dyDescent="0.2">
      <c r="A267" s="157">
        <v>264</v>
      </c>
      <c r="B267" s="146" t="s">
        <v>768</v>
      </c>
      <c r="C267" s="146">
        <v>34000889</v>
      </c>
      <c r="D267" s="163" t="s">
        <v>769</v>
      </c>
      <c r="E267" s="160" t="s">
        <v>809</v>
      </c>
      <c r="F267" s="157"/>
    </row>
    <row r="268" spans="1:6" s="159" customFormat="1" ht="40.15" customHeight="1" x14ac:dyDescent="0.2">
      <c r="A268" s="157">
        <v>265</v>
      </c>
      <c r="B268" s="146" t="s">
        <v>770</v>
      </c>
      <c r="C268" s="146">
        <v>34000335</v>
      </c>
      <c r="D268" s="163" t="s">
        <v>771</v>
      </c>
      <c r="E268" s="160" t="s">
        <v>809</v>
      </c>
      <c r="F268" s="157"/>
    </row>
    <row r="269" spans="1:6" s="159" customFormat="1" ht="40.15" customHeight="1" x14ac:dyDescent="0.2">
      <c r="A269" s="157">
        <v>266</v>
      </c>
      <c r="B269" s="146" t="s">
        <v>772</v>
      </c>
      <c r="C269" s="146">
        <v>34000094</v>
      </c>
      <c r="D269" s="163" t="s">
        <v>773</v>
      </c>
      <c r="E269" s="160" t="s">
        <v>809</v>
      </c>
      <c r="F269" s="157"/>
    </row>
    <row r="270" spans="1:6" s="159" customFormat="1" ht="40.15" customHeight="1" x14ac:dyDescent="0.2">
      <c r="A270" s="157">
        <v>267</v>
      </c>
      <c r="B270" s="146" t="s">
        <v>774</v>
      </c>
      <c r="C270" s="146">
        <v>34000023</v>
      </c>
      <c r="D270" s="163" t="s">
        <v>697</v>
      </c>
      <c r="E270" s="160" t="s">
        <v>809</v>
      </c>
      <c r="F270" s="157"/>
    </row>
    <row r="271" spans="1:6" s="159" customFormat="1" ht="40.15" customHeight="1" x14ac:dyDescent="0.2">
      <c r="A271" s="157">
        <v>268</v>
      </c>
      <c r="B271" s="146" t="s">
        <v>775</v>
      </c>
      <c r="C271" s="146">
        <v>34000938</v>
      </c>
      <c r="D271" s="163" t="s">
        <v>776</v>
      </c>
      <c r="E271" s="160" t="s">
        <v>809</v>
      </c>
      <c r="F271" s="157"/>
    </row>
    <row r="272" spans="1:6" s="159" customFormat="1" ht="40.15" customHeight="1" x14ac:dyDescent="0.2">
      <c r="A272" s="157">
        <v>269</v>
      </c>
      <c r="B272" s="146" t="s">
        <v>777</v>
      </c>
      <c r="C272" s="146">
        <v>34000965</v>
      </c>
      <c r="D272" s="163" t="s">
        <v>778</v>
      </c>
      <c r="E272" s="160" t="s">
        <v>809</v>
      </c>
      <c r="F272" s="157"/>
    </row>
    <row r="273" spans="1:6" s="159" customFormat="1" ht="40.15" customHeight="1" x14ac:dyDescent="0.2">
      <c r="A273" s="157">
        <v>270</v>
      </c>
      <c r="B273" s="146" t="s">
        <v>779</v>
      </c>
      <c r="C273" s="146">
        <v>34000860</v>
      </c>
      <c r="D273" s="163" t="s">
        <v>780</v>
      </c>
      <c r="E273" s="160" t="s">
        <v>809</v>
      </c>
      <c r="F273" s="157"/>
    </row>
    <row r="274" spans="1:6" s="159" customFormat="1" ht="40.15" customHeight="1" x14ac:dyDescent="0.2">
      <c r="A274" s="157">
        <v>271</v>
      </c>
      <c r="B274" s="146" t="s">
        <v>781</v>
      </c>
      <c r="C274" s="146">
        <v>34000410</v>
      </c>
      <c r="D274" s="163" t="s">
        <v>782</v>
      </c>
      <c r="E274" s="160" t="s">
        <v>809</v>
      </c>
      <c r="F274" s="157"/>
    </row>
    <row r="275" spans="1:6" s="159" customFormat="1" ht="40.15" customHeight="1" x14ac:dyDescent="0.2">
      <c r="A275" s="157">
        <v>272</v>
      </c>
      <c r="B275" s="146" t="s">
        <v>783</v>
      </c>
      <c r="C275" s="146">
        <v>34000010</v>
      </c>
      <c r="D275" s="163" t="s">
        <v>784</v>
      </c>
      <c r="E275" s="160" t="s">
        <v>809</v>
      </c>
      <c r="F275" s="157"/>
    </row>
    <row r="276" spans="1:6" s="159" customFormat="1" ht="40.15" customHeight="1" x14ac:dyDescent="0.2">
      <c r="A276" s="157">
        <v>273</v>
      </c>
      <c r="B276" s="146" t="s">
        <v>785</v>
      </c>
      <c r="C276" s="146">
        <v>34000014</v>
      </c>
      <c r="D276" s="163" t="s">
        <v>698</v>
      </c>
      <c r="E276" s="160" t="s">
        <v>809</v>
      </c>
      <c r="F276" s="157"/>
    </row>
    <row r="277" spans="1:6" s="159" customFormat="1" ht="40.15" customHeight="1" x14ac:dyDescent="0.2">
      <c r="A277" s="157">
        <v>274</v>
      </c>
      <c r="B277" s="146" t="s">
        <v>786</v>
      </c>
      <c r="C277" s="146">
        <v>34000528</v>
      </c>
      <c r="D277" s="163" t="s">
        <v>787</v>
      </c>
      <c r="E277" s="160" t="s">
        <v>809</v>
      </c>
      <c r="F277" s="157"/>
    </row>
    <row r="278" spans="1:6" s="159" customFormat="1" ht="40.15" customHeight="1" x14ac:dyDescent="0.2">
      <c r="A278" s="157">
        <v>275</v>
      </c>
      <c r="B278" s="146" t="s">
        <v>788</v>
      </c>
      <c r="C278" s="146">
        <v>34000895</v>
      </c>
      <c r="D278" s="163" t="s">
        <v>789</v>
      </c>
      <c r="E278" s="160" t="s">
        <v>809</v>
      </c>
      <c r="F278" s="157"/>
    </row>
    <row r="279" spans="1:6" s="159" customFormat="1" ht="40.15" customHeight="1" x14ac:dyDescent="0.2">
      <c r="A279" s="157">
        <v>276</v>
      </c>
      <c r="B279" s="146" t="s">
        <v>790</v>
      </c>
      <c r="C279" s="146">
        <v>34000902</v>
      </c>
      <c r="D279" s="163" t="s">
        <v>791</v>
      </c>
      <c r="E279" s="160" t="s">
        <v>809</v>
      </c>
      <c r="F279" s="157"/>
    </row>
    <row r="280" spans="1:6" s="159" customFormat="1" ht="40.15" customHeight="1" x14ac:dyDescent="0.2">
      <c r="A280" s="157">
        <v>277</v>
      </c>
      <c r="B280" s="146" t="s">
        <v>792</v>
      </c>
      <c r="C280" s="146">
        <v>34000808</v>
      </c>
      <c r="D280" s="163" t="s">
        <v>793</v>
      </c>
      <c r="E280" s="160" t="s">
        <v>809</v>
      </c>
      <c r="F280" s="157"/>
    </row>
    <row r="281" spans="1:6" s="159" customFormat="1" ht="40.15" customHeight="1" x14ac:dyDescent="0.2">
      <c r="A281" s="157">
        <v>278</v>
      </c>
      <c r="B281" s="146" t="s">
        <v>794</v>
      </c>
      <c r="C281" s="146">
        <v>34000898</v>
      </c>
      <c r="D281" s="163" t="s">
        <v>795</v>
      </c>
      <c r="E281" s="160" t="s">
        <v>809</v>
      </c>
      <c r="F281" s="157"/>
    </row>
    <row r="282" spans="1:6" s="159" customFormat="1" ht="40.15" customHeight="1" x14ac:dyDescent="0.2">
      <c r="A282" s="157">
        <v>279</v>
      </c>
      <c r="B282" s="146" t="s">
        <v>796</v>
      </c>
      <c r="C282" s="146">
        <v>34000473</v>
      </c>
      <c r="D282" s="163" t="s">
        <v>797</v>
      </c>
      <c r="E282" s="160" t="s">
        <v>809</v>
      </c>
      <c r="F282" s="157"/>
    </row>
    <row r="283" spans="1:6" s="159" customFormat="1" ht="40.15" customHeight="1" x14ac:dyDescent="0.2">
      <c r="A283" s="157">
        <v>280</v>
      </c>
      <c r="B283" s="146" t="s">
        <v>810</v>
      </c>
      <c r="C283" s="146">
        <v>34000159</v>
      </c>
      <c r="D283" s="163" t="s">
        <v>811</v>
      </c>
      <c r="E283" s="160" t="s">
        <v>809</v>
      </c>
      <c r="F283" s="157"/>
    </row>
    <row r="284" spans="1:6" s="159" customFormat="1" ht="40.15" customHeight="1" x14ac:dyDescent="0.2">
      <c r="A284" s="157">
        <v>281</v>
      </c>
      <c r="B284" s="146" t="s">
        <v>812</v>
      </c>
      <c r="C284" s="146">
        <v>34000770</v>
      </c>
      <c r="D284" s="163" t="s">
        <v>813</v>
      </c>
      <c r="E284" s="160" t="s">
        <v>809</v>
      </c>
      <c r="F284" s="157"/>
    </row>
    <row r="285" spans="1:6" ht="18" x14ac:dyDescent="0.25">
      <c r="A285" s="382" t="s">
        <v>828</v>
      </c>
      <c r="B285" s="382"/>
      <c r="C285" s="382"/>
      <c r="D285" s="382"/>
      <c r="E285" s="382"/>
      <c r="F285" s="382"/>
    </row>
    <row r="287" spans="1:6" s="156" customFormat="1" ht="29.45" customHeight="1" x14ac:dyDescent="0.25">
      <c r="A287" s="149" t="s">
        <v>122</v>
      </c>
      <c r="B287" s="150" t="s">
        <v>123</v>
      </c>
      <c r="C287" s="150" t="s">
        <v>124</v>
      </c>
      <c r="D287" s="151" t="s">
        <v>125</v>
      </c>
      <c r="E287" s="151" t="s">
        <v>808</v>
      </c>
      <c r="F287" s="151" t="s">
        <v>807</v>
      </c>
    </row>
    <row r="288" spans="1:6" s="159" customFormat="1" ht="40.15" customHeight="1" x14ac:dyDescent="0.2">
      <c r="A288" s="157">
        <v>282</v>
      </c>
      <c r="B288" s="146" t="s">
        <v>126</v>
      </c>
      <c r="C288" s="147">
        <v>34000095</v>
      </c>
      <c r="D288" s="154" t="s">
        <v>127</v>
      </c>
      <c r="E288" s="162" t="s">
        <v>814</v>
      </c>
      <c r="F288" s="157"/>
    </row>
    <row r="289" spans="1:6" s="159" customFormat="1" ht="40.15" customHeight="1" x14ac:dyDescent="0.2">
      <c r="A289" s="157">
        <v>283</v>
      </c>
      <c r="B289" s="146" t="s">
        <v>136</v>
      </c>
      <c r="C289" s="147">
        <v>34000215</v>
      </c>
      <c r="D289" s="154" t="s">
        <v>137</v>
      </c>
      <c r="E289" s="162" t="s">
        <v>814</v>
      </c>
      <c r="F289" s="157"/>
    </row>
    <row r="290" spans="1:6" s="159" customFormat="1" ht="40.15" customHeight="1" x14ac:dyDescent="0.2">
      <c r="A290" s="157">
        <v>284</v>
      </c>
      <c r="B290" s="146" t="s">
        <v>209</v>
      </c>
      <c r="C290" s="147">
        <v>34000112</v>
      </c>
      <c r="D290" s="154" t="s">
        <v>210</v>
      </c>
      <c r="E290" s="162" t="s">
        <v>814</v>
      </c>
      <c r="F290" s="157"/>
    </row>
    <row r="291" spans="1:6" s="159" customFormat="1" ht="40.15" customHeight="1" x14ac:dyDescent="0.2">
      <c r="A291" s="157">
        <v>285</v>
      </c>
      <c r="B291" s="146" t="s">
        <v>263</v>
      </c>
      <c r="C291" s="147">
        <v>34000303</v>
      </c>
      <c r="D291" s="154" t="s">
        <v>264</v>
      </c>
      <c r="E291" s="162" t="s">
        <v>814</v>
      </c>
      <c r="F291" s="157"/>
    </row>
    <row r="292" spans="1:6" s="159" customFormat="1" ht="40.15" customHeight="1" x14ac:dyDescent="0.2">
      <c r="A292" s="157">
        <v>286</v>
      </c>
      <c r="B292" s="146" t="s">
        <v>312</v>
      </c>
      <c r="C292" s="147">
        <v>34000221</v>
      </c>
      <c r="D292" s="154" t="s">
        <v>313</v>
      </c>
      <c r="E292" s="162" t="s">
        <v>814</v>
      </c>
      <c r="F292" s="157"/>
    </row>
    <row r="293" spans="1:6" s="159" customFormat="1" ht="40.15" customHeight="1" x14ac:dyDescent="0.2">
      <c r="A293" s="157">
        <v>287</v>
      </c>
      <c r="B293" s="146" t="s">
        <v>356</v>
      </c>
      <c r="C293" s="147">
        <v>34000850</v>
      </c>
      <c r="D293" s="154" t="s">
        <v>357</v>
      </c>
      <c r="E293" s="162" t="s">
        <v>814</v>
      </c>
      <c r="F293" s="157"/>
    </row>
    <row r="294" spans="1:6" s="159" customFormat="1" ht="40.15" customHeight="1" x14ac:dyDescent="0.2">
      <c r="A294" s="157">
        <v>288</v>
      </c>
      <c r="B294" s="146" t="s">
        <v>460</v>
      </c>
      <c r="C294" s="146">
        <v>34000337</v>
      </c>
      <c r="D294" s="163" t="s">
        <v>238</v>
      </c>
      <c r="E294" s="162" t="s">
        <v>814</v>
      </c>
      <c r="F294" s="157"/>
    </row>
    <row r="295" spans="1:6" s="159" customFormat="1" ht="40.15" customHeight="1" x14ac:dyDescent="0.2">
      <c r="A295" s="157">
        <v>289</v>
      </c>
      <c r="B295" s="146" t="s">
        <v>635</v>
      </c>
      <c r="C295" s="146">
        <v>34000162</v>
      </c>
      <c r="D295" s="163" t="s">
        <v>636</v>
      </c>
      <c r="E295" s="162" t="s">
        <v>814</v>
      </c>
      <c r="F295" s="157"/>
    </row>
    <row r="296" spans="1:6" s="159" customFormat="1" ht="40.15" customHeight="1" x14ac:dyDescent="0.2">
      <c r="A296" s="157">
        <v>290</v>
      </c>
      <c r="B296" s="146" t="s">
        <v>420</v>
      </c>
      <c r="C296" s="147">
        <v>34000264</v>
      </c>
      <c r="D296" s="154" t="s">
        <v>421</v>
      </c>
      <c r="E296" s="162" t="s">
        <v>814</v>
      </c>
      <c r="F296" s="157"/>
    </row>
    <row r="297" spans="1:6" s="159" customFormat="1" ht="40.15" customHeight="1" x14ac:dyDescent="0.2">
      <c r="A297" s="157">
        <v>291</v>
      </c>
      <c r="B297" s="146" t="s">
        <v>647</v>
      </c>
      <c r="C297" s="146">
        <v>34000698</v>
      </c>
      <c r="D297" s="163" t="s">
        <v>648</v>
      </c>
      <c r="E297" s="162" t="s">
        <v>814</v>
      </c>
      <c r="F297" s="157"/>
    </row>
    <row r="298" spans="1:6" s="159" customFormat="1" ht="40.15" customHeight="1" x14ac:dyDescent="0.2">
      <c r="A298" s="157">
        <v>292</v>
      </c>
      <c r="B298" s="148"/>
      <c r="C298" s="146"/>
      <c r="D298" s="163" t="s">
        <v>823</v>
      </c>
      <c r="E298" s="160" t="s">
        <v>825</v>
      </c>
      <c r="F298" s="157"/>
    </row>
    <row r="299" spans="1:6" s="159" customFormat="1" ht="40.15" customHeight="1" x14ac:dyDescent="0.2">
      <c r="A299" s="157">
        <v>293</v>
      </c>
      <c r="B299" s="146"/>
      <c r="C299" s="146"/>
      <c r="D299" s="163" t="s">
        <v>824</v>
      </c>
      <c r="E299" s="160" t="s">
        <v>825</v>
      </c>
      <c r="F299" s="157"/>
    </row>
    <row r="300" spans="1:6" ht="18" x14ac:dyDescent="0.25">
      <c r="A300" s="382" t="s">
        <v>829</v>
      </c>
      <c r="B300" s="382"/>
      <c r="C300" s="382"/>
      <c r="D300" s="382"/>
      <c r="E300" s="382"/>
      <c r="F300" s="382"/>
    </row>
    <row r="302" spans="1:6" s="156" customFormat="1" ht="29.45" customHeight="1" x14ac:dyDescent="0.25">
      <c r="A302" s="149" t="s">
        <v>122</v>
      </c>
      <c r="B302" s="150" t="s">
        <v>123</v>
      </c>
      <c r="C302" s="150" t="s">
        <v>124</v>
      </c>
      <c r="D302" s="151" t="s">
        <v>125</v>
      </c>
      <c r="E302" s="151" t="s">
        <v>808</v>
      </c>
      <c r="F302" s="151" t="s">
        <v>807</v>
      </c>
    </row>
    <row r="303" spans="1:6" s="159" customFormat="1" ht="40.15" customHeight="1" x14ac:dyDescent="0.2">
      <c r="A303" s="157">
        <v>294</v>
      </c>
      <c r="B303" s="148" t="s">
        <v>604</v>
      </c>
      <c r="C303" s="146">
        <v>34000314</v>
      </c>
      <c r="D303" s="163" t="s">
        <v>605</v>
      </c>
      <c r="E303" s="160" t="s">
        <v>815</v>
      </c>
      <c r="F303" s="157"/>
    </row>
    <row r="304" spans="1:6" s="159" customFormat="1" ht="40.15" customHeight="1" x14ac:dyDescent="0.2">
      <c r="A304" s="157">
        <v>295</v>
      </c>
      <c r="B304" s="146" t="s">
        <v>211</v>
      </c>
      <c r="C304" s="147">
        <v>34000359</v>
      </c>
      <c r="D304" s="154" t="s">
        <v>212</v>
      </c>
      <c r="E304" s="160" t="s">
        <v>815</v>
      </c>
      <c r="F304" s="157"/>
    </row>
    <row r="305" spans="1:6" s="159" customFormat="1" ht="40.15" customHeight="1" x14ac:dyDescent="0.2">
      <c r="A305" s="157">
        <v>296</v>
      </c>
      <c r="B305" s="148" t="s">
        <v>581</v>
      </c>
      <c r="C305" s="146">
        <v>34000670</v>
      </c>
      <c r="D305" s="163" t="s">
        <v>536</v>
      </c>
      <c r="E305" s="160" t="s">
        <v>815</v>
      </c>
      <c r="F305" s="157"/>
    </row>
    <row r="306" spans="1:6" s="159" customFormat="1" ht="40.15" customHeight="1" x14ac:dyDescent="0.2">
      <c r="A306" s="157">
        <v>297</v>
      </c>
      <c r="B306" s="146" t="s">
        <v>183</v>
      </c>
      <c r="C306" s="147">
        <v>34000370</v>
      </c>
      <c r="D306" s="155" t="s">
        <v>184</v>
      </c>
      <c r="E306" s="160" t="s">
        <v>815</v>
      </c>
      <c r="F306" s="157"/>
    </row>
    <row r="307" spans="1:6" s="159" customFormat="1" ht="40.15" customHeight="1" x14ac:dyDescent="0.2">
      <c r="A307" s="157">
        <v>298</v>
      </c>
      <c r="B307" s="146" t="s">
        <v>263</v>
      </c>
      <c r="C307" s="147">
        <v>34000303</v>
      </c>
      <c r="D307" s="154" t="s">
        <v>264</v>
      </c>
      <c r="E307" s="160" t="s">
        <v>815</v>
      </c>
      <c r="F307" s="157"/>
    </row>
    <row r="308" spans="1:6" s="159" customFormat="1" ht="40.15" customHeight="1" x14ac:dyDescent="0.2">
      <c r="A308" s="157">
        <v>299</v>
      </c>
      <c r="B308" s="146" t="s">
        <v>460</v>
      </c>
      <c r="C308" s="146">
        <v>34000337</v>
      </c>
      <c r="D308" s="163" t="s">
        <v>238</v>
      </c>
      <c r="E308" s="160" t="s">
        <v>815</v>
      </c>
      <c r="F308" s="157"/>
    </row>
    <row r="309" spans="1:6" s="159" customFormat="1" ht="40.15" customHeight="1" x14ac:dyDescent="0.2">
      <c r="A309" s="157">
        <v>300</v>
      </c>
      <c r="B309" s="146" t="s">
        <v>420</v>
      </c>
      <c r="C309" s="147">
        <v>34000264</v>
      </c>
      <c r="D309" s="154" t="s">
        <v>421</v>
      </c>
      <c r="E309" s="160" t="s">
        <v>815</v>
      </c>
      <c r="F309" s="157"/>
    </row>
    <row r="310" spans="1:6" s="159" customFormat="1" ht="40.15" customHeight="1" x14ac:dyDescent="0.2">
      <c r="A310" s="157">
        <v>301</v>
      </c>
      <c r="B310" s="148" t="s">
        <v>563</v>
      </c>
      <c r="C310" s="146">
        <v>34000129</v>
      </c>
      <c r="D310" s="163" t="s">
        <v>564</v>
      </c>
      <c r="E310" s="160" t="s">
        <v>815</v>
      </c>
      <c r="F310" s="157"/>
    </row>
    <row r="311" spans="1:6" s="159" customFormat="1" ht="40.15" customHeight="1" x14ac:dyDescent="0.2">
      <c r="A311" s="157">
        <v>302</v>
      </c>
      <c r="B311" s="146" t="s">
        <v>185</v>
      </c>
      <c r="C311" s="147">
        <v>34000517</v>
      </c>
      <c r="D311" s="155" t="s">
        <v>186</v>
      </c>
      <c r="E311" s="160" t="s">
        <v>815</v>
      </c>
      <c r="F311" s="157"/>
    </row>
    <row r="312" spans="1:6" s="159" customFormat="1" ht="40.15" customHeight="1" x14ac:dyDescent="0.2">
      <c r="A312" s="157">
        <v>303</v>
      </c>
      <c r="B312" s="148" t="s">
        <v>594</v>
      </c>
      <c r="C312" s="146">
        <v>34000627</v>
      </c>
      <c r="D312" s="163" t="s">
        <v>595</v>
      </c>
      <c r="E312" s="160" t="s">
        <v>815</v>
      </c>
      <c r="F312" s="157"/>
    </row>
    <row r="313" spans="1:6" s="159" customFormat="1" ht="40.15" customHeight="1" x14ac:dyDescent="0.2">
      <c r="A313" s="157"/>
      <c r="B313" s="148"/>
      <c r="C313" s="146"/>
      <c r="D313" s="163"/>
      <c r="E313" s="160"/>
      <c r="F313" s="157"/>
    </row>
    <row r="314" spans="1:6" s="159" customFormat="1" ht="40.15" customHeight="1" x14ac:dyDescent="0.2">
      <c r="A314" s="157">
        <v>303</v>
      </c>
      <c r="B314" s="148"/>
      <c r="C314" s="146"/>
      <c r="D314" s="163" t="s">
        <v>816</v>
      </c>
      <c r="E314" s="160"/>
      <c r="F314" s="157"/>
    </row>
    <row r="315" spans="1:6" s="159" customFormat="1" ht="40.15" customHeight="1" x14ac:dyDescent="0.2">
      <c r="A315" s="157">
        <v>304</v>
      </c>
      <c r="B315" s="148"/>
      <c r="C315" s="146"/>
      <c r="D315" s="163" t="s">
        <v>817</v>
      </c>
      <c r="E315" s="160"/>
      <c r="F315" s="157"/>
    </row>
    <row r="316" spans="1:6" s="159" customFormat="1" ht="40.15" customHeight="1" x14ac:dyDescent="0.2">
      <c r="A316" s="157">
        <v>305</v>
      </c>
      <c r="B316" s="148"/>
      <c r="C316" s="146"/>
      <c r="D316" s="163" t="s">
        <v>818</v>
      </c>
      <c r="E316" s="160"/>
      <c r="F316" s="157"/>
    </row>
    <row r="317" spans="1:6" s="159" customFormat="1" ht="40.15" customHeight="1" x14ac:dyDescent="0.2">
      <c r="A317" s="157">
        <v>306</v>
      </c>
      <c r="B317" s="148"/>
      <c r="C317" s="146"/>
      <c r="D317" s="163" t="s">
        <v>819</v>
      </c>
      <c r="E317" s="160"/>
      <c r="F317" s="157"/>
    </row>
    <row r="318" spans="1:6" s="159" customFormat="1" ht="40.15" customHeight="1" x14ac:dyDescent="0.2">
      <c r="A318" s="157">
        <v>307</v>
      </c>
      <c r="B318" s="148"/>
      <c r="C318" s="146"/>
      <c r="D318" s="163" t="s">
        <v>488</v>
      </c>
      <c r="E318" s="160"/>
      <c r="F318" s="157"/>
    </row>
    <row r="319" spans="1:6" s="159" customFormat="1" ht="40.15" customHeight="1" x14ac:dyDescent="0.2">
      <c r="A319" s="157">
        <v>308</v>
      </c>
      <c r="B319" s="148"/>
      <c r="C319" s="146"/>
      <c r="D319" s="163" t="s">
        <v>820</v>
      </c>
      <c r="E319" s="160"/>
      <c r="F319" s="157"/>
    </row>
    <row r="320" spans="1:6" s="159" customFormat="1" ht="40.15" customHeight="1" x14ac:dyDescent="0.2">
      <c r="A320" s="157">
        <v>309</v>
      </c>
      <c r="B320" s="148"/>
      <c r="C320" s="146"/>
      <c r="D320" s="163" t="s">
        <v>803</v>
      </c>
      <c r="E320" s="160"/>
      <c r="F320" s="157"/>
    </row>
    <row r="321" spans="1:6" s="159" customFormat="1" ht="40.15" customHeight="1" x14ac:dyDescent="0.2">
      <c r="A321" s="157">
        <v>310</v>
      </c>
      <c r="B321" s="148"/>
      <c r="C321" s="146"/>
      <c r="D321" s="163" t="s">
        <v>821</v>
      </c>
      <c r="E321" s="160"/>
      <c r="F321" s="157"/>
    </row>
    <row r="322" spans="1:6" s="159" customFormat="1" ht="40.15" customHeight="1" x14ac:dyDescent="0.2">
      <c r="A322" s="157">
        <v>311</v>
      </c>
      <c r="B322" s="148"/>
      <c r="C322" s="146"/>
      <c r="D322" s="163" t="s">
        <v>311</v>
      </c>
      <c r="E322" s="160"/>
      <c r="F322" s="157"/>
    </row>
    <row r="323" spans="1:6" s="159" customFormat="1" ht="40.15" customHeight="1" x14ac:dyDescent="0.2">
      <c r="A323" s="157">
        <v>312</v>
      </c>
      <c r="B323" s="148"/>
      <c r="C323" s="146"/>
      <c r="D323" s="163" t="s">
        <v>822</v>
      </c>
      <c r="E323" s="160"/>
      <c r="F323" s="157"/>
    </row>
    <row r="324" spans="1:6" s="159" customFormat="1" ht="40.15" customHeight="1" x14ac:dyDescent="0.2">
      <c r="A324" s="157"/>
      <c r="B324" s="146"/>
      <c r="C324" s="146"/>
      <c r="D324" s="163"/>
      <c r="E324" s="160"/>
      <c r="F324" s="157"/>
    </row>
    <row r="325" spans="1:6" s="159" customFormat="1" ht="40.15" customHeight="1" x14ac:dyDescent="0.2">
      <c r="A325" s="157"/>
      <c r="B325" s="148"/>
      <c r="C325" s="146"/>
      <c r="D325" s="163"/>
      <c r="E325" s="160"/>
      <c r="F325" s="157"/>
    </row>
    <row r="326" spans="1:6" s="159" customFormat="1" ht="40.15" customHeight="1" x14ac:dyDescent="0.2">
      <c r="A326" s="157"/>
      <c r="B326" s="146"/>
      <c r="C326" s="146"/>
      <c r="D326" s="163"/>
      <c r="E326" s="160"/>
      <c r="F326" s="157"/>
    </row>
  </sheetData>
  <autoFilter ref="A3:D259" xr:uid="{8E5C809C-21F2-495A-8DD1-AD02A2E83B8C}"/>
  <mergeCells count="3">
    <mergeCell ref="A1:F1"/>
    <mergeCell ref="A285:F285"/>
    <mergeCell ref="A300:F300"/>
  </mergeCells>
  <pageMargins left="0.43" right="0.25" top="0.75" bottom="0.75" header="0.3" footer="0.3"/>
  <pageSetup paperSize="9" scale="97" fitToHeight="0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dc40bd9-c269-4660-ba8e-120b960279d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403F1701911E4A80E3B6952C25D20B" ma:contentTypeVersion="24" ma:contentTypeDescription="Create a new document." ma:contentTypeScope="" ma:versionID="64944141fe484d1e45423025197eeca1">
  <xsd:schema xmlns:xsd="http://www.w3.org/2001/XMLSchema" xmlns:xs="http://www.w3.org/2001/XMLSchema" xmlns:p="http://schemas.microsoft.com/office/2006/metadata/properties" xmlns:ns3="cdc40bd9-c269-4660-ba8e-120b960279d1" targetNamespace="http://schemas.microsoft.com/office/2006/metadata/properties" ma:root="true" ma:fieldsID="b9e6ab7f563bba07c7e3b7decfbe7c9d" ns3:_="">
    <xsd:import namespace="cdc40bd9-c269-4660-ba8e-120b960279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40bd9-c269-4660-ba8e-120b960279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121487-FB78-485B-A9C4-B0B99299BE24}">
  <ds:schemaRefs>
    <ds:schemaRef ds:uri="cdc40bd9-c269-4660-ba8e-120b960279d1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6E01FCE-3E14-4A69-9099-F0589CB8A0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B25577-1F58-499B-B178-724A7D7E7D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c40bd9-c269-4660-ba8e-120b960279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adf79f7-ab2a-4792-a9b7-1975884ea6b6}" enabled="0" method="" siteId="{aadf79f7-ab2a-4792-a9b7-1975884ea6b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Piutang Pengadaan</vt:lpstr>
      <vt:lpstr> usp (dian)</vt:lpstr>
      <vt:lpstr>Toko</vt:lpstr>
      <vt:lpstr>Jurnal</vt:lpstr>
      <vt:lpstr>Neraca Saldo</vt:lpstr>
      <vt:lpstr>Neraca </vt:lpstr>
      <vt:lpstr>SHU</vt:lpstr>
      <vt:lpstr>Distribusi SHU</vt:lpstr>
      <vt:lpstr>LIST DISTRIBUSI SHU</vt:lpstr>
      <vt:lpstr>LIST DISTRIBUSI PARCEL</vt:lpstr>
      <vt:lpstr>Jurnal!Print_Area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Bambang</dc:creator>
  <cp:lastModifiedBy>SAEPUDIN Ari (SAFRAN ELECTRONICS &amp; DEFENSE)</cp:lastModifiedBy>
  <cp:lastPrinted>2024-03-15T09:04:31Z</cp:lastPrinted>
  <dcterms:created xsi:type="dcterms:W3CDTF">2009-09-01T22:42:19Z</dcterms:created>
  <dcterms:modified xsi:type="dcterms:W3CDTF">2026-04-09T04:34:12Z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0x01010054403F1701911E4A80E3B6952C25D20B</vt:lpwstr>
  </property>
</Properties>
</file>